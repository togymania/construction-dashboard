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288B01F-6CD8-40A3-8170-965760A5C5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slek Sayi" sheetId="2" r:id="rId1"/>
    <sheet name="Cover page " sheetId="3" r:id="rId2"/>
    <sheet name="IPPODROM" sheetId="1" r:id="rId3"/>
    <sheet name="Лист1" sheetId="7" state="hidden" r:id="rId4"/>
    <sheet name="Лист2" sheetId="6" state="hidden" r:id="rId5"/>
    <sheet name="GUNLUK RAPOR" sheetId="4" r:id="rId6"/>
  </sheets>
  <definedNames>
    <definedName name="_xlnm._FilterDatabase" localSheetId="2" hidden="1">IPPODROM!$A$2:$O$1627</definedName>
    <definedName name="_xlnm._FilterDatabase" localSheetId="3" hidden="1">Лист1!#REF!</definedName>
    <definedName name="_xlnm._FilterDatabase" localSheetId="4" hidden="1">Лист2!$C$6:$O$6</definedName>
    <definedName name="_xlnm.Print_Area" localSheetId="1">'Cover page '!$A$1:$H$61</definedName>
    <definedName name="_xlnm.Print_Area" localSheetId="5">'GUNLUK RAPOR'!$A$1:$K$46</definedName>
    <definedName name="_xlnm.Print_Area" localSheetId="2">IPPODROM!$A$1:$I$1634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4" i="1" l="1"/>
  <c r="H452" i="1"/>
  <c r="H1528" i="1"/>
  <c r="H1475" i="1"/>
  <c r="H1560" i="1"/>
  <c r="H1557" i="1"/>
  <c r="H415" i="1"/>
  <c r="H413" i="1"/>
  <c r="H420" i="1"/>
  <c r="H419" i="1"/>
  <c r="H418" i="1"/>
  <c r="H416" i="1"/>
  <c r="H340" i="1"/>
  <c r="H318" i="1"/>
  <c r="H504" i="1"/>
  <c r="H503" i="1"/>
  <c r="H1180" i="1"/>
  <c r="H676" i="1"/>
  <c r="H900" i="1"/>
  <c r="H898" i="1"/>
  <c r="H888" i="1"/>
  <c r="H1395" i="1"/>
  <c r="H1393" i="1"/>
  <c r="H1392" i="1"/>
  <c r="H1385" i="1"/>
  <c r="H748" i="1"/>
  <c r="H747" i="1"/>
  <c r="H744" i="1"/>
  <c r="H737" i="1"/>
  <c r="H734" i="1"/>
  <c r="H733" i="1"/>
  <c r="H991" i="1"/>
  <c r="H986" i="1"/>
  <c r="H985" i="1"/>
  <c r="H951" i="1"/>
  <c r="H945" i="1"/>
  <c r="H931" i="1"/>
  <c r="H930" i="1"/>
  <c r="H929" i="1"/>
  <c r="H281" i="1"/>
  <c r="H348" i="1"/>
  <c r="H345" i="1"/>
  <c r="H344" i="1"/>
  <c r="H326" i="1"/>
  <c r="H291" i="1"/>
  <c r="H285" i="1"/>
  <c r="H272" i="1"/>
  <c r="H255" i="1"/>
  <c r="H238" i="1"/>
  <c r="H225" i="1"/>
  <c r="H1591" i="1"/>
  <c r="H1589" i="1"/>
  <c r="H1555" i="1"/>
  <c r="H1554" i="1"/>
  <c r="H1549" i="1"/>
  <c r="H1542" i="1"/>
  <c r="H1536" i="1"/>
  <c r="H1410" i="1"/>
  <c r="H1397" i="1"/>
  <c r="H1304" i="1"/>
  <c r="H1235" i="1"/>
  <c r="H1205" i="1"/>
  <c r="H1204" i="1"/>
  <c r="H1203" i="1"/>
  <c r="H1201" i="1"/>
  <c r="H1193" i="1"/>
  <c r="H1191" i="1"/>
  <c r="H1009" i="1"/>
  <c r="H988" i="1"/>
  <c r="H984" i="1"/>
  <c r="H976" i="1"/>
  <c r="H975" i="1"/>
  <c r="H946" i="1"/>
  <c r="H939" i="1"/>
  <c r="H863" i="1"/>
  <c r="H788" i="1"/>
  <c r="H610" i="1"/>
  <c r="H593" i="1"/>
  <c r="H538" i="1"/>
  <c r="H496" i="1"/>
  <c r="H495" i="1"/>
  <c r="H400" i="1"/>
  <c r="H306" i="1"/>
  <c r="H297" i="1"/>
  <c r="H287" i="1"/>
  <c r="H248" i="1"/>
  <c r="H247" i="1"/>
  <c r="H221" i="1"/>
  <c r="H196" i="1"/>
  <c r="H1562" i="1"/>
  <c r="H756" i="1" l="1"/>
  <c r="H703" i="1"/>
  <c r="H1113" i="1"/>
  <c r="H1208" i="1" l="1"/>
  <c r="H517" i="1" l="1"/>
  <c r="H518" i="1"/>
  <c r="H519" i="1"/>
  <c r="H512" i="1"/>
  <c r="H515" i="1"/>
  <c r="H513" i="1"/>
  <c r="H514" i="1"/>
  <c r="H510" i="1"/>
  <c r="H511" i="1"/>
  <c r="H509" i="1"/>
  <c r="H673" i="1"/>
  <c r="H672" i="1"/>
  <c r="H644" i="1" l="1"/>
  <c r="H638" i="1"/>
  <c r="H1566" i="1"/>
  <c r="H1547" i="1"/>
  <c r="H1524" i="1"/>
  <c r="H1389" i="1"/>
  <c r="H1373" i="1"/>
  <c r="H1344" i="1"/>
  <c r="H1315" i="1"/>
  <c r="H1300" i="1"/>
  <c r="H1272" i="1"/>
  <c r="H1202" i="1"/>
  <c r="H1187" i="1"/>
  <c r="H1087" i="1"/>
  <c r="H996" i="1"/>
  <c r="H982" i="1"/>
  <c r="H980" i="1"/>
  <c r="H955" i="1"/>
  <c r="H948" i="1"/>
  <c r="H940" i="1"/>
  <c r="H902" i="1"/>
  <c r="H821" i="1"/>
  <c r="H792" i="1"/>
  <c r="H777" i="1"/>
  <c r="H572" i="1"/>
  <c r="H561" i="1"/>
  <c r="H554" i="1"/>
  <c r="H407" i="1"/>
  <c r="H406" i="1"/>
  <c r="H279" i="1"/>
  <c r="H269" i="1"/>
  <c r="H230" i="1"/>
  <c r="H378" i="1" l="1"/>
  <c r="H377" i="1"/>
  <c r="H454" i="1"/>
  <c r="H743" i="1"/>
  <c r="H742" i="1" l="1"/>
  <c r="H1236" i="1"/>
  <c r="H1242" i="1"/>
  <c r="H983" i="1"/>
  <c r="H943" i="1"/>
  <c r="H274" i="1" l="1"/>
  <c r="H1574" i="1"/>
  <c r="H1595" i="1"/>
  <c r="H1491" i="1"/>
  <c r="H1451" i="1"/>
  <c r="H1409" i="1"/>
  <c r="H1402" i="1"/>
  <c r="H1322" i="1"/>
  <c r="H1231" i="1"/>
  <c r="H990" i="1"/>
  <c r="H956" i="1"/>
  <c r="H941" i="1"/>
  <c r="H849" i="1"/>
  <c r="H838" i="1"/>
  <c r="H778" i="1"/>
  <c r="H769" i="1"/>
  <c r="H766" i="1"/>
  <c r="H758" i="1"/>
  <c r="H735" i="1"/>
  <c r="H729" i="1"/>
  <c r="H663" i="1"/>
  <c r="H660" i="1"/>
  <c r="H579" i="1"/>
  <c r="H568" i="1"/>
  <c r="H408" i="1"/>
  <c r="H299" i="1"/>
  <c r="H271" i="1"/>
  <c r="H197" i="1"/>
  <c r="H1577" i="1"/>
  <c r="H592" i="1" l="1"/>
  <c r="H1326" i="1"/>
  <c r="H1325" i="1"/>
  <c r="H1324" i="1"/>
  <c r="H1294" i="1"/>
  <c r="H1238" i="1"/>
  <c r="H1237" i="1"/>
  <c r="H741" i="1" l="1"/>
  <c r="H1394" i="1" l="1"/>
  <c r="H1008" i="1"/>
  <c r="H963" i="1"/>
  <c r="H781" i="1"/>
  <c r="H405" i="1"/>
  <c r="H499" i="1"/>
  <c r="H498" i="1"/>
  <c r="H1499" i="1" l="1"/>
  <c r="H1498" i="1"/>
  <c r="H1467" i="1"/>
  <c r="H1450" i="1"/>
  <c r="H1328" i="1"/>
  <c r="H1320" i="1"/>
  <c r="H1308" i="1"/>
  <c r="H1228" i="1"/>
  <c r="H1005" i="1"/>
  <c r="H967" i="1"/>
  <c r="H886" i="1"/>
  <c r="H860" i="1"/>
  <c r="H853" i="1"/>
  <c r="H830" i="1"/>
  <c r="H826" i="1"/>
  <c r="H797" i="1"/>
  <c r="H790" i="1"/>
  <c r="H785" i="1"/>
  <c r="H590" i="1"/>
  <c r="H548" i="1"/>
  <c r="H534" i="1"/>
  <c r="H486" i="1"/>
  <c r="H349" i="1" l="1"/>
  <c r="H347" i="1"/>
  <c r="H346" i="1"/>
  <c r="H343" i="1"/>
  <c r="H342" i="1"/>
  <c r="H341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5" i="1"/>
  <c r="H324" i="1"/>
  <c r="H323" i="1"/>
  <c r="H322" i="1"/>
  <c r="H321" i="1"/>
  <c r="H320" i="1"/>
  <c r="H319" i="1"/>
  <c r="H317" i="1"/>
  <c r="H316" i="1"/>
  <c r="H315" i="1"/>
  <c r="H314" i="1"/>
  <c r="H313" i="1"/>
  <c r="H312" i="1"/>
  <c r="H977" i="1" l="1"/>
  <c r="H974" i="1"/>
  <c r="H973" i="1"/>
  <c r="H972" i="1"/>
  <c r="H989" i="1"/>
  <c r="H987" i="1"/>
  <c r="H981" i="1"/>
  <c r="H979" i="1"/>
  <c r="H978" i="1"/>
  <c r="H971" i="1"/>
  <c r="H970" i="1"/>
  <c r="H707" i="1" l="1"/>
  <c r="H1495" i="1" l="1"/>
  <c r="H1327" i="1" l="1"/>
  <c r="H1321" i="1"/>
  <c r="H1332" i="1"/>
  <c r="H1330" i="1"/>
  <c r="H1331" i="1"/>
  <c r="H1329" i="1"/>
  <c r="H275" i="1" l="1"/>
  <c r="H273" i="1"/>
  <c r="H361" i="1"/>
  <c r="H376" i="1"/>
  <c r="H897" i="1"/>
  <c r="H907" i="1"/>
  <c r="H1278" i="1"/>
  <c r="H1288" i="1"/>
  <c r="H817" i="1"/>
  <c r="H311" i="1"/>
  <c r="H310" i="1"/>
  <c r="H309" i="1"/>
  <c r="H308" i="1"/>
  <c r="H307" i="1"/>
  <c r="H305" i="1"/>
  <c r="H304" i="1"/>
  <c r="H303" i="1"/>
  <c r="H302" i="1"/>
  <c r="H301" i="1"/>
  <c r="H300" i="1"/>
  <c r="H1559" i="1"/>
  <c r="H1302" i="1"/>
  <c r="H1273" i="1"/>
  <c r="H1253" i="1"/>
  <c r="H1243" i="1"/>
  <c r="H952" i="1"/>
  <c r="H872" i="1"/>
  <c r="H837" i="1"/>
  <c r="H810" i="1"/>
  <c r="H776" i="1"/>
  <c r="H753" i="1"/>
  <c r="H749" i="1"/>
  <c r="H657" i="1"/>
  <c r="H557" i="1"/>
  <c r="H543" i="1"/>
  <c r="H539" i="1"/>
  <c r="H473" i="1"/>
  <c r="H1622" i="1" l="1"/>
  <c r="H1621" i="1"/>
  <c r="H1620" i="1"/>
  <c r="H1619" i="1"/>
  <c r="H1618" i="1"/>
  <c r="H1602" i="1"/>
  <c r="H1601" i="1"/>
  <c r="H1323" i="1"/>
  <c r="H375" i="1"/>
  <c r="H374" i="1"/>
  <c r="H372" i="1"/>
  <c r="H373" i="1"/>
  <c r="H647" i="1"/>
  <c r="H541" i="1"/>
  <c r="H585" i="1"/>
  <c r="H602" i="1"/>
  <c r="H740" i="1"/>
  <c r="H739" i="1"/>
  <c r="H738" i="1"/>
  <c r="H736" i="1"/>
  <c r="H280" i="1"/>
  <c r="H278" i="1"/>
  <c r="H277" i="1"/>
  <c r="H298" i="1"/>
  <c r="H296" i="1"/>
  <c r="H295" i="1"/>
  <c r="H294" i="1"/>
  <c r="H293" i="1"/>
  <c r="H292" i="1"/>
  <c r="H290" i="1"/>
  <c r="H289" i="1"/>
  <c r="H288" i="1"/>
  <c r="H286" i="1"/>
  <c r="H1011" i="1"/>
  <c r="H1007" i="1"/>
  <c r="H453" i="1"/>
  <c r="L39" i="3" l="1"/>
  <c r="M39" i="3"/>
  <c r="N39" i="3"/>
  <c r="H1112" i="1" l="1"/>
  <c r="H1361" i="1" l="1"/>
  <c r="H1544" i="1" l="1"/>
  <c r="H1543" i="1"/>
  <c r="H1483" i="1"/>
  <c r="H1482" i="1"/>
  <c r="H1471" i="1"/>
  <c r="H1401" i="1"/>
  <c r="H1400" i="1"/>
  <c r="H1399" i="1"/>
  <c r="H1372" i="1"/>
  <c r="H1337" i="1"/>
  <c r="H1336" i="1"/>
  <c r="H1309" i="1"/>
  <c r="H1298" i="1"/>
  <c r="H1003" i="1"/>
  <c r="H927" i="1"/>
  <c r="H858" i="1"/>
  <c r="H857" i="1"/>
  <c r="H833" i="1"/>
  <c r="H827" i="1"/>
  <c r="H765" i="1"/>
  <c r="H726" i="1"/>
  <c r="H715" i="1"/>
  <c r="H559" i="1"/>
  <c r="H606" i="1"/>
  <c r="H474" i="1"/>
  <c r="H470" i="1"/>
  <c r="H268" i="1"/>
  <c r="H229" i="1"/>
  <c r="H1138" i="1"/>
  <c r="H475" i="1"/>
  <c r="H697" i="1"/>
  <c r="H1600" i="1"/>
  <c r="H1599" i="1"/>
  <c r="H1617" i="1"/>
  <c r="H906" i="1"/>
  <c r="H908" i="1"/>
  <c r="H910" i="1"/>
  <c r="H905" i="1"/>
  <c r="H909" i="1"/>
  <c r="H904" i="1"/>
  <c r="H903" i="1"/>
  <c r="H1354" i="1"/>
  <c r="H964" i="1"/>
  <c r="H645" i="1"/>
  <c r="H630" i="1"/>
  <c r="H629" i="1"/>
  <c r="H640" i="1"/>
  <c r="H639" i="1"/>
  <c r="H1472" i="1"/>
  <c r="H1303" i="1"/>
  <c r="H1069" i="1"/>
  <c r="H933" i="1"/>
  <c r="H883" i="1"/>
  <c r="H843" i="1"/>
  <c r="H800" i="1"/>
  <c r="H795" i="1"/>
  <c r="H793" i="1"/>
  <c r="H774" i="1"/>
  <c r="H724" i="1"/>
  <c r="H671" i="1"/>
  <c r="H563" i="1"/>
  <c r="H398" i="1"/>
  <c r="H276" i="1"/>
  <c r="H243" i="1"/>
  <c r="H214" i="1"/>
  <c r="H213" i="1"/>
  <c r="L1625" i="1"/>
  <c r="H1624" i="1"/>
  <c r="H1586" i="1"/>
  <c r="H899" i="1"/>
  <c r="H1240" i="1"/>
  <c r="H1239" i="1"/>
  <c r="H1391" i="1"/>
  <c r="H732" i="1"/>
  <c r="H731" i="1"/>
  <c r="H730" i="1"/>
  <c r="H780" i="1"/>
  <c r="H779" i="1"/>
  <c r="H371" i="1"/>
  <c r="H370" i="1"/>
  <c r="H369" i="1"/>
  <c r="H368" i="1"/>
  <c r="H367" i="1"/>
  <c r="H366" i="1"/>
  <c r="H365" i="1"/>
  <c r="H364" i="1"/>
  <c r="H1099" i="1" l="1"/>
  <c r="H484" i="1"/>
  <c r="H1281" i="1"/>
  <c r="H1154" i="1"/>
  <c r="H614" i="1"/>
  <c r="H613" i="1"/>
  <c r="H677" i="1" l="1"/>
  <c r="H262" i="1"/>
  <c r="H1490" i="1"/>
  <c r="H1478" i="1"/>
  <c r="H1382" i="1"/>
  <c r="H1377" i="1"/>
  <c r="H1139" i="1"/>
  <c r="H1071" i="1"/>
  <c r="H870" i="1"/>
  <c r="H861" i="1"/>
  <c r="H846" i="1"/>
  <c r="H812" i="1"/>
  <c r="H804" i="1"/>
  <c r="H674" i="1"/>
  <c r="H667" i="1"/>
  <c r="H595" i="1"/>
  <c r="H582" i="1"/>
  <c r="H567" i="1"/>
  <c r="H604" i="1"/>
  <c r="H472" i="1"/>
  <c r="H261" i="1"/>
  <c r="H223" i="1"/>
  <c r="H1575" i="1"/>
  <c r="H1576" i="1"/>
  <c r="H1254" i="1"/>
  <c r="H497" i="1"/>
  <c r="H1319" i="1"/>
  <c r="H1318" i="1"/>
  <c r="H1010" i="1"/>
  <c r="H869" i="1" l="1"/>
  <c r="H584" i="1" l="1"/>
  <c r="H583" i="1"/>
  <c r="L41" i="3" l="1"/>
  <c r="E41" i="3" s="1"/>
  <c r="H1155" i="1" l="1"/>
  <c r="H1195" i="1"/>
  <c r="H1181" i="1"/>
  <c r="H1174" i="1"/>
  <c r="H1192" i="1"/>
  <c r="H1190" i="1"/>
  <c r="H1189" i="1"/>
  <c r="H1188" i="1"/>
  <c r="H1186" i="1"/>
  <c r="H1185" i="1"/>
  <c r="H1184" i="1"/>
  <c r="H1183" i="1"/>
  <c r="H1182" i="1"/>
  <c r="H1194" i="1"/>
  <c r="H1179" i="1"/>
  <c r="H1178" i="1"/>
  <c r="H1177" i="1"/>
  <c r="H1176" i="1"/>
  <c r="H1175" i="1"/>
  <c r="H594" i="1" l="1"/>
  <c r="H668" i="1"/>
  <c r="H1582" i="1"/>
  <c r="H1579" i="1"/>
  <c r="H1564" i="1"/>
  <c r="H1563" i="1"/>
  <c r="H1534" i="1"/>
  <c r="H1218" i="1"/>
  <c r="H1075" i="1"/>
  <c r="H882" i="1"/>
  <c r="H813" i="1"/>
  <c r="H789" i="1"/>
  <c r="H787" i="1"/>
  <c r="H786" i="1"/>
  <c r="H757" i="1"/>
  <c r="H719" i="1"/>
  <c r="H628" i="1"/>
  <c r="H549" i="1"/>
  <c r="H208" i="1"/>
  <c r="H879" i="1" l="1"/>
  <c r="H878" i="1"/>
  <c r="H675" i="1" l="1"/>
  <c r="H1567" i="1" l="1"/>
  <c r="H1522" i="1"/>
  <c r="H1489" i="1"/>
  <c r="H1486" i="1"/>
  <c r="H1223" i="1"/>
  <c r="H1073" i="1"/>
  <c r="H1072" i="1"/>
  <c r="H1070" i="1"/>
  <c r="H1068" i="1"/>
  <c r="H1067" i="1"/>
  <c r="H937" i="1"/>
  <c r="H915" i="1"/>
  <c r="H855" i="1"/>
  <c r="H822" i="1"/>
  <c r="H802" i="1"/>
  <c r="H750" i="1"/>
  <c r="H612" i="1"/>
  <c r="H540" i="1"/>
  <c r="H267" i="1"/>
  <c r="H211" i="1"/>
  <c r="H1539" i="1" l="1"/>
  <c r="C75" i="2"/>
  <c r="H1111" i="1" l="1"/>
  <c r="H1110" i="1"/>
  <c r="H1084" i="1" l="1"/>
  <c r="H1234" i="1"/>
  <c r="H659" i="1" l="1"/>
  <c r="H665" i="1"/>
  <c r="H284" i="1"/>
  <c r="H224" i="1"/>
  <c r="H222" i="1"/>
  <c r="H1623" i="1" l="1"/>
  <c r="H1570" i="1"/>
  <c r="H1545" i="1"/>
  <c r="H1147" i="1"/>
  <c r="H957" i="1"/>
  <c r="H791" i="1"/>
  <c r="H767" i="1"/>
  <c r="H723" i="1"/>
  <c r="H722" i="1"/>
  <c r="H611" i="1"/>
  <c r="H551" i="1"/>
  <c r="H542" i="1"/>
  <c r="H252" i="1"/>
  <c r="H250" i="1"/>
  <c r="H233" i="1"/>
  <c r="H200" i="1"/>
  <c r="H402" i="1"/>
  <c r="H401" i="1"/>
  <c r="H399" i="1"/>
  <c r="H397" i="1"/>
  <c r="H396" i="1"/>
  <c r="H395" i="1"/>
  <c r="H1537" i="1" l="1"/>
  <c r="H1596" i="1"/>
  <c r="H1561" i="1"/>
  <c r="H1540" i="1"/>
  <c r="H1538" i="1"/>
  <c r="H1613" i="1"/>
  <c r="H1612" i="1"/>
  <c r="H1616" i="1"/>
  <c r="H1581" i="1"/>
  <c r="H1541" i="1"/>
  <c r="H1526" i="1"/>
  <c r="H1380" i="1"/>
  <c r="H1374" i="1"/>
  <c r="H1295" i="1"/>
  <c r="H1074" i="1"/>
  <c r="H721" i="1"/>
  <c r="H575" i="1"/>
  <c r="H601" i="1"/>
  <c r="H490" i="1"/>
  <c r="H477" i="1"/>
  <c r="H451" i="1"/>
  <c r="H355" i="1"/>
  <c r="H249" i="1"/>
  <c r="H1122" i="1"/>
  <c r="H1121" i="1"/>
  <c r="H1120" i="1"/>
  <c r="H1119" i="1"/>
  <c r="H1118" i="1"/>
  <c r="H1117" i="1"/>
  <c r="H1116" i="1"/>
  <c r="H1115" i="1"/>
  <c r="H1114" i="1"/>
  <c r="H1317" i="1"/>
  <c r="H1316" i="1"/>
  <c r="H1353" i="1"/>
  <c r="H1282" i="1" l="1"/>
  <c r="H1004" i="1" l="1"/>
  <c r="H1002" i="1"/>
  <c r="D14" i="4"/>
  <c r="D17" i="3" s="1"/>
  <c r="L1012" i="1"/>
  <c r="G14" i="4" s="1"/>
  <c r="M1012" i="1"/>
  <c r="J14" i="4" s="1"/>
  <c r="F17" i="3" s="1"/>
  <c r="J1012" i="1"/>
  <c r="I14" i="4" s="1"/>
  <c r="E17" i="3" s="1"/>
  <c r="K1012" i="1"/>
  <c r="E14" i="4" s="1"/>
  <c r="H1006" i="1"/>
  <c r="H1001" i="1"/>
  <c r="H1000" i="1"/>
  <c r="H999" i="1"/>
  <c r="H998" i="1"/>
  <c r="H997" i="1"/>
  <c r="H1535" i="1"/>
  <c r="H1484" i="1"/>
  <c r="H1476" i="1"/>
  <c r="H1378" i="1"/>
  <c r="H1297" i="1"/>
  <c r="H1137" i="1"/>
  <c r="H1152" i="1"/>
  <c r="H961" i="1"/>
  <c r="H896" i="1"/>
  <c r="H892" i="1"/>
  <c r="H754" i="1"/>
  <c r="H599" i="1"/>
  <c r="H609" i="1"/>
  <c r="H516" i="1"/>
  <c r="H492" i="1"/>
  <c r="H491" i="1"/>
  <c r="H947" i="1"/>
  <c r="G17" i="3" l="1"/>
  <c r="H14" i="4"/>
  <c r="F14" i="4"/>
  <c r="H1615" i="1"/>
  <c r="H1614" i="1"/>
  <c r="H379" i="1"/>
  <c r="H358" i="1"/>
  <c r="H357" i="1"/>
  <c r="H356" i="1"/>
  <c r="H1419" i="1"/>
  <c r="H1168" i="1"/>
  <c r="H1125" i="1"/>
  <c r="H1578" i="1"/>
  <c r="H1568" i="1"/>
  <c r="H1226" i="1"/>
  <c r="H1089" i="1"/>
  <c r="H917" i="1"/>
  <c r="H835" i="1"/>
  <c r="H768" i="1"/>
  <c r="H577" i="1"/>
  <c r="H552" i="1"/>
  <c r="H204" i="1"/>
  <c r="H231" i="1"/>
  <c r="H1283" i="1"/>
  <c r="H1167" i="1"/>
  <c r="H1166" i="1"/>
  <c r="H1411" i="1"/>
  <c r="H1413" i="1"/>
  <c r="H1412" i="1"/>
  <c r="H1521" i="1"/>
  <c r="H1345" i="1"/>
  <c r="H1310" i="1"/>
  <c r="H969" i="1"/>
  <c r="H893" i="1"/>
  <c r="H891" i="1"/>
  <c r="H887" i="1"/>
  <c r="H270" i="1"/>
  <c r="H266" i="1"/>
  <c r="H265" i="1"/>
  <c r="H264" i="1"/>
  <c r="H263" i="1"/>
  <c r="H363" i="1"/>
  <c r="H1314" i="1" l="1"/>
  <c r="H1313" i="1"/>
  <c r="H1405" i="1"/>
  <c r="H494" i="1"/>
  <c r="H775" i="1"/>
  <c r="H773" i="1"/>
  <c r="H772" i="1"/>
  <c r="H771" i="1"/>
  <c r="H728" i="1"/>
  <c r="H1587" i="1" l="1"/>
  <c r="H1505" i="1"/>
  <c r="H832" i="1"/>
  <c r="H818" i="1"/>
  <c r="H581" i="1"/>
  <c r="H234" i="1"/>
  <c r="H1230" i="1" l="1"/>
  <c r="H1229" i="1"/>
  <c r="H727" i="1" l="1"/>
  <c r="H1124" i="1"/>
  <c r="H1123" i="1"/>
  <c r="H1277" i="1" l="1"/>
  <c r="H227" i="1" l="1"/>
  <c r="H1340" i="1"/>
  <c r="H1556" i="1" l="1"/>
  <c r="H1371" i="1"/>
  <c r="H1312" i="1"/>
  <c r="H942" i="1"/>
  <c r="H918" i="1"/>
  <c r="H544" i="1"/>
  <c r="H1506" i="1" l="1"/>
  <c r="H1504" i="1"/>
  <c r="H1501" i="1"/>
  <c r="H1500" i="1"/>
  <c r="H1280" i="1" l="1"/>
  <c r="H1284" i="1"/>
  <c r="H1553" i="1" l="1"/>
  <c r="H1525" i="1"/>
  <c r="H1481" i="1"/>
  <c r="H746" i="1"/>
  <c r="H535" i="1"/>
  <c r="H245" i="1"/>
  <c r="H240" i="1"/>
  <c r="H219" i="1"/>
  <c r="H1493" i="1" l="1"/>
  <c r="H1492" i="1"/>
  <c r="H1488" i="1"/>
  <c r="H1487" i="1"/>
  <c r="H1485" i="1"/>
  <c r="H1533" i="1"/>
  <c r="H1558" i="1"/>
  <c r="H1527" i="1"/>
  <c r="H1573" i="1"/>
  <c r="H1572" i="1"/>
  <c r="H1571" i="1"/>
  <c r="H260" i="1" l="1"/>
  <c r="N38" i="3" l="1"/>
  <c r="H550" i="1" l="1"/>
  <c r="H1241" i="1" l="1"/>
  <c r="H632" i="1"/>
  <c r="H631" i="1"/>
  <c r="H633" i="1"/>
  <c r="H1095" i="1"/>
  <c r="H450" i="1"/>
  <c r="H755" i="1"/>
  <c r="H1305" i="1" l="1"/>
  <c r="H866" i="1" l="1"/>
  <c r="H1565" i="1" l="1"/>
  <c r="H1384" i="1"/>
  <c r="H1090" i="1"/>
  <c r="H558" i="1"/>
  <c r="H1607" i="1" l="1"/>
  <c r="H1608" i="1"/>
  <c r="H1611" i="1"/>
  <c r="H1606" i="1"/>
  <c r="H1597" i="1"/>
  <c r="H1610" i="1"/>
  <c r="H1609" i="1"/>
  <c r="H1598" i="1"/>
  <c r="H1603" i="1"/>
  <c r="H1605" i="1"/>
  <c r="H1604" i="1"/>
  <c r="H1594" i="1"/>
  <c r="H1593" i="1"/>
  <c r="H1592" i="1"/>
  <c r="H1520" i="1"/>
  <c r="H1590" i="1"/>
  <c r="H1227" i="1" l="1"/>
  <c r="H1094" i="1"/>
  <c r="H1093" i="1"/>
  <c r="H873" i="1" l="1"/>
  <c r="H1301" i="1" l="1"/>
  <c r="H1311" i="1"/>
  <c r="H1339" i="1" l="1"/>
  <c r="H1268" i="1"/>
  <c r="H1266" i="1"/>
  <c r="H1265" i="1"/>
  <c r="H1233" i="1"/>
  <c r="H1232" i="1"/>
  <c r="H1224" i="1"/>
  <c r="H1213" i="1"/>
  <c r="H1210" i="1"/>
  <c r="H1209" i="1"/>
  <c r="H968" i="1"/>
  <c r="H966" i="1"/>
  <c r="H884" i="1"/>
  <c r="H798" i="1"/>
  <c r="H836" i="1"/>
  <c r="H811" i="1"/>
  <c r="H752" i="1"/>
  <c r="H720" i="1"/>
  <c r="H718" i="1"/>
  <c r="H670" i="1"/>
  <c r="H669" i="1"/>
  <c r="H597" i="1"/>
  <c r="H489" i="1"/>
  <c r="H488" i="1"/>
  <c r="H441" i="1" l="1"/>
  <c r="H254" i="1"/>
  <c r="H246" i="1"/>
  <c r="H241" i="1"/>
  <c r="H237" i="1"/>
  <c r="H220" i="1"/>
  <c r="H217" i="1"/>
  <c r="H216" i="1"/>
  <c r="H215" i="1"/>
  <c r="H212" i="1"/>
  <c r="D22" i="4" l="1"/>
  <c r="D25" i="3" s="1"/>
  <c r="J1333" i="1"/>
  <c r="I22" i="4" s="1"/>
  <c r="E25" i="3" s="1"/>
  <c r="L1333" i="1"/>
  <c r="G22" i="4" s="1"/>
  <c r="M1333" i="1"/>
  <c r="J22" i="4" s="1"/>
  <c r="F25" i="3" s="1"/>
  <c r="K1333" i="1"/>
  <c r="E22" i="4" s="1"/>
  <c r="H1307" i="1"/>
  <c r="H1306" i="1"/>
  <c r="H1299" i="1"/>
  <c r="H1296" i="1"/>
  <c r="G25" i="3" l="1"/>
  <c r="H22" i="4"/>
  <c r="F22" i="4"/>
  <c r="H1157" i="1" l="1"/>
  <c r="H1358" i="1"/>
  <c r="H1085" i="1" l="1"/>
  <c r="H1216" i="1"/>
  <c r="H1215" i="1"/>
  <c r="H1214" i="1"/>
  <c r="H648" i="1" l="1"/>
  <c r="H481" i="1" l="1"/>
  <c r="H1479" i="1" l="1"/>
  <c r="H1468" i="1"/>
  <c r="H1346" i="1"/>
  <c r="H1338" i="1"/>
  <c r="H808" i="1"/>
  <c r="H717" i="1"/>
  <c r="H545" i="1"/>
  <c r="H1269" i="1" l="1"/>
  <c r="H259" i="1"/>
  <c r="H258" i="1"/>
  <c r="H257" i="1"/>
  <c r="H895" i="1"/>
  <c r="H796" i="1"/>
  <c r="H794" i="1"/>
  <c r="H493" i="1" l="1"/>
  <c r="H469" i="1" l="1"/>
  <c r="H283" i="1"/>
  <c r="H282" i="1"/>
  <c r="H1548" i="1" l="1"/>
  <c r="H1381" i="1"/>
  <c r="H1370" i="1"/>
  <c r="H1347" i="1"/>
  <c r="H1146" i="1"/>
  <c r="H1153" i="1"/>
  <c r="H814" i="1"/>
  <c r="H586" i="1"/>
  <c r="H569" i="1"/>
  <c r="H547" i="1"/>
  <c r="H476" i="1"/>
  <c r="N42" i="3" l="1"/>
  <c r="H705" i="1" l="1"/>
  <c r="H704" i="1"/>
  <c r="H460" i="1"/>
  <c r="H459" i="1"/>
  <c r="H362" i="1"/>
  <c r="L44" i="3" l="1"/>
  <c r="M44" i="3"/>
  <c r="N44" i="3"/>
  <c r="L36" i="3"/>
  <c r="M36" i="3"/>
  <c r="N36" i="3"/>
  <c r="L33" i="3"/>
  <c r="M33" i="3"/>
  <c r="N33" i="3"/>
  <c r="H874" i="1" l="1"/>
  <c r="H461" i="1"/>
  <c r="H354" i="1"/>
  <c r="H353" i="1"/>
  <c r="H698" i="1"/>
  <c r="H526" i="1"/>
  <c r="H359" i="1"/>
  <c r="H360" i="1"/>
  <c r="H404" i="1" l="1"/>
  <c r="H403" i="1"/>
  <c r="M41" i="3" l="1"/>
  <c r="H1396" i="1" l="1"/>
  <c r="H1351" i="1"/>
  <c r="H1148" i="1"/>
  <c r="H1092" i="1"/>
  <c r="H1091" i="1"/>
  <c r="H1088" i="1"/>
  <c r="H959" i="1"/>
  <c r="H949" i="1"/>
  <c r="H847" i="1"/>
  <c r="H714" i="1"/>
  <c r="H600" i="1"/>
  <c r="H589" i="1"/>
  <c r="H588" i="1"/>
  <c r="H553" i="1"/>
  <c r="H894" i="1" l="1"/>
  <c r="M38" i="3" l="1"/>
  <c r="L38" i="3"/>
  <c r="N37" i="3"/>
  <c r="M37" i="3"/>
  <c r="F37" i="3" s="1"/>
  <c r="L37" i="3"/>
  <c r="H1206" i="1" l="1"/>
  <c r="H1165" i="1"/>
  <c r="H852" i="1" l="1"/>
  <c r="H840" i="1"/>
  <c r="H809" i="1"/>
  <c r="H770" i="1"/>
  <c r="H661" i="1"/>
  <c r="H207" i="1"/>
  <c r="H664" i="1" l="1"/>
  <c r="H1523" i="1"/>
  <c r="H901" i="1"/>
  <c r="H256" i="1" l="1"/>
  <c r="H251" i="1"/>
  <c r="H1267" i="1"/>
  <c r="H1225" i="1"/>
  <c r="H865" i="1"/>
  <c r="H380" i="1" l="1"/>
  <c r="H1465" i="1" l="1"/>
  <c r="H1211" i="1"/>
  <c r="H844" i="1"/>
  <c r="H627" i="1"/>
  <c r="H533" i="1"/>
  <c r="H825" i="1" l="1"/>
  <c r="H634" i="1" l="1"/>
  <c r="H1158" i="1" l="1"/>
  <c r="H598" i="1" l="1"/>
  <c r="C19" i="3" l="1"/>
  <c r="D16" i="4"/>
  <c r="M1076" i="1"/>
  <c r="J16" i="4" s="1"/>
  <c r="F19" i="3" s="1"/>
  <c r="L1076" i="1"/>
  <c r="G16" i="4" s="1"/>
  <c r="J1076" i="1"/>
  <c r="I16" i="4" s="1"/>
  <c r="K1076" i="1"/>
  <c r="E16" i="4" s="1"/>
  <c r="J708" i="1"/>
  <c r="I9" i="4" s="1"/>
  <c r="E12" i="3" s="1"/>
  <c r="H1497" i="1"/>
  <c r="H1341" i="1"/>
  <c r="H414" i="1"/>
  <c r="H232" i="1"/>
  <c r="H867" i="1"/>
  <c r="H868" i="1"/>
  <c r="H1258" i="1"/>
  <c r="H576" i="1"/>
  <c r="H596" i="1"/>
  <c r="H666" i="1"/>
  <c r="H662" i="1"/>
  <c r="H658" i="1"/>
  <c r="H656" i="1"/>
  <c r="H655" i="1"/>
  <c r="H654" i="1"/>
  <c r="H651" i="1"/>
  <c r="H650" i="1"/>
  <c r="H649" i="1"/>
  <c r="H643" i="1"/>
  <c r="H642" i="1"/>
  <c r="H641" i="1"/>
  <c r="H637" i="1"/>
  <c r="H636" i="1"/>
  <c r="H635" i="1"/>
  <c r="H565" i="1"/>
  <c r="H562" i="1"/>
  <c r="H591" i="1"/>
  <c r="H587" i="1"/>
  <c r="H580" i="1"/>
  <c r="H578" i="1"/>
  <c r="H574" i="1"/>
  <c r="H573" i="1"/>
  <c r="H571" i="1"/>
  <c r="H570" i="1"/>
  <c r="H566" i="1"/>
  <c r="H560" i="1"/>
  <c r="H626" i="1"/>
  <c r="H608" i="1"/>
  <c r="H607" i="1"/>
  <c r="H605" i="1"/>
  <c r="H603" i="1"/>
  <c r="H537" i="1"/>
  <c r="H536" i="1"/>
  <c r="H556" i="1"/>
  <c r="H555" i="1"/>
  <c r="H546" i="1"/>
  <c r="H532" i="1"/>
  <c r="E37" i="3"/>
  <c r="D37" i="3"/>
  <c r="E38" i="3"/>
  <c r="F38" i="3"/>
  <c r="D38" i="3"/>
  <c r="E39" i="3"/>
  <c r="F39" i="3"/>
  <c r="D39" i="3"/>
  <c r="H1583" i="1"/>
  <c r="H1473" i="1"/>
  <c r="H1474" i="1"/>
  <c r="H1477" i="1"/>
  <c r="H1455" i="1"/>
  <c r="H1456" i="1"/>
  <c r="H1457" i="1"/>
  <c r="H1458" i="1"/>
  <c r="H1459" i="1"/>
  <c r="H1460" i="1"/>
  <c r="H1461" i="1"/>
  <c r="H1462" i="1"/>
  <c r="H1463" i="1"/>
  <c r="H1464" i="1"/>
  <c r="H1375" i="1"/>
  <c r="H1368" i="1"/>
  <c r="H1149" i="1"/>
  <c r="H944" i="1"/>
  <c r="H393" i="1"/>
  <c r="H244" i="1"/>
  <c r="H1531" i="1"/>
  <c r="C20" i="3"/>
  <c r="H1285" i="1"/>
  <c r="H242" i="1"/>
  <c r="H751" i="1"/>
  <c r="H506" i="1"/>
  <c r="H485" i="1"/>
  <c r="H1390" i="1"/>
  <c r="H239" i="1"/>
  <c r="H1383" i="1"/>
  <c r="H236" i="1"/>
  <c r="H235" i="1"/>
  <c r="H226" i="1"/>
  <c r="H228" i="1"/>
  <c r="H1580" i="1"/>
  <c r="H1502" i="1"/>
  <c r="H1342" i="1"/>
  <c r="H936" i="1"/>
  <c r="H890" i="1"/>
  <c r="H421" i="1"/>
  <c r="H422" i="1"/>
  <c r="H199" i="1"/>
  <c r="C18" i="3"/>
  <c r="D15" i="4"/>
  <c r="M1065" i="1"/>
  <c r="J15" i="4" s="1"/>
  <c r="F18" i="3" s="1"/>
  <c r="L1065" i="1"/>
  <c r="G15" i="4" s="1"/>
  <c r="J1065" i="1"/>
  <c r="I15" i="4" s="1"/>
  <c r="E18" i="3" s="1"/>
  <c r="K1065" i="1"/>
  <c r="E15" i="4" s="1"/>
  <c r="H1161" i="1"/>
  <c r="H1162" i="1"/>
  <c r="H1585" i="1"/>
  <c r="H1480" i="1"/>
  <c r="H1207" i="1"/>
  <c r="H965" i="1"/>
  <c r="H848" i="1"/>
  <c r="H845" i="1"/>
  <c r="H816" i="1"/>
  <c r="H487" i="1"/>
  <c r="H480" i="1"/>
  <c r="H1159" i="1"/>
  <c r="H1532" i="1"/>
  <c r="H1257" i="1"/>
  <c r="H850" i="1"/>
  <c r="H851" i="1"/>
  <c r="H799" i="1"/>
  <c r="H479" i="1"/>
  <c r="H201" i="1"/>
  <c r="H198" i="1"/>
  <c r="H1086" i="1"/>
  <c r="H864" i="1"/>
  <c r="H1163" i="1"/>
  <c r="H1496" i="1"/>
  <c r="H1262" i="1"/>
  <c r="H1134" i="1"/>
  <c r="H923" i="1"/>
  <c r="H1140" i="1"/>
  <c r="H916" i="1"/>
  <c r="H1388" i="1"/>
  <c r="H1387" i="1"/>
  <c r="H1151" i="1"/>
  <c r="H763" i="1"/>
  <c r="H1264" i="1"/>
  <c r="H1217" i="1"/>
  <c r="H1588" i="1"/>
  <c r="H1286" i="1"/>
  <c r="H1287" i="1"/>
  <c r="H1357" i="1"/>
  <c r="H1160" i="1"/>
  <c r="H1145" i="1"/>
  <c r="H1144" i="1"/>
  <c r="H1143" i="1"/>
  <c r="H1142" i="1"/>
  <c r="H1141" i="1"/>
  <c r="H1136" i="1"/>
  <c r="H1135" i="1"/>
  <c r="H1359" i="1"/>
  <c r="H1360" i="1"/>
  <c r="H1356" i="1"/>
  <c r="H1355" i="1"/>
  <c r="H1352" i="1"/>
  <c r="H1350" i="1"/>
  <c r="H1343" i="1"/>
  <c r="H1418" i="1"/>
  <c r="H1417" i="1"/>
  <c r="H1416" i="1"/>
  <c r="H1415" i="1"/>
  <c r="H1414" i="1"/>
  <c r="H1408" i="1"/>
  <c r="H1404" i="1"/>
  <c r="H1403" i="1"/>
  <c r="H1398" i="1"/>
  <c r="H1386" i="1"/>
  <c r="H1379" i="1"/>
  <c r="H1376" i="1"/>
  <c r="H1369" i="1"/>
  <c r="H885" i="1"/>
  <c r="H801" i="1"/>
  <c r="H202" i="1"/>
  <c r="H745" i="1"/>
  <c r="H482" i="1"/>
  <c r="H1263" i="1"/>
  <c r="H1222" i="1"/>
  <c r="H394" i="1"/>
  <c r="H1109" i="1"/>
  <c r="H1108" i="1"/>
  <c r="H1107" i="1"/>
  <c r="H1221" i="1"/>
  <c r="H856" i="1"/>
  <c r="H210" i="1"/>
  <c r="H209" i="1"/>
  <c r="H206" i="1"/>
  <c r="H205" i="1"/>
  <c r="H203" i="1"/>
  <c r="D42" i="3"/>
  <c r="M42" i="3"/>
  <c r="F42" i="3" s="1"/>
  <c r="L42" i="3"/>
  <c r="E42" i="3" s="1"/>
  <c r="H1212" i="1"/>
  <c r="H958" i="1"/>
  <c r="H824" i="1"/>
  <c r="H410" i="1"/>
  <c r="H935" i="1"/>
  <c r="H934" i="1"/>
  <c r="H505" i="1"/>
  <c r="H862" i="1"/>
  <c r="H1584" i="1"/>
  <c r="H1552" i="1"/>
  <c r="H1551" i="1"/>
  <c r="H1550" i="1"/>
  <c r="H1546" i="1"/>
  <c r="H1447" i="1"/>
  <c r="H1530" i="1"/>
  <c r="H1529" i="1"/>
  <c r="H1503" i="1"/>
  <c r="H1494" i="1"/>
  <c r="H1470" i="1"/>
  <c r="H1469" i="1"/>
  <c r="H1466" i="1"/>
  <c r="H1454" i="1"/>
  <c r="H1453" i="1"/>
  <c r="H1452" i="1"/>
  <c r="H1449" i="1"/>
  <c r="L43" i="3"/>
  <c r="E43" i="3" s="1"/>
  <c r="M43" i="3"/>
  <c r="F43" i="3" s="1"/>
  <c r="N43" i="3"/>
  <c r="D43" i="3" s="1"/>
  <c r="H938" i="1"/>
  <c r="H854" i="1"/>
  <c r="H483" i="1"/>
  <c r="H1275" i="1"/>
  <c r="H889" i="1"/>
  <c r="H834" i="1"/>
  <c r="M880" i="1"/>
  <c r="J11" i="4" s="1"/>
  <c r="F14" i="3" s="1"/>
  <c r="K880" i="1"/>
  <c r="E11" i="4" s="1"/>
  <c r="H712" i="1"/>
  <c r="H711" i="1"/>
  <c r="H1104" i="1"/>
  <c r="H1105" i="1"/>
  <c r="H1106" i="1"/>
  <c r="H1271" i="1"/>
  <c r="H1219" i="1"/>
  <c r="L1244" i="1"/>
  <c r="G17" i="4" s="1"/>
  <c r="K1244" i="1"/>
  <c r="E17" i="4" s="1"/>
  <c r="K1126" i="1"/>
  <c r="E18" i="4" s="1"/>
  <c r="H913" i="1"/>
  <c r="H871" i="1"/>
  <c r="H926" i="1"/>
  <c r="H921" i="1"/>
  <c r="H1082" i="1"/>
  <c r="H725" i="1"/>
  <c r="H716" i="1"/>
  <c r="H877" i="1"/>
  <c r="H713" i="1"/>
  <c r="D10" i="4"/>
  <c r="L759" i="1"/>
  <c r="G10" i="4" s="1"/>
  <c r="K759" i="1"/>
  <c r="E10" i="4" s="1"/>
  <c r="J759" i="1"/>
  <c r="I10" i="4" s="1"/>
  <c r="E13" i="3" s="1"/>
  <c r="M759" i="1"/>
  <c r="J10" i="4" s="1"/>
  <c r="F13" i="3" s="1"/>
  <c r="H954" i="1"/>
  <c r="H960" i="1"/>
  <c r="H962" i="1"/>
  <c r="H928" i="1"/>
  <c r="H932" i="1"/>
  <c r="H919" i="1"/>
  <c r="H471" i="1"/>
  <c r="H1220" i="1"/>
  <c r="H924" i="1"/>
  <c r="L31" i="3"/>
  <c r="E31" i="3" s="1"/>
  <c r="M31" i="3"/>
  <c r="F31" i="3" s="1"/>
  <c r="N31" i="3"/>
  <c r="F41" i="3"/>
  <c r="N41" i="3"/>
  <c r="D41" i="3" s="1"/>
  <c r="H807" i="1"/>
  <c r="H925" i="1"/>
  <c r="H1274" i="1"/>
  <c r="H1276" i="1"/>
  <c r="H859" i="1"/>
  <c r="H829" i="1"/>
  <c r="H417" i="1"/>
  <c r="G25" i="4"/>
  <c r="M1625" i="1"/>
  <c r="J25" i="4" s="1"/>
  <c r="F28" i="3" s="1"/>
  <c r="H920" i="1"/>
  <c r="N57" i="1"/>
  <c r="D28" i="4" s="1"/>
  <c r="H392" i="1"/>
  <c r="H478" i="1"/>
  <c r="M1244" i="1"/>
  <c r="J17" i="4" s="1"/>
  <c r="F20" i="3" s="1"/>
  <c r="J1244" i="1"/>
  <c r="I17" i="4" s="1"/>
  <c r="E20" i="3" s="1"/>
  <c r="H950" i="1"/>
  <c r="H922" i="1"/>
  <c r="H1256" i="1"/>
  <c r="H1251" i="1"/>
  <c r="H1249" i="1"/>
  <c r="H1261" i="1"/>
  <c r="H841" i="1"/>
  <c r="H842" i="1"/>
  <c r="H828" i="1"/>
  <c r="H819" i="1"/>
  <c r="H820" i="1"/>
  <c r="H831" i="1"/>
  <c r="H412" i="1"/>
  <c r="H381" i="1"/>
  <c r="H1259" i="1"/>
  <c r="H815" i="1"/>
  <c r="H839" i="1"/>
  <c r="H823" i="1"/>
  <c r="H806" i="1"/>
  <c r="H805" i="1"/>
  <c r="H803" i="1"/>
  <c r="H784" i="1"/>
  <c r="H783" i="1"/>
  <c r="H782" i="1"/>
  <c r="H764" i="1"/>
  <c r="L45" i="3"/>
  <c r="E45" i="3" s="1"/>
  <c r="M45" i="3"/>
  <c r="F45" i="3" s="1"/>
  <c r="N45" i="3"/>
  <c r="D45" i="3" s="1"/>
  <c r="L40" i="3"/>
  <c r="E40" i="3" s="1"/>
  <c r="M40" i="3"/>
  <c r="F40" i="3" s="1"/>
  <c r="N40" i="3"/>
  <c r="E36" i="3"/>
  <c r="F36" i="3"/>
  <c r="D36" i="3"/>
  <c r="L35" i="3"/>
  <c r="E35" i="3" s="1"/>
  <c r="M35" i="3"/>
  <c r="N35" i="3"/>
  <c r="D35" i="3" s="1"/>
  <c r="L34" i="3"/>
  <c r="E34" i="3" s="1"/>
  <c r="M34" i="3"/>
  <c r="F34" i="3" s="1"/>
  <c r="N34" i="3"/>
  <c r="D34" i="3" s="1"/>
  <c r="E32" i="3"/>
  <c r="F32" i="3"/>
  <c r="D32" i="3"/>
  <c r="M708" i="1"/>
  <c r="J9" i="4" s="1"/>
  <c r="F12" i="3" s="1"/>
  <c r="L708" i="1"/>
  <c r="G9" i="4" s="1"/>
  <c r="K708" i="1"/>
  <c r="E9" i="4" s="1"/>
  <c r="H1255" i="1"/>
  <c r="H507" i="1"/>
  <c r="H508" i="1"/>
  <c r="D33" i="3"/>
  <c r="D44" i="3"/>
  <c r="D17" i="4"/>
  <c r="K382" i="1"/>
  <c r="E4" i="4" s="1"/>
  <c r="R1624" i="1"/>
  <c r="R1625" i="1"/>
  <c r="M1196" i="1"/>
  <c r="J20" i="4" s="1"/>
  <c r="F23" i="3" s="1"/>
  <c r="L1196" i="1"/>
  <c r="G20" i="4" s="1"/>
  <c r="K1196" i="1"/>
  <c r="E20" i="4" s="1"/>
  <c r="J1196" i="1"/>
  <c r="I20" i="4" s="1"/>
  <c r="E23" i="3" s="1"/>
  <c r="H1252" i="1"/>
  <c r="F55" i="3"/>
  <c r="E55" i="3"/>
  <c r="D55" i="3"/>
  <c r="C55" i="3"/>
  <c r="F54" i="3"/>
  <c r="E54" i="3"/>
  <c r="D54" i="3"/>
  <c r="C54" i="3"/>
  <c r="J40" i="4"/>
  <c r="I40" i="4"/>
  <c r="G40" i="4"/>
  <c r="D40" i="4"/>
  <c r="E38" i="4"/>
  <c r="F38" i="4" s="1"/>
  <c r="E37" i="4"/>
  <c r="F37" i="4" s="1"/>
  <c r="I79" i="6"/>
  <c r="I78" i="6"/>
  <c r="I77" i="6"/>
  <c r="I80" i="6"/>
  <c r="I29" i="6"/>
  <c r="I25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4" i="6"/>
  <c r="I23" i="6"/>
  <c r="I28" i="6"/>
  <c r="I27" i="6"/>
  <c r="I26" i="6"/>
  <c r="I22" i="6"/>
  <c r="I17" i="6"/>
  <c r="I16" i="6"/>
  <c r="I21" i="6"/>
  <c r="I15" i="6"/>
  <c r="I14" i="6"/>
  <c r="I13" i="6"/>
  <c r="I20" i="6"/>
  <c r="I12" i="6"/>
  <c r="I19" i="6"/>
  <c r="I18" i="6"/>
  <c r="I11" i="6"/>
  <c r="I10" i="6"/>
  <c r="I9" i="6"/>
  <c r="I8" i="6"/>
  <c r="I7" i="6"/>
  <c r="H409" i="1"/>
  <c r="M382" i="1"/>
  <c r="J4" i="4" s="1"/>
  <c r="F7" i="3" s="1"/>
  <c r="L382" i="1"/>
  <c r="G4" i="4" s="1"/>
  <c r="J382" i="1"/>
  <c r="I4" i="4" s="1"/>
  <c r="E7" i="3" s="1"/>
  <c r="C56" i="3"/>
  <c r="D56" i="3"/>
  <c r="E56" i="3"/>
  <c r="F56" i="3"/>
  <c r="E39" i="4"/>
  <c r="M166" i="1"/>
  <c r="J3" i="4" s="1"/>
  <c r="F6" i="3" s="1"/>
  <c r="L166" i="1"/>
  <c r="G3" i="4" s="1"/>
  <c r="J166" i="1"/>
  <c r="I3" i="4" s="1"/>
  <c r="E6" i="3" s="1"/>
  <c r="K166" i="1"/>
  <c r="E3" i="4" s="1"/>
  <c r="M993" i="1"/>
  <c r="L993" i="1"/>
  <c r="K993" i="1"/>
  <c r="J993" i="1"/>
  <c r="H953" i="1"/>
  <c r="H914" i="1"/>
  <c r="H411" i="1"/>
  <c r="H1156" i="1"/>
  <c r="K67" i="1"/>
  <c r="E30" i="4" s="1"/>
  <c r="H1270" i="1"/>
  <c r="C79" i="2"/>
  <c r="C78" i="2"/>
  <c r="C77" i="2"/>
  <c r="C76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3" i="3"/>
  <c r="F44" i="3"/>
  <c r="E44" i="3"/>
  <c r="F33" i="3"/>
  <c r="E33" i="3"/>
  <c r="D33" i="4"/>
  <c r="D50" i="3" s="1"/>
  <c r="D32" i="4"/>
  <c r="D49" i="3" s="1"/>
  <c r="D31" i="4"/>
  <c r="D48" i="3" s="1"/>
  <c r="D30" i="4"/>
  <c r="D47" i="3" s="1"/>
  <c r="D29" i="4"/>
  <c r="D46" i="3" s="1"/>
  <c r="D25" i="4"/>
  <c r="D24" i="4"/>
  <c r="D23" i="4"/>
  <c r="D21" i="4"/>
  <c r="D20" i="4"/>
  <c r="D19" i="4"/>
  <c r="D18" i="4"/>
  <c r="D13" i="4"/>
  <c r="D12" i="4"/>
  <c r="D11" i="4"/>
  <c r="D9" i="4"/>
  <c r="D8" i="4"/>
  <c r="D7" i="4"/>
  <c r="D6" i="4"/>
  <c r="D5" i="4"/>
  <c r="D4" i="4"/>
  <c r="D7" i="3" s="1"/>
  <c r="D3" i="4"/>
  <c r="D6" i="3" s="1"/>
  <c r="I1" i="4"/>
  <c r="J1625" i="1"/>
  <c r="I25" i="4" s="1"/>
  <c r="E28" i="3" s="1"/>
  <c r="K1625" i="1"/>
  <c r="E25" i="4" s="1"/>
  <c r="M1420" i="1"/>
  <c r="J24" i="4" s="1"/>
  <c r="F27" i="3" s="1"/>
  <c r="L1420" i="1"/>
  <c r="G24" i="4" s="1"/>
  <c r="J1420" i="1"/>
  <c r="I24" i="4" s="1"/>
  <c r="E27" i="3" s="1"/>
  <c r="K1420" i="1"/>
  <c r="E24" i="4" s="1"/>
  <c r="M1362" i="1"/>
  <c r="J23" i="4" s="1"/>
  <c r="F26" i="3" s="1"/>
  <c r="L1362" i="1"/>
  <c r="G23" i="4" s="1"/>
  <c r="J1362" i="1"/>
  <c r="I23" i="4" s="1"/>
  <c r="E26" i="3" s="1"/>
  <c r="K1362" i="1"/>
  <c r="E23" i="4" s="1"/>
  <c r="M1289" i="1"/>
  <c r="J21" i="4" s="1"/>
  <c r="F24" i="3" s="1"/>
  <c r="L1289" i="1"/>
  <c r="G21" i="4" s="1"/>
  <c r="J1289" i="1"/>
  <c r="I21" i="4" s="1"/>
  <c r="E24" i="3" s="1"/>
  <c r="K1289" i="1"/>
  <c r="E21" i="4" s="1"/>
  <c r="H1250" i="1"/>
  <c r="H1260" i="1"/>
  <c r="H1248" i="1"/>
  <c r="M1169" i="1"/>
  <c r="J19" i="4" s="1"/>
  <c r="F22" i="3" s="1"/>
  <c r="L1169" i="1"/>
  <c r="G19" i="4" s="1"/>
  <c r="J1169" i="1"/>
  <c r="I19" i="4" s="1"/>
  <c r="E22" i="3" s="1"/>
  <c r="K1169" i="1"/>
  <c r="E19" i="4" s="1"/>
  <c r="H1164" i="1"/>
  <c r="M1126" i="1"/>
  <c r="J18" i="4" s="1"/>
  <c r="F21" i="3" s="1"/>
  <c r="L1126" i="1"/>
  <c r="G18" i="4" s="1"/>
  <c r="J1126" i="1"/>
  <c r="I18" i="4" s="1"/>
  <c r="E21" i="3" s="1"/>
  <c r="M911" i="1"/>
  <c r="J12" i="4" s="1"/>
  <c r="F15" i="3" s="1"/>
  <c r="L911" i="1"/>
  <c r="G12" i="4" s="1"/>
  <c r="J911" i="1"/>
  <c r="I12" i="4" s="1"/>
  <c r="E15" i="3" s="1"/>
  <c r="K911" i="1"/>
  <c r="E12" i="4" s="1"/>
  <c r="L880" i="1"/>
  <c r="G11" i="4" s="1"/>
  <c r="J880" i="1"/>
  <c r="I11" i="4" s="1"/>
  <c r="E14" i="3" s="1"/>
  <c r="M700" i="1"/>
  <c r="J8" i="4" s="1"/>
  <c r="F11" i="3" s="1"/>
  <c r="L700" i="1"/>
  <c r="G8" i="4" s="1"/>
  <c r="J700" i="1"/>
  <c r="I8" i="4" s="1"/>
  <c r="E11" i="3" s="1"/>
  <c r="K700" i="1"/>
  <c r="E8" i="4" s="1"/>
  <c r="M652" i="1"/>
  <c r="J7" i="4" s="1"/>
  <c r="F10" i="3" s="1"/>
  <c r="L652" i="1"/>
  <c r="G7" i="4" s="1"/>
  <c r="J652" i="1"/>
  <c r="I7" i="4" s="1"/>
  <c r="E10" i="3" s="1"/>
  <c r="K652" i="1"/>
  <c r="E7" i="4" s="1"/>
  <c r="M527" i="1"/>
  <c r="J6" i="4" s="1"/>
  <c r="F9" i="3" s="1"/>
  <c r="L527" i="1"/>
  <c r="G6" i="4" s="1"/>
  <c r="J527" i="1"/>
  <c r="I6" i="4" s="1"/>
  <c r="E9" i="3" s="1"/>
  <c r="K527" i="1"/>
  <c r="E6" i="4" s="1"/>
  <c r="M462" i="1"/>
  <c r="J5" i="4" s="1"/>
  <c r="F8" i="3" s="1"/>
  <c r="L462" i="1"/>
  <c r="G5" i="4" s="1"/>
  <c r="J462" i="1"/>
  <c r="I5" i="4" s="1"/>
  <c r="E8" i="3" s="1"/>
  <c r="K462" i="1"/>
  <c r="E5" i="4" s="1"/>
  <c r="M146" i="1"/>
  <c r="J29" i="4" s="1"/>
  <c r="F46" i="3" s="1"/>
  <c r="L146" i="1"/>
  <c r="G29" i="4" s="1"/>
  <c r="J146" i="1"/>
  <c r="I29" i="4" s="1"/>
  <c r="E46" i="3" s="1"/>
  <c r="K146" i="1"/>
  <c r="E29" i="4" s="1"/>
  <c r="M124" i="1"/>
  <c r="J33" i="4" s="1"/>
  <c r="F50" i="3" s="1"/>
  <c r="L124" i="1"/>
  <c r="G33" i="4" s="1"/>
  <c r="J124" i="1"/>
  <c r="I33" i="4" s="1"/>
  <c r="E50" i="3" s="1"/>
  <c r="K124" i="1"/>
  <c r="E33" i="4" s="1"/>
  <c r="M105" i="1"/>
  <c r="J32" i="4" s="1"/>
  <c r="F49" i="3" s="1"/>
  <c r="L105" i="1"/>
  <c r="G32" i="4" s="1"/>
  <c r="J105" i="1"/>
  <c r="I32" i="4" s="1"/>
  <c r="E49" i="3" s="1"/>
  <c r="K105" i="1"/>
  <c r="E32" i="4" s="1"/>
  <c r="M92" i="1"/>
  <c r="J31" i="4" s="1"/>
  <c r="L92" i="1"/>
  <c r="G31" i="4" s="1"/>
  <c r="J92" i="1"/>
  <c r="I31" i="4" s="1"/>
  <c r="K92" i="1"/>
  <c r="E31" i="4" s="1"/>
  <c r="M67" i="1"/>
  <c r="J30" i="4" s="1"/>
  <c r="F47" i="3" s="1"/>
  <c r="L67" i="1"/>
  <c r="G30" i="4" s="1"/>
  <c r="J67" i="1"/>
  <c r="I30" i="4" s="1"/>
  <c r="E47" i="3" s="1"/>
  <c r="M57" i="1"/>
  <c r="J28" i="4" s="1"/>
  <c r="L57" i="1"/>
  <c r="G28" i="4" s="1"/>
  <c r="K57" i="1"/>
  <c r="E28" i="4" s="1"/>
  <c r="J57" i="1"/>
  <c r="I28" i="4" s="1"/>
  <c r="I1" i="1"/>
  <c r="H2" i="3" s="1"/>
  <c r="G37" i="3" l="1"/>
  <c r="K37" i="3" s="1"/>
  <c r="G56" i="3"/>
  <c r="G13" i="4"/>
  <c r="G26" i="4" s="1"/>
  <c r="I13" i="4"/>
  <c r="E16" i="3" s="1"/>
  <c r="J13" i="4"/>
  <c r="F16" i="3" s="1"/>
  <c r="F29" i="3" s="1"/>
  <c r="E13" i="4"/>
  <c r="H13" i="4" s="1"/>
  <c r="H37" i="4"/>
  <c r="F57" i="3"/>
  <c r="G55" i="3"/>
  <c r="E57" i="3"/>
  <c r="G33" i="3"/>
  <c r="K33" i="3" s="1"/>
  <c r="G44" i="3"/>
  <c r="K44" i="3" s="1"/>
  <c r="D31" i="3"/>
  <c r="G31" i="3" s="1"/>
  <c r="K31" i="3" s="1"/>
  <c r="N46" i="3"/>
  <c r="H38" i="4"/>
  <c r="D57" i="3"/>
  <c r="E40" i="4"/>
  <c r="F9" i="4"/>
  <c r="F19" i="4"/>
  <c r="F17" i="4"/>
  <c r="F10" i="4"/>
  <c r="F6" i="4"/>
  <c r="F8" i="4"/>
  <c r="H16" i="4"/>
  <c r="F20" i="4"/>
  <c r="H21" i="4"/>
  <c r="F7" i="4"/>
  <c r="F12" i="4"/>
  <c r="D10" i="3"/>
  <c r="G10" i="3" s="1"/>
  <c r="H7" i="4"/>
  <c r="D22" i="3"/>
  <c r="G22" i="3" s="1"/>
  <c r="H19" i="4"/>
  <c r="D20" i="3"/>
  <c r="G20" i="3" s="1"/>
  <c r="H17" i="4"/>
  <c r="F11" i="4"/>
  <c r="D18" i="3"/>
  <c r="G18" i="3" s="1"/>
  <c r="H15" i="4"/>
  <c r="F23" i="4"/>
  <c r="F25" i="4"/>
  <c r="D11" i="3"/>
  <c r="G11" i="3" s="1"/>
  <c r="H8" i="4"/>
  <c r="D23" i="3"/>
  <c r="G23" i="3" s="1"/>
  <c r="H20" i="4"/>
  <c r="D13" i="3"/>
  <c r="G13" i="3" s="1"/>
  <c r="H10" i="4"/>
  <c r="F15" i="4"/>
  <c r="D14" i="3"/>
  <c r="G14" i="3" s="1"/>
  <c r="H11" i="4"/>
  <c r="G6" i="3"/>
  <c r="D15" i="3"/>
  <c r="G15" i="3" s="1"/>
  <c r="H12" i="4"/>
  <c r="D27" i="3"/>
  <c r="G27" i="3" s="1"/>
  <c r="H24" i="4"/>
  <c r="D9" i="3"/>
  <c r="G9" i="3" s="1"/>
  <c r="H6" i="4"/>
  <c r="D26" i="3"/>
  <c r="G26" i="3" s="1"/>
  <c r="H23" i="4"/>
  <c r="F5" i="4"/>
  <c r="F21" i="4"/>
  <c r="F24" i="4"/>
  <c r="D28" i="3"/>
  <c r="G28" i="3" s="1"/>
  <c r="H25" i="4"/>
  <c r="D12" i="3"/>
  <c r="G12" i="3" s="1"/>
  <c r="H9" i="4"/>
  <c r="D8" i="3"/>
  <c r="G8" i="3" s="1"/>
  <c r="H5" i="4"/>
  <c r="D21" i="3"/>
  <c r="G21" i="3" s="1"/>
  <c r="H18" i="4"/>
  <c r="F18" i="4"/>
  <c r="F16" i="4"/>
  <c r="F4" i="4"/>
  <c r="H4" i="4"/>
  <c r="H39" i="4"/>
  <c r="F39" i="4"/>
  <c r="F40" i="4" s="1"/>
  <c r="D16" i="3"/>
  <c r="G42" i="3"/>
  <c r="K42" i="3" s="1"/>
  <c r="G39" i="3"/>
  <c r="K39" i="3" s="1"/>
  <c r="M46" i="3"/>
  <c r="D34" i="4"/>
  <c r="F30" i="4"/>
  <c r="F35" i="3"/>
  <c r="L46" i="3"/>
  <c r="H33" i="4"/>
  <c r="F28" i="4"/>
  <c r="F33" i="4"/>
  <c r="D26" i="4"/>
  <c r="G36" i="3"/>
  <c r="K36" i="3" s="1"/>
  <c r="G45" i="3"/>
  <c r="K45" i="3" s="1"/>
  <c r="G50" i="3"/>
  <c r="H28" i="4"/>
  <c r="F29" i="4"/>
  <c r="G7" i="3"/>
  <c r="C80" i="2"/>
  <c r="E1" i="2" s="1"/>
  <c r="H30" i="4"/>
  <c r="H3" i="4"/>
  <c r="G46" i="3"/>
  <c r="AF5" i="4"/>
  <c r="H29" i="4"/>
  <c r="G49" i="3"/>
  <c r="F32" i="4"/>
  <c r="H32" i="4"/>
  <c r="G47" i="3"/>
  <c r="F3" i="4"/>
  <c r="J1" i="4"/>
  <c r="G41" i="3"/>
  <c r="K41" i="3" s="1"/>
  <c r="D24" i="3"/>
  <c r="G24" i="3" s="1"/>
  <c r="G43" i="3"/>
  <c r="K43" i="3" s="1"/>
  <c r="G40" i="3"/>
  <c r="K40" i="3" s="1"/>
  <c r="D19" i="3"/>
  <c r="G34" i="4"/>
  <c r="G32" i="3"/>
  <c r="K32" i="3" s="1"/>
  <c r="G38" i="3"/>
  <c r="K38" i="3" s="1"/>
  <c r="F48" i="3"/>
  <c r="J34" i="4"/>
  <c r="H31" i="4"/>
  <c r="F31" i="4"/>
  <c r="E34" i="4"/>
  <c r="E48" i="3"/>
  <c r="I34" i="4"/>
  <c r="E19" i="3"/>
  <c r="G34" i="3"/>
  <c r="K34" i="3" s="1"/>
  <c r="G54" i="3"/>
  <c r="G57" i="3" s="1"/>
  <c r="AF8" i="4" l="1"/>
  <c r="I26" i="4"/>
  <c r="I35" i="4" s="1"/>
  <c r="I42" i="4" s="1"/>
  <c r="F13" i="4"/>
  <c r="F26" i="4" s="1"/>
  <c r="J26" i="4"/>
  <c r="J35" i="4" s="1"/>
  <c r="J42" i="4" s="1"/>
  <c r="AF7" i="4"/>
  <c r="E26" i="4"/>
  <c r="E35" i="4" s="1"/>
  <c r="E42" i="4" s="1"/>
  <c r="AF9" i="4"/>
  <c r="G16" i="3"/>
  <c r="H40" i="4"/>
  <c r="D51" i="3"/>
  <c r="D29" i="3"/>
  <c r="G19" i="3"/>
  <c r="D35" i="4"/>
  <c r="D42" i="4" s="1"/>
  <c r="G35" i="4"/>
  <c r="G42" i="4" s="1"/>
  <c r="F51" i="3"/>
  <c r="F52" i="3" s="1"/>
  <c r="F58" i="3" s="1"/>
  <c r="F34" i="4"/>
  <c r="G35" i="3"/>
  <c r="K35" i="3" s="1"/>
  <c r="K46" i="3" s="1"/>
  <c r="H34" i="4"/>
  <c r="H26" i="4"/>
  <c r="G48" i="3"/>
  <c r="E51" i="3"/>
  <c r="E29" i="3"/>
  <c r="G29" i="3" l="1"/>
  <c r="D52" i="3"/>
  <c r="D58" i="3" s="1"/>
  <c r="F35" i="4"/>
  <c r="F42" i="4" s="1"/>
  <c r="H35" i="4"/>
  <c r="H42" i="4" s="1"/>
  <c r="G51" i="3"/>
  <c r="E52" i="3"/>
  <c r="E58" i="3" s="1"/>
  <c r="G52" i="3" l="1"/>
  <c r="G58" i="3" s="1"/>
</calcChain>
</file>

<file path=xl/sharedStrings.xml><?xml version="1.0" encoding="utf-8"?>
<sst xmlns="http://schemas.openxmlformats.org/spreadsheetml/2006/main" count="7407" uniqueCount="3675">
  <si>
    <t>yok</t>
  </si>
  <si>
    <t>gunduz</t>
  </si>
  <si>
    <t>geca</t>
  </si>
  <si>
    <t>dis</t>
  </si>
  <si>
    <t>sayi</t>
  </si>
  <si>
    <t>NO</t>
  </si>
  <si>
    <t xml:space="preserve">КОД </t>
  </si>
  <si>
    <t>Ofis  Personel / Итр</t>
  </si>
  <si>
    <t>ФИО / isim soyad</t>
  </si>
  <si>
    <t xml:space="preserve">Професий / meslek </t>
  </si>
  <si>
    <t>NM</t>
  </si>
  <si>
    <t xml:space="preserve">FM </t>
  </si>
  <si>
    <t>Общий</t>
  </si>
  <si>
    <t>Samet Selcuk</t>
  </si>
  <si>
    <t>Селчук Самет</t>
  </si>
  <si>
    <t>PROJE MUDURU</t>
  </si>
  <si>
    <t>GENEL MUDUR DANISMANI</t>
  </si>
  <si>
    <t>X</t>
  </si>
  <si>
    <t>PROJE MUDURU YARDIMCISI</t>
  </si>
  <si>
    <t xml:space="preserve">Gokay Kabakci </t>
  </si>
  <si>
    <t>TEKNIK OFIS SEFI</t>
  </si>
  <si>
    <t>Tolga Topal</t>
  </si>
  <si>
    <t>Топал Толга</t>
  </si>
  <si>
    <t>TEKNIK OFIS MUHENDISI</t>
  </si>
  <si>
    <t>Nejmeddin Aydin</t>
  </si>
  <si>
    <t>BAS MIMAR</t>
  </si>
  <si>
    <t>SANTIYE SEFI</t>
  </si>
  <si>
    <t>SMETA MUHENDISI</t>
  </si>
  <si>
    <t>Ekaterina Stakhovskaya</t>
  </si>
  <si>
    <t>Стакховская Екатерина</t>
  </si>
  <si>
    <t>Fatih Cakir</t>
  </si>
  <si>
    <t>Чакыр Фатих</t>
  </si>
  <si>
    <t>INSAAT TEKNIKERI (SAHA SEFI)</t>
  </si>
  <si>
    <t>SAHA MUHENDISI</t>
  </si>
  <si>
    <t>DIS GOREV ИнтерРАО</t>
  </si>
  <si>
    <t>Akbaraly Kambaraly Uulu</t>
  </si>
  <si>
    <t>INSAAT MUHENDISI</t>
  </si>
  <si>
    <t>Rodion Datsyuk</t>
  </si>
  <si>
    <t>Gurgen Vansyan</t>
  </si>
  <si>
    <t>Вансян Гурген</t>
  </si>
  <si>
    <t>Serdar Deha Erozbek</t>
  </si>
  <si>
    <t>Эрозбек Сердар Деха</t>
  </si>
  <si>
    <t>ELEKTRIK KISIM SEFI</t>
  </si>
  <si>
    <t>Yilmaz Karakus</t>
  </si>
  <si>
    <t>Каракуш Йылмаз</t>
  </si>
  <si>
    <t>ELEKTRIK MUHENDISI</t>
  </si>
  <si>
    <t>ELEKTRIK ZAYIF AKIM MUHENDISI</t>
  </si>
  <si>
    <t>ELEKTRIK  P.T.O MUHENDISI</t>
  </si>
  <si>
    <t>MEKANIK KISIM SEFI</t>
  </si>
  <si>
    <t>BAS MUHENDIS MEKANIK</t>
  </si>
  <si>
    <t>PTO (MEKANIK) MUHENDISI</t>
  </si>
  <si>
    <t>PTO SEFI</t>
  </si>
  <si>
    <t>P.T.O MUHENDISI</t>
  </si>
  <si>
    <t>Oleg Li</t>
  </si>
  <si>
    <t>Ли Олег</t>
  </si>
  <si>
    <t xml:space="preserve">P.T.O STAJOR </t>
  </si>
  <si>
    <t>PERSONEL VE IDARI ISLER SEFI</t>
  </si>
  <si>
    <t>PERSONEL SEFI YARDIMCISI</t>
  </si>
  <si>
    <t>Pulat Gadjiev</t>
  </si>
  <si>
    <t>Гаджиев Пулат Феридинович</t>
  </si>
  <si>
    <t>IDARI ISLER VE KAMP AMIRI</t>
  </si>
  <si>
    <t>Uulkan Toktormamat Kyzy</t>
  </si>
  <si>
    <t>Токтормамат Кызы Уулкан</t>
  </si>
  <si>
    <t>Shahliyorjon Olamov</t>
  </si>
  <si>
    <t>Оламов Шахлиёржон Эргашович</t>
  </si>
  <si>
    <t>PERSONEL VE IDARI ISLER MEMURU</t>
  </si>
  <si>
    <t>Maruf Meliboev</t>
  </si>
  <si>
    <t>Мелибоев Маруф Нормаматович</t>
  </si>
  <si>
    <t>BAS PUANTOR</t>
  </si>
  <si>
    <t>PUANTOR</t>
  </si>
  <si>
    <t>DIS GOREV KATOK</t>
  </si>
  <si>
    <t>SATIN ALMA</t>
  </si>
  <si>
    <t>Nazira Ermek Kyzy</t>
  </si>
  <si>
    <t>BAS MUHASEBECI</t>
  </si>
  <si>
    <t>MUHASEBECI</t>
  </si>
  <si>
    <t>ILK YARDIM GOREVLISI</t>
  </si>
  <si>
    <t>SOFOR / ШОФЁР</t>
  </si>
  <si>
    <t>SOFOR</t>
  </si>
  <si>
    <t>Х</t>
  </si>
  <si>
    <t>Samarbek Satimkulov</t>
  </si>
  <si>
    <t>Zalhar Djumanazarov</t>
  </si>
  <si>
    <t>Джуманазаров Залхар</t>
  </si>
  <si>
    <t>Zhyldyzbek Ryskulbek Uulu</t>
  </si>
  <si>
    <t>Рыскулбек Уулу Жылдызбек</t>
  </si>
  <si>
    <t>Nurlan Adylbek Uulu</t>
  </si>
  <si>
    <t>Адылбек Уулу Нурлан</t>
  </si>
  <si>
    <t>Asan Kamchiev</t>
  </si>
  <si>
    <t>Камчиев Асан Жолдошевич</t>
  </si>
  <si>
    <t>Nursultan Egamberdi Uulu</t>
  </si>
  <si>
    <t>Эгемберди Уулу Нурсултан</t>
  </si>
  <si>
    <t>BEKCI / ОХРАНА</t>
  </si>
  <si>
    <t>Sattar Sattarov</t>
  </si>
  <si>
    <t>BEKCI SORUMLUSU</t>
  </si>
  <si>
    <t xml:space="preserve">GECE </t>
  </si>
  <si>
    <t>Ulugbek Urinov</t>
  </si>
  <si>
    <t>Уринов Улугбек Хасанович</t>
  </si>
  <si>
    <t>BEKCI</t>
  </si>
  <si>
    <t>Amirali Nazarov</t>
  </si>
  <si>
    <t>Назаров Амирали Файзалиевич</t>
  </si>
  <si>
    <t>Bakhtiyor Bakiev</t>
  </si>
  <si>
    <t>Бакиев Бахтиёр Мирпулатович</t>
  </si>
  <si>
    <t>Bekhruz Umbarov</t>
  </si>
  <si>
    <t>Умбаров Бехруз Анвар Угли</t>
  </si>
  <si>
    <t>Абдуллаев Шухрат Тухтабаевич</t>
  </si>
  <si>
    <t>DIS GOREV PODUSKINA</t>
  </si>
  <si>
    <t>Uralbay Ernazarov</t>
  </si>
  <si>
    <t>Ерназаров Уралбай Базарбаевич</t>
  </si>
  <si>
    <t xml:space="preserve">OFIS DIGER PERSONEL / ПРОЧЕЕ ПЕРС   </t>
  </si>
  <si>
    <t>OFIS HIZMETLI</t>
  </si>
  <si>
    <t>Nozigul Ismoilova</t>
  </si>
  <si>
    <t>Исмоилова Нозигул Шарофовна</t>
  </si>
  <si>
    <t>Nasiba Ruzmetova</t>
  </si>
  <si>
    <t>Рузметова Насиба Матчоновна</t>
  </si>
  <si>
    <t>HIZMETLI YEMEKHANE</t>
  </si>
  <si>
    <t>Hayitgul Yuldosheva</t>
  </si>
  <si>
    <t>Юлдошева Хайитгул Мухаммад кизи</t>
  </si>
  <si>
    <t>Davlatjon Isakov</t>
  </si>
  <si>
    <t>Исаков Давлатжон Юлчибой Угли</t>
  </si>
  <si>
    <t>DIS GOREV IKB</t>
  </si>
  <si>
    <t>Jushkinbek Egamberdiev</t>
  </si>
  <si>
    <t>Эгамбердиев Жушкинбек Шавкатович</t>
  </si>
  <si>
    <t xml:space="preserve">DEPO/ КЛАДОВЩИК  </t>
  </si>
  <si>
    <t>Serdar Akbaba</t>
  </si>
  <si>
    <t>Акбаба Сердар</t>
  </si>
  <si>
    <t>AMBAR SEFI</t>
  </si>
  <si>
    <t>AMBAR OPERATORU</t>
  </si>
  <si>
    <t>AMBARCI</t>
  </si>
  <si>
    <t>Jurabek Akramov</t>
  </si>
  <si>
    <t>Khasan Makhmudov</t>
  </si>
  <si>
    <t>Махмудов Хасан Азимжон Угли</t>
  </si>
  <si>
    <t>Khursanali Uktamov</t>
  </si>
  <si>
    <t>Уктамов Хурсанали Содикжон Угли</t>
  </si>
  <si>
    <t>GECE</t>
  </si>
  <si>
    <t>Shokhruz Aliboboyev</t>
  </si>
  <si>
    <t>Алибобойев Шохруз Кахрамонович</t>
  </si>
  <si>
    <t>Mukhammad Shonazarov</t>
  </si>
  <si>
    <t>Шоназаров Мухаммад Алиевич</t>
  </si>
  <si>
    <t>ГЕОДЕЗИСТ /TOPOGRAF TAHA TILEGI</t>
  </si>
  <si>
    <t>Taha Tilegi</t>
  </si>
  <si>
    <t>TOPOGRAF</t>
  </si>
  <si>
    <t>Irina Klimovich</t>
  </si>
  <si>
    <t>Aleksandr Klimovich</t>
  </si>
  <si>
    <t>Hurmatbek Rozmetov</t>
  </si>
  <si>
    <t>Розметов Хурматбек Юсупович</t>
  </si>
  <si>
    <t>ALET OPERATORU</t>
  </si>
  <si>
    <t>Diyorbek Kutlimuratov</t>
  </si>
  <si>
    <t>Кутлимуратов Диёрбек Махсуд Угли</t>
  </si>
  <si>
    <t>Akbar Nurmetov</t>
  </si>
  <si>
    <t>Нурметов Акбар Холикбердиевич</t>
  </si>
  <si>
    <t>NIVO OPERATORU</t>
  </si>
  <si>
    <t>SENOR</t>
  </si>
  <si>
    <t>Islom Urinov</t>
  </si>
  <si>
    <t>Уринов Ислом Сапарбаевич</t>
  </si>
  <si>
    <t>Rahmonali Mahmutaliev</t>
  </si>
  <si>
    <t>Kudrat Khayitbaev</t>
  </si>
  <si>
    <t>Azimjon Gulimov</t>
  </si>
  <si>
    <t>Гулимов Азимжон Кудрат Угли</t>
  </si>
  <si>
    <t>IS GUVENLIK EKIBI / ТЕХНИКА БЕЗОПАСНОСТИ</t>
  </si>
  <si>
    <t>IS GUVENLIK MUHENDISI</t>
  </si>
  <si>
    <t>IS GUVENLIK YARDIMCISI</t>
  </si>
  <si>
    <t>IS GUVENLIK FORMENI</t>
  </si>
  <si>
    <t>IS GUVENLIK GOZETMENI</t>
  </si>
  <si>
    <t>KAYNAKCI</t>
  </si>
  <si>
    <t>Makhmudjon Bekmanov</t>
  </si>
  <si>
    <t>Бекманов Махмуджон Аманбаевич</t>
  </si>
  <si>
    <t>DUZ ISCI</t>
  </si>
  <si>
    <t>Emomali Azimov</t>
  </si>
  <si>
    <t>Rahmonali Azimov</t>
  </si>
  <si>
    <t>Азимов Рахмонали Абдумалахович</t>
  </si>
  <si>
    <t>Jamshid Asilbekov</t>
  </si>
  <si>
    <t>Асилбеков Жамшид Абдумурот Угли</t>
  </si>
  <si>
    <t xml:space="preserve">ELEKTRIK / ЭЛЕКТРИК    </t>
  </si>
  <si>
    <t>Bekzod Sapaev</t>
  </si>
  <si>
    <t>Сапаев Бекзод Таджибаевич</t>
  </si>
  <si>
    <t>ELEKTRIK FORMEN</t>
  </si>
  <si>
    <t>ELEKTRIK EKIPBASI</t>
  </si>
  <si>
    <t>Allayor Mambetov</t>
  </si>
  <si>
    <t>Мамбетов Аллаёр Махсуд Угли</t>
  </si>
  <si>
    <t>Alisher Yusupov</t>
  </si>
  <si>
    <t>Юсупов Алишер Мавланбердиевич</t>
  </si>
  <si>
    <t>Umirbek Yusupov</t>
  </si>
  <si>
    <t>Юсупов Умирбек Камилжанович</t>
  </si>
  <si>
    <t>Davronbek Allaberganov</t>
  </si>
  <si>
    <t>Jurabek Kurbanov</t>
  </si>
  <si>
    <t>Курбанов Журабек Исмаилович</t>
  </si>
  <si>
    <t>Tukhtabay Kazakov</t>
  </si>
  <si>
    <t>Казаков Тухтабай Ибадуллаевич</t>
  </si>
  <si>
    <t>ELEKTRIKCI</t>
  </si>
  <si>
    <t>Davlatbek Ashirov</t>
  </si>
  <si>
    <t>Аширов Давлатбек Рузим Угли</t>
  </si>
  <si>
    <t>Yusup Saburov</t>
  </si>
  <si>
    <t>Сабуров Юсуп Абдуллаевич</t>
  </si>
  <si>
    <t>Ulugbek Yusupov</t>
  </si>
  <si>
    <t>Abror Yusupov</t>
  </si>
  <si>
    <t>Юсупов Аброр Усман Угли</t>
  </si>
  <si>
    <t>Yodgorbek Khudaybergenov</t>
  </si>
  <si>
    <t>Худайбергенов Ёдгорбек Шавкат Угли</t>
  </si>
  <si>
    <t>Atavulla Kamolov</t>
  </si>
  <si>
    <t>Камолов Атавулла Бекназар Угли</t>
  </si>
  <si>
    <t>Shokhrukh Usmonov</t>
  </si>
  <si>
    <t>Усмонов Шохрух арслонбек Угли</t>
  </si>
  <si>
    <t>Rakhimboy Rakhimov</t>
  </si>
  <si>
    <t>Рахимов Рахимбой Жамоладдин Угли</t>
  </si>
  <si>
    <t>Bagibek Abdullaev</t>
  </si>
  <si>
    <t>Абдуллаев Багибек Кадирбаевич</t>
  </si>
  <si>
    <t>Jakhongir Primov</t>
  </si>
  <si>
    <t>Примов Жахонгир Искандар Угли</t>
  </si>
  <si>
    <t>Khurshidbek Achilov</t>
  </si>
  <si>
    <t>Ачилов Хуршидбек Эргаш Угли</t>
  </si>
  <si>
    <t>Sherzod Abdalov</t>
  </si>
  <si>
    <t>Абдалов Шерзод Давранович</t>
  </si>
  <si>
    <t>Ogabek Muminbaev</t>
  </si>
  <si>
    <t>Муминбаев Огабек Умидбек Угли</t>
  </si>
  <si>
    <t>Sobirjon Sulaymonov</t>
  </si>
  <si>
    <t>Сулаймонов Собиржон Тоирович</t>
  </si>
  <si>
    <t>Azizbek Allashkurov</t>
  </si>
  <si>
    <t>Аллашкуров Азизбек Эркинович</t>
  </si>
  <si>
    <t>Otabek Yuldoshev</t>
  </si>
  <si>
    <t>Юлдошев Отабек Собиржон Угли</t>
  </si>
  <si>
    <t>MEKANIK\SANTEKNIK</t>
  </si>
  <si>
    <t>TESISATCI FORMENI</t>
  </si>
  <si>
    <t>DIS GOREV SKOLKOVO</t>
  </si>
  <si>
    <t>TESISATCI KALFASI</t>
  </si>
  <si>
    <t>TESISATCI EKIPBASI</t>
  </si>
  <si>
    <t>TESISATCI</t>
  </si>
  <si>
    <t>Rustambek Allaberganov</t>
  </si>
  <si>
    <t>Аллаберганов Рустамбек Максудбекович</t>
  </si>
  <si>
    <t>Mukhammadali Allaberganov</t>
  </si>
  <si>
    <t>Аллаберганов Мухаммадали Атамуродович</t>
  </si>
  <si>
    <t>Kuvandik Yakubov</t>
  </si>
  <si>
    <t>Akbar Islamov</t>
  </si>
  <si>
    <t>Исламов Акбар Абдурахмонович</t>
  </si>
  <si>
    <t>Jalolbek Mamataliev</t>
  </si>
  <si>
    <t>Маматалиев Жалолбек Зафар Угли</t>
  </si>
  <si>
    <t>Khasan Khaydarov</t>
  </si>
  <si>
    <t>Хайдаров Хасан Газандурдиевич</t>
  </si>
  <si>
    <t>Jasurbek Avazimbetov</t>
  </si>
  <si>
    <t>Авазимбетов Жасурбек Кузибаевич</t>
  </si>
  <si>
    <t>Sherimmat Avazmetov</t>
  </si>
  <si>
    <t>Авазметов Шериммат Атажанович</t>
  </si>
  <si>
    <t>Yollimamet Orazgeldiev</t>
  </si>
  <si>
    <t>Оразгелдиев Ёллимамет Байрамович</t>
  </si>
  <si>
    <t>Shokir Masharipov</t>
  </si>
  <si>
    <t>Машарипов Шокир Одамович</t>
  </si>
  <si>
    <t>MEKANIK\HAVALANDIRMACI</t>
  </si>
  <si>
    <t>HAVALANDIRMA EKIPBASI</t>
  </si>
  <si>
    <t>HAVALANDIRMACI</t>
  </si>
  <si>
    <t>Maksudbek Allaberganov</t>
  </si>
  <si>
    <t>Аллаберганов Максудбек Атамуратович</t>
  </si>
  <si>
    <t>Elaman Sarsenov</t>
  </si>
  <si>
    <t>Сарсенов Эламан Жолдасбаевич</t>
  </si>
  <si>
    <t>Khamid Agabaev</t>
  </si>
  <si>
    <t>Djoldasbay Nurmakhanov</t>
  </si>
  <si>
    <t>INCE ISLER BOGIBEK FATKULLIN EKIBI</t>
  </si>
  <si>
    <t>INCE ISLER FORMENI</t>
  </si>
  <si>
    <t>SAHA</t>
  </si>
  <si>
    <t>INCE ISLER EKIPBASI</t>
  </si>
  <si>
    <t>Sanjar Tojiboev</t>
  </si>
  <si>
    <t>Тожибоев Санжар Камол Угли</t>
  </si>
  <si>
    <t>ALCI BOYA USTASI</t>
  </si>
  <si>
    <t>ALCIPAN USTASI</t>
  </si>
  <si>
    <t>DUVAR USTASI</t>
  </si>
  <si>
    <t>Otabek Boboev</t>
  </si>
  <si>
    <t>Бобоев Отабек Назарович</t>
  </si>
  <si>
    <t>Khakimbay Allabergenov</t>
  </si>
  <si>
    <t>Аллабергенов Хакимбай Розимбаевич</t>
  </si>
  <si>
    <t>Mukhammadkul Khujamurodov</t>
  </si>
  <si>
    <t>Хужамуродов Мухаммадкул Омон Угли</t>
  </si>
  <si>
    <t>Islombek Normuratov</t>
  </si>
  <si>
    <t>Нормуратов Исломбек Наби Угли</t>
  </si>
  <si>
    <t>Odilbek Kuronboev</t>
  </si>
  <si>
    <t>Куронбоев Одилбек Бахром Угли</t>
  </si>
  <si>
    <t>Dilshod Ergashev</t>
  </si>
  <si>
    <t>Эргашев Дилшод Эргаш Угли</t>
  </si>
  <si>
    <t>Abray Begimkulov</t>
  </si>
  <si>
    <t>Бегимкулов Абрай Маркаевич</t>
  </si>
  <si>
    <t>Bobomurod Sabirov</t>
  </si>
  <si>
    <t>Сабиров Бобомурод Бахадирович</t>
  </si>
  <si>
    <t>Жураев Бехруз Абдулла Угли</t>
  </si>
  <si>
    <t>Mironshokh Shermatov</t>
  </si>
  <si>
    <t>Ergash Erkaev</t>
  </si>
  <si>
    <t>Sarvarbek Turaev</t>
  </si>
  <si>
    <t>Ruslanbek Yusubov</t>
  </si>
  <si>
    <t>Юсубов Русланбек Сатимович</t>
  </si>
  <si>
    <t>Rasul Khudaybergenov</t>
  </si>
  <si>
    <t>Худайбергенов Расул Мамбетсалиевич</t>
  </si>
  <si>
    <t>Umirbek Khojabdullaev</t>
  </si>
  <si>
    <t>Хожабдуллаев Умирбек Сапарбаевич</t>
  </si>
  <si>
    <t>Izzatbek Yusufov</t>
  </si>
  <si>
    <t>Юсуфов Иззатбек Лочинбек Угли</t>
  </si>
  <si>
    <t>Sardor Turaev</t>
  </si>
  <si>
    <t>Тураев Сардор Артикбойевич</t>
  </si>
  <si>
    <t>Fazliddin Beymatov</t>
  </si>
  <si>
    <t>Бейматов Фазлиддин Зарипбой Угли</t>
  </si>
  <si>
    <t>Obbosbek Ergashev</t>
  </si>
  <si>
    <t>Эргашев Оббосбек Мухаммаджон Угли</t>
  </si>
  <si>
    <t>Alimardon Nishonov</t>
  </si>
  <si>
    <t>Нишонов Алимардон Курбоналиевич</t>
  </si>
  <si>
    <t>IZOLASYONCU</t>
  </si>
  <si>
    <t>SERAMIK USTASI</t>
  </si>
  <si>
    <t>Batir Khudayberganov</t>
  </si>
  <si>
    <t>Худайберганов Батир Раманович</t>
  </si>
  <si>
    <t>Sanat Satimbaev</t>
  </si>
  <si>
    <t>Сатимбаев Санат Кувандик Угли</t>
  </si>
  <si>
    <t>Sirojbek Satimov</t>
  </si>
  <si>
    <t>Сатимов Сирожбек Шавкат Угли</t>
  </si>
  <si>
    <t>SIVACI</t>
  </si>
  <si>
    <t>Nodirbek Tojiboev</t>
  </si>
  <si>
    <t>Тожибоев Нодирбек Рашид Угли</t>
  </si>
  <si>
    <t>Sanjar Ganiev</t>
  </si>
  <si>
    <t>Ганиев Санжар Абдуманонович</t>
  </si>
  <si>
    <t>SIVACI USTASI</t>
  </si>
  <si>
    <t>Dilmurod Nurmatov</t>
  </si>
  <si>
    <t>Нурматов Дилмурод Гофур Угли</t>
  </si>
  <si>
    <t>Sobirjon Yuldoshov</t>
  </si>
  <si>
    <t>Юлдошов Собиржон Омонбой Угли</t>
  </si>
  <si>
    <t>ALCIPANCI</t>
  </si>
  <si>
    <t>ASRORJON ERGASHEV  EKIBI</t>
  </si>
  <si>
    <t>Asrorjon Ergashev</t>
  </si>
  <si>
    <t>Эргашев Асрорджон Ахматович</t>
  </si>
  <si>
    <t>Farkhod Kobilkhujaev</t>
  </si>
  <si>
    <t>Кобилхуджаев Фарход Рустамович</t>
  </si>
  <si>
    <t>Bunyod Dilmurotov</t>
  </si>
  <si>
    <t>Дилмуротов Бунёд Бобомурод Угли</t>
  </si>
  <si>
    <t>Mukhammadaziz Kodiraliev</t>
  </si>
  <si>
    <t>Кодиралиев Мухаммадазиз Сохибжон Угли</t>
  </si>
  <si>
    <t>Zokir Umarov</t>
  </si>
  <si>
    <t>Умаров Зокир Мамадиёрович</t>
  </si>
  <si>
    <t>Muso Muhabbatov</t>
  </si>
  <si>
    <t>Мухаббатов Мусо Саъдуллоевич</t>
  </si>
  <si>
    <t xml:space="preserve">Kholmirza Meyliev </t>
  </si>
  <si>
    <t>Мейлиев Холмирза Асадулло Угли</t>
  </si>
  <si>
    <t>Shukhrat Miraliev</t>
  </si>
  <si>
    <t>Миралиев Шухрат Шохназарович</t>
  </si>
  <si>
    <t>Oybek Shodiev</t>
  </si>
  <si>
    <t>Шодиев Ойбек Кулдош Угли</t>
  </si>
  <si>
    <t>Hakimjoni Girdakzoda</t>
  </si>
  <si>
    <t>Гирдакзода Хакимджони Лоик</t>
  </si>
  <si>
    <t>Sardor Norboev</t>
  </si>
  <si>
    <t>Норбоев Сардор Кулдош Угли</t>
  </si>
  <si>
    <t>Khalimjon Akhmedov</t>
  </si>
  <si>
    <t>Ахмедов Халимжон Расулджонович</t>
  </si>
  <si>
    <t>Fazliddin Yusupov</t>
  </si>
  <si>
    <t>Юсупов Фазлиддин Давронович</t>
  </si>
  <si>
    <t>Shodibegi Safarzoda</t>
  </si>
  <si>
    <t>Сафарзода Шодибеги Ризо</t>
  </si>
  <si>
    <t>Nurbek Chuponov</t>
  </si>
  <si>
    <t>Чупонов Нурбек Боходирович</t>
  </si>
  <si>
    <t>BOYACI</t>
  </si>
  <si>
    <t>DEMIRCI USTASI</t>
  </si>
  <si>
    <t>Mahmadshof Zoiri</t>
  </si>
  <si>
    <t>Зоири Махмадшох</t>
  </si>
  <si>
    <t>Hojisalmon Usmonshoev</t>
  </si>
  <si>
    <t>Усмоншоев Ходжисалмон Хошимджонович</t>
  </si>
  <si>
    <t>Shahzod Murodullaev</t>
  </si>
  <si>
    <t>Муродуллаев Шахзод Акмал Угли</t>
  </si>
  <si>
    <t>Nazliddin Muzaffarov</t>
  </si>
  <si>
    <t>Safarali Rahmonov</t>
  </si>
  <si>
    <t>Рахмонов Сафарали Махсудбекович</t>
  </si>
  <si>
    <t>Saidburhon Abdulloev</t>
  </si>
  <si>
    <t>Абдуллоев Саидбурхон Абдурахмонович</t>
  </si>
  <si>
    <t>Ismoil Abdulloev</t>
  </si>
  <si>
    <t>Абдуллоев Исмоил Абдулазизович</t>
  </si>
  <si>
    <t>Mustafo Rakhmonov</t>
  </si>
  <si>
    <t>Рахмонов Мустафо Сафаралиевич</t>
  </si>
  <si>
    <t>SAPCI</t>
  </si>
  <si>
    <t>Suhrob Kobilhujaev</t>
  </si>
  <si>
    <t>Кобилхуджаев Сухроб Рустамович</t>
  </si>
  <si>
    <t>Mukhiddin Ulashov</t>
  </si>
  <si>
    <t>Улашов Мухиддин Норпулатович</t>
  </si>
  <si>
    <t>Farhod Khochukov</t>
  </si>
  <si>
    <t>Хочуков Фарход Рухуллоевич</t>
  </si>
  <si>
    <t>Hojivali Badiev</t>
  </si>
  <si>
    <t>Бадиев Ходживали Давлатбекович</t>
  </si>
  <si>
    <t>Farkhod Allabergenov</t>
  </si>
  <si>
    <t>Аллабергенов Фархад Розибаевич</t>
  </si>
  <si>
    <t>Tolejon Sharipov</t>
  </si>
  <si>
    <t>Шарипов Толеъджон Неъматович</t>
  </si>
  <si>
    <t>Ibrokhimdjon Saiburkhonov</t>
  </si>
  <si>
    <t>Сайбурхонов Иброхимджон Солехович</t>
  </si>
  <si>
    <t>Kamal Ismailov</t>
  </si>
  <si>
    <t>Исмаилов Камал Атажанович</t>
  </si>
  <si>
    <t>Ummatali Mavlonov</t>
  </si>
  <si>
    <t>Мавлонов Умматали Рахманалиевич</t>
  </si>
  <si>
    <t>Fakhriddin Djuraev</t>
  </si>
  <si>
    <t>Джураев Фахриддин Алмуродович</t>
  </si>
  <si>
    <t>Shukurullo Tuychizoda</t>
  </si>
  <si>
    <t>Zafar Ashurov</t>
  </si>
  <si>
    <t>Ашуров Зафар Арслонович</t>
  </si>
  <si>
    <t>Elmurod Ortikov</t>
  </si>
  <si>
    <t>Ортиков Элмурод Камолбек Угли</t>
  </si>
  <si>
    <t>Azamat Kuziev</t>
  </si>
  <si>
    <t>Кузиев Азамат Валибоевич</t>
  </si>
  <si>
    <t>Musluhiddinhodjai Niyozzoda</t>
  </si>
  <si>
    <t>Ниёззода Муслухиддинходжаи Фармонходжа</t>
  </si>
  <si>
    <t>Samariddin Safarov</t>
  </si>
  <si>
    <t>Сафаров Самариддин Сафаралиевич</t>
  </si>
  <si>
    <t>Saydali Holboboev</t>
  </si>
  <si>
    <t>Холбобоев Сайдали Тайлонович</t>
  </si>
  <si>
    <t>Nekruz Holmadzoda</t>
  </si>
  <si>
    <t>Холмадзода Некруз Хасан</t>
  </si>
  <si>
    <t>Azizbek Nabijonov</t>
  </si>
  <si>
    <t>Набижонов Азизбек Хурсандали Угли</t>
  </si>
  <si>
    <t>Pardali Sherkhonov</t>
  </si>
  <si>
    <t>Шерхонов Пардали Давлатович</t>
  </si>
  <si>
    <t>Mahmadyor Saidburhonov</t>
  </si>
  <si>
    <t>Саидбурхонов Махмадёр Тоджиддинович</t>
  </si>
  <si>
    <t>Sino Mazhidov</t>
  </si>
  <si>
    <t>Мажидов Сино Салимджонович</t>
  </si>
  <si>
    <t>Emomali Sharifov</t>
  </si>
  <si>
    <t>Шарифов Эмомали Рахмонкулович</t>
  </si>
  <si>
    <t>Dilorsho Radjabov</t>
  </si>
  <si>
    <t>Раджабов Дилоршо Аюбович</t>
  </si>
  <si>
    <t>Sirojidin Gafurov</t>
  </si>
  <si>
    <t>Гафуров Сирожидин Гиёсидинович</t>
  </si>
  <si>
    <t>Avrosul Usmonshoev</t>
  </si>
  <si>
    <t>Усмоншоев Авросул Хошимович</t>
  </si>
  <si>
    <t>Abubakr Fayziddinov</t>
  </si>
  <si>
    <t>Файзиддинов Абубакр Садирович</t>
  </si>
  <si>
    <t>Shukhrat Shernaev</t>
  </si>
  <si>
    <t>Шернаев Шухрат Каххарович</t>
  </si>
  <si>
    <t>Ravshanbek Kuchkarov</t>
  </si>
  <si>
    <t>Кучкаров Равшанбек Салимбаевич</t>
  </si>
  <si>
    <t>Adilbek Khalmuratov</t>
  </si>
  <si>
    <t>Халмуратов Адилбек Аширбаевич</t>
  </si>
  <si>
    <t>Rakhimi Izzatzoda</t>
  </si>
  <si>
    <t>Иззатзода Рахими Ахмад</t>
  </si>
  <si>
    <t>Jaloliddin Khayrov</t>
  </si>
  <si>
    <t>Хайров Джалолиддин Тоджиддинович</t>
  </si>
  <si>
    <t>Abdulaziz Makhammadjonov</t>
  </si>
  <si>
    <t>Махаммаджонов Абдулазиз Азимжон Угли</t>
  </si>
  <si>
    <t>ALISHER KADIROV EKIBI</t>
  </si>
  <si>
    <t>Shavkat Ametov</t>
  </si>
  <si>
    <t>Аметов Шавкат Джуманазарович</t>
  </si>
  <si>
    <t>Saparbay Khabibullaev</t>
  </si>
  <si>
    <t>Anvar Madrakhimov</t>
  </si>
  <si>
    <t>Мадрахимов Анвар Аминович</t>
  </si>
  <si>
    <t>FERUZBEK KULLIEV EKIBI</t>
  </si>
  <si>
    <t>Feruzbek Kulliev</t>
  </si>
  <si>
    <t>Куллиев Ферузбек Туймуродович</t>
  </si>
  <si>
    <t>Uktamjon Ikramov</t>
  </si>
  <si>
    <t>Икрамов Уктамжон Гуломжон Угли</t>
  </si>
  <si>
    <t>Otabek Yuldashev</t>
  </si>
  <si>
    <t>Makhsud Sarimsakov</t>
  </si>
  <si>
    <t>Саримсаков Махсуд Гайбуллаевич</t>
  </si>
  <si>
    <t>Shavkat Sanakulov</t>
  </si>
  <si>
    <t>Санакулов Шавкат Сотиболдиевич</t>
  </si>
  <si>
    <t>Ruslanbek Allabergenov</t>
  </si>
  <si>
    <t>Аллабергенов Русланбек Рахимбаевич</t>
  </si>
  <si>
    <t>Azamat Esirgapov</t>
  </si>
  <si>
    <t>Эсиргапов Азамат Суннатулла Угли</t>
  </si>
  <si>
    <t>Jasur Eshimov</t>
  </si>
  <si>
    <t>Ешимов Жасур Атаханович</t>
  </si>
  <si>
    <t>INCE ISLER-AKBARALI</t>
  </si>
  <si>
    <t>MARANGOZ</t>
  </si>
  <si>
    <t>INCE ISLER YUNUS TUNA</t>
  </si>
  <si>
    <t>Akramjon Eshmirzaev</t>
  </si>
  <si>
    <t>Эшмирзаев Акрамжон Пардаевич</t>
  </si>
  <si>
    <t>Sherbek Ashirov</t>
  </si>
  <si>
    <t>Аширов Шербек Абдисодик Угли</t>
  </si>
  <si>
    <t>Abduvokhid Alikulov</t>
  </si>
  <si>
    <t>Аликулов Абдувохид Кулдош Угли</t>
  </si>
  <si>
    <t>Khusain Khamidov</t>
  </si>
  <si>
    <t>Хамидов Хусаин Жураевич</t>
  </si>
  <si>
    <t>Jamoliddin Musurmanov</t>
  </si>
  <si>
    <t>Мусурманов Жамолиддин Шавхуддинович</t>
  </si>
  <si>
    <t>Mukhriddin Pardaev</t>
  </si>
  <si>
    <t>Ulugbek Umirzokov</t>
  </si>
  <si>
    <t>Умирзоков Улугбек Сирожиддин Угли</t>
  </si>
  <si>
    <t>Sanjar Sarvarov</t>
  </si>
  <si>
    <t>Сарваров Санжар Сарварович</t>
  </si>
  <si>
    <t>Allaberdi Garjiev</t>
  </si>
  <si>
    <t>Гаржиев Аллаберди Жепбарович</t>
  </si>
  <si>
    <t>Bobir Kulaev</t>
  </si>
  <si>
    <t>Кулаев Бобир Хужаназар Угли</t>
  </si>
  <si>
    <t>Muzaffar Kenjaev</t>
  </si>
  <si>
    <t>Кенжаев Музаффар Амирдин Угли</t>
  </si>
  <si>
    <t>Rasul Jumabaev</t>
  </si>
  <si>
    <t>Жумабаев Расул Куралбай Угли</t>
  </si>
  <si>
    <t>Suhrob Ibroimov</t>
  </si>
  <si>
    <t>Иброимов Сухроб Рустамович</t>
  </si>
  <si>
    <t>Ozodbek Tojiboev</t>
  </si>
  <si>
    <t>Тожибоев Озодбек Низомиддин Угли</t>
  </si>
  <si>
    <t>Mukhammadkodir Abdurakhimov</t>
  </si>
  <si>
    <t>Абдурахимов Мухаммадкодир Нодирбек Угли</t>
  </si>
  <si>
    <t>Mansur Madaminov</t>
  </si>
  <si>
    <t>Мадаминов Мансур Базарбаевич</t>
  </si>
  <si>
    <t>Akramjon Turdiev</t>
  </si>
  <si>
    <t>Турдиев Акрамжон Алижонович</t>
  </si>
  <si>
    <t>Bakhrom Choriev</t>
  </si>
  <si>
    <t>Чориев Бахром Рахмон Угли</t>
  </si>
  <si>
    <t>Bakhodir Kulaev</t>
  </si>
  <si>
    <t>Кулаев Баходир Хужаназар Угли</t>
  </si>
  <si>
    <t>Zayniddin Yakubov</t>
  </si>
  <si>
    <t>Якубов Зайниддин Давронбек Угли</t>
  </si>
  <si>
    <t>Sherzod Karimov</t>
  </si>
  <si>
    <t>Каримов Шерзод Шавкатович</t>
  </si>
  <si>
    <t>Rustam Usmonov</t>
  </si>
  <si>
    <t>Усмонов Рустам Шералиевич</t>
  </si>
  <si>
    <t>Azamat Pardaev</t>
  </si>
  <si>
    <t>Пардаев Азамат Нарбутаевич</t>
  </si>
  <si>
    <t>DJAMOLIDDIN ABDIEV</t>
  </si>
  <si>
    <t>Djamoliddin Abdiev</t>
  </si>
  <si>
    <t>Абдиев Джамолиддин Таджимуратович</t>
  </si>
  <si>
    <t>CEPHE FORMENI</t>
  </si>
  <si>
    <t>CEPHE USTASI</t>
  </si>
  <si>
    <t>Farrukhjon Nuraliev</t>
  </si>
  <si>
    <t>Нуралиев Фаррухжон Миркомил Угли</t>
  </si>
  <si>
    <t>Keldiyor Gafarov</t>
  </si>
  <si>
    <t>GENEL SAHA FORMENI</t>
  </si>
  <si>
    <t>GENEL SAHA EKIPBASI</t>
  </si>
  <si>
    <t>KALIPCI</t>
  </si>
  <si>
    <t>KALIPCI USTASI</t>
  </si>
  <si>
    <t>Yunusbek Odamboev</t>
  </si>
  <si>
    <t>Одамбоев Юнусбек Шавкат Угли</t>
  </si>
  <si>
    <t>Mamarasul Khudoyorov</t>
  </si>
  <si>
    <t>Худоёров Мамарасул Эшмаматович</t>
  </si>
  <si>
    <t>Toshtemir Kholmurodov</t>
  </si>
  <si>
    <t>Холмуродов Тоштемир Норсоатович</t>
  </si>
  <si>
    <t>Bilal Kelleci</t>
  </si>
  <si>
    <t>Келледжи Билал</t>
  </si>
  <si>
    <t>SAHA FORMENI</t>
  </si>
  <si>
    <t>Jasurbek Olimov</t>
  </si>
  <si>
    <t>Олимов Жасурбек Бобоназарович</t>
  </si>
  <si>
    <t>OPERATOR</t>
  </si>
  <si>
    <t>Utkirbek Boltaboev</t>
  </si>
  <si>
    <t>Болтабоев Уткирбек Уктамбой Угли</t>
  </si>
  <si>
    <t>Ravshonbek Ruzmetov</t>
  </si>
  <si>
    <t>Рузметов Равшонбек Юсупович</t>
  </si>
  <si>
    <t>Farrukhbek Erkinjonov</t>
  </si>
  <si>
    <t>Эркинжонов Фаррухбек Фахриддин Угли</t>
  </si>
  <si>
    <t>KENAN KURT EKIBI</t>
  </si>
  <si>
    <t>KALIPCI EKIPBASI</t>
  </si>
  <si>
    <t>DEMIRCI</t>
  </si>
  <si>
    <t>Jonibek Kadirov</t>
  </si>
  <si>
    <t>Кадиров Жонибек Мадияр Угли</t>
  </si>
  <si>
    <t>TAMIRCI</t>
  </si>
  <si>
    <t>MAKSUD ISMAYLOV EKIBI</t>
  </si>
  <si>
    <t>Jumyoz Ruzmetov</t>
  </si>
  <si>
    <t>Рузметов Жумёз Исмаилович</t>
  </si>
  <si>
    <t>Muslimbek Mardiev</t>
  </si>
  <si>
    <t>Мардиев Муслимбек Аброр Угли</t>
  </si>
  <si>
    <t>Ziynulla Baypolatov</t>
  </si>
  <si>
    <t>Байполатов Зийнулла Батырбай Улы</t>
  </si>
  <si>
    <t>Adamboy Nurumbetov</t>
  </si>
  <si>
    <t>Нурумбетов Адамбой Каримбаевич</t>
  </si>
  <si>
    <t>Safarali Jumaev</t>
  </si>
  <si>
    <t>Жумаев Сафарали Нормахматович</t>
  </si>
  <si>
    <t>Bobomurod Iskandarov</t>
  </si>
  <si>
    <t>Gayratjon Satimov</t>
  </si>
  <si>
    <t>Сатимов Гайратжон Хусинбой Оглы</t>
  </si>
  <si>
    <t>Shamsiddin Khayitov</t>
  </si>
  <si>
    <t>Хайитов Шамсиддин Бердикулович</t>
  </si>
  <si>
    <t>KAKHRAMON KURAMBAEV EKIBI</t>
  </si>
  <si>
    <t>Khaydarali Yusupov</t>
  </si>
  <si>
    <t>Юсупов Хайдарали Бойматович</t>
  </si>
  <si>
    <t>Mavlonbek Karimov</t>
  </si>
  <si>
    <t>Каримов Мавлонбек Абдуллаевич</t>
  </si>
  <si>
    <t>Botirjon Iskandarov</t>
  </si>
  <si>
    <t>Искандаров Ботиржон Ёкубжон Угли</t>
  </si>
  <si>
    <t>Omatillo Turdibaev</t>
  </si>
  <si>
    <t>Турдибоев Оматилло Садирдин Угли</t>
  </si>
  <si>
    <t>Diyor Khudayberganov</t>
  </si>
  <si>
    <t>Худайберганов Диёр Усманович</t>
  </si>
  <si>
    <t>SAVAS YILMAZ KALIP MONTAJ EKIBI</t>
  </si>
  <si>
    <t>Yasar Kurt</t>
  </si>
  <si>
    <t>Курт Йашар</t>
  </si>
  <si>
    <t>KALIPCI FORMENI</t>
  </si>
  <si>
    <t>Haci Hasan Kor</t>
  </si>
  <si>
    <t>Кор Хаджы Хасан</t>
  </si>
  <si>
    <t>DEMIRCI  EKIPBASI</t>
  </si>
  <si>
    <t>Saidbilol Ishmatov</t>
  </si>
  <si>
    <t>Ишматов Саидбилол Курбоналиевич</t>
  </si>
  <si>
    <t>Salohiddin Jabborov</t>
  </si>
  <si>
    <t>Джабборов Салохиддин Нуралиевич</t>
  </si>
  <si>
    <t>Alisher Kholmuratov</t>
  </si>
  <si>
    <t>Холмуратов Алишер Джураевич</t>
  </si>
  <si>
    <t>Azizbek Mukhiddinov</t>
  </si>
  <si>
    <t>Мухиддинов Азизбек Сайпидинович</t>
  </si>
  <si>
    <t>Erali Urolov</t>
  </si>
  <si>
    <t>Уролов Эрали Нурали Угли</t>
  </si>
  <si>
    <t>HARUN AKDENIZ EKIBI</t>
  </si>
  <si>
    <t xml:space="preserve">Harun Akdeniz </t>
  </si>
  <si>
    <t>Акдениз Харун</t>
  </si>
  <si>
    <t>Azamat Shomanov</t>
  </si>
  <si>
    <t>Шоманов Азамат</t>
  </si>
  <si>
    <t>DEMIRCI KALFASI</t>
  </si>
  <si>
    <t>Adilbek Yuldashov</t>
  </si>
  <si>
    <t>Юлдашов Адилбек Атаджанович</t>
  </si>
  <si>
    <t>BETONCU</t>
  </si>
  <si>
    <t>Mansur Urazbaev</t>
  </si>
  <si>
    <t>Уразбаев Мансур Эркабаевич</t>
  </si>
  <si>
    <t>Gayrat Urazmetov</t>
  </si>
  <si>
    <t>DOSEME KALIP VE DEMIR IMALATI</t>
  </si>
  <si>
    <t>Dilshod Madiyarov</t>
  </si>
  <si>
    <t>Мадияров Дилшод Бахтиёр Угли</t>
  </si>
  <si>
    <t>Genjabay Amandurdiev</t>
  </si>
  <si>
    <t>Minhojidin Sidiqov</t>
  </si>
  <si>
    <t>Сидиков Минходжидин Камарович</t>
  </si>
  <si>
    <t>Kumar Sanjeet</t>
  </si>
  <si>
    <t>Кумар Санжеет</t>
  </si>
  <si>
    <t>Бисвас Апу</t>
  </si>
  <si>
    <t>Jaiswal Ishwar</t>
  </si>
  <si>
    <t>Пател Житендра</t>
  </si>
  <si>
    <t>Farkhod Tadjimuratov</t>
  </si>
  <si>
    <t>Таджимуратов Фарход Римбаевич</t>
  </si>
  <si>
    <t>Jakhangir Khalillaev</t>
  </si>
  <si>
    <t>Халиллаев Жахангир Бахадир Угли</t>
  </si>
  <si>
    <t>Parakhat Neymanov</t>
  </si>
  <si>
    <t>Найманов Парахат Бердиевич</t>
  </si>
  <si>
    <t>Asadbek Kurolboev</t>
  </si>
  <si>
    <t>Куролбоев Асадбек Баходир Угли</t>
  </si>
  <si>
    <t>Maksadbek Sabirov</t>
  </si>
  <si>
    <t>Сабиров Максадбек Мухиддин Угли</t>
  </si>
  <si>
    <t>Makhmudjon Allayarov</t>
  </si>
  <si>
    <t>Аллаяров Махмуджон Аманбаевич</t>
  </si>
  <si>
    <t>Bakhtiyar Davlatov</t>
  </si>
  <si>
    <t>Давлатов Бахтияр Бахадирович</t>
  </si>
  <si>
    <t>Islam Muratov</t>
  </si>
  <si>
    <t>Муратов Ислам Тувакмуратович</t>
  </si>
  <si>
    <t>Bogibek Aminboev</t>
  </si>
  <si>
    <t>Аминбоев Богибек Равшанбек Угли</t>
  </si>
  <si>
    <t>Javlonbek Abduraimov</t>
  </si>
  <si>
    <t>Абдураимов Жавлонбек Абдурашид Угли</t>
  </si>
  <si>
    <t>Toplam Sayi</t>
  </si>
  <si>
    <t xml:space="preserve">ELEKTRIK KISIM  SEFI  </t>
  </si>
  <si>
    <t>Harun Akdeniz</t>
  </si>
  <si>
    <t>SERDAR DEHA EROZBEK</t>
  </si>
  <si>
    <t>PERSONEL SEFI</t>
  </si>
  <si>
    <t xml:space="preserve">SANTIYE  SEFI  </t>
  </si>
  <si>
    <t>ISMAIL CELEN</t>
  </si>
  <si>
    <t>KEMAL ERBAS</t>
  </si>
  <si>
    <t>EKIP</t>
  </si>
  <si>
    <t>EKIP SORUMLUSU</t>
  </si>
  <si>
    <t>TOPLAM MAVCUT</t>
  </si>
  <si>
    <t>TOPLAM CALISAN</t>
  </si>
  <si>
    <t>GUNDUZ CALISAN</t>
  </si>
  <si>
    <t>GECE CALISAN</t>
  </si>
  <si>
    <t>TOPLAM GELMEYEN</t>
  </si>
  <si>
    <t>SANTIYEYE GELMEYEN</t>
  </si>
  <si>
    <t>DIS GOREV</t>
  </si>
  <si>
    <t>IS GUVENLIK EKIBI</t>
  </si>
  <si>
    <t>ALEKSEY ANTIPOV</t>
  </si>
  <si>
    <t>ELEKTRIK</t>
  </si>
  <si>
    <t>BEKZOD SAPAEV</t>
  </si>
  <si>
    <t>MEKANIK-TESISAT</t>
  </si>
  <si>
    <t>OMER KAYA</t>
  </si>
  <si>
    <t>MEKANIK-HAVALANDIRMA</t>
  </si>
  <si>
    <t>INCE ISLER BOGIBEK FATKULLIN</t>
  </si>
  <si>
    <t>BOGIBEK FATKULLIN</t>
  </si>
  <si>
    <t>INCE ISLER ASRORJON ERGASHEV</t>
  </si>
  <si>
    <t>ASRORJON ERGASHEV</t>
  </si>
  <si>
    <t>INCE ISLER ALISHER KADIROV</t>
  </si>
  <si>
    <t>ALISHER KADIROV</t>
  </si>
  <si>
    <t>INCE ISLER FERUZ KULLIEV</t>
  </si>
  <si>
    <t>FERUZBEK KULLIEV</t>
  </si>
  <si>
    <t>AKBARALI</t>
  </si>
  <si>
    <t>YUNUS TUNA</t>
  </si>
  <si>
    <t>CEPHECI EKIBI DJAMOLIDDIN ABDIEV</t>
  </si>
  <si>
    <t xml:space="preserve">GENEL SAHA-BILAL KELLECI </t>
  </si>
  <si>
    <t xml:space="preserve">BILAL KELLECI </t>
  </si>
  <si>
    <t>GENEL SAHA-KENAN KURT</t>
  </si>
  <si>
    <t>KENAN KURT</t>
  </si>
  <si>
    <t>GENEL SAHA-MAKSUD ISMAYLOV</t>
  </si>
  <si>
    <t>MAKSUD ISMAYLOV</t>
  </si>
  <si>
    <t>GENEL SAHA-KAKHRAMON KURAMBAEV</t>
  </si>
  <si>
    <t>KAKHRAMON KURAMBAEV</t>
  </si>
  <si>
    <t>KALIPCI - DEMIRCI</t>
  </si>
  <si>
    <t>SAVAS YILMAZ</t>
  </si>
  <si>
    <t>HARUN AKDENIZ</t>
  </si>
  <si>
    <t>DIREK TOPLAM</t>
  </si>
  <si>
    <t>ENDIREK VE HIZMETLI</t>
  </si>
  <si>
    <t>TEKNIK IDARE</t>
  </si>
  <si>
    <t>HIZMETLI</t>
  </si>
  <si>
    <t>ENDIREK TOPLAM</t>
  </si>
  <si>
    <t>MONOTEKSTROY TOPLAM</t>
  </si>
  <si>
    <t>TASERON TOPLAM</t>
  </si>
  <si>
    <t xml:space="preserve"> GENEL TOPLAM</t>
  </si>
  <si>
    <t>Руководитель Проекта</t>
  </si>
  <si>
    <t>№</t>
  </si>
  <si>
    <t>Персонал / Personnel</t>
  </si>
  <si>
    <t>Общий Кадров</t>
  </si>
  <si>
    <t>НЕ ВЫШЛИ НА РАБОТУ</t>
  </si>
  <si>
    <t>Бальничный ОТПУСК / Командировка</t>
  </si>
  <si>
    <t>ОБЩЕЕ</t>
  </si>
  <si>
    <t>A</t>
  </si>
  <si>
    <t>РАБОЧИЕ  /  PRODUCTIVE PERSONEL LIST</t>
  </si>
  <si>
    <t>General Staff</t>
  </si>
  <si>
    <t>Out of Working Staff</t>
  </si>
  <si>
    <t>Leave / Holiday / Sick</t>
  </si>
  <si>
    <t>TOTAL</t>
  </si>
  <si>
    <t xml:space="preserve">ТЕХНИКА БЕЗОПАСНОСТИ / GUVENLIK </t>
  </si>
  <si>
    <t>ЭЛЕКТРИК / ELECTRICIAN</t>
  </si>
  <si>
    <t>MEKANIK \ SANTEKNIK-САНТЕХНИК</t>
  </si>
  <si>
    <t>MEKANIK \ HAVALANDIRMA</t>
  </si>
  <si>
    <t>INCE ISLER  BOGIBEK FATKULLIN</t>
  </si>
  <si>
    <t>INCE ISLER FERUZBEK KULLIEV</t>
  </si>
  <si>
    <t>INCE ISLER YUNUS TUNE</t>
  </si>
  <si>
    <t xml:space="preserve">ПОДСОБНЫЙ РАБОЧИЙ / WORKER  / BILAL KELLECI </t>
  </si>
  <si>
    <t>ПОДСОБНЫЙ РАБОЧИЙ / WORKER  / KENAN KURT</t>
  </si>
  <si>
    <t>ПОДСОБНЫЙ РАБОЧИЙ / WORKER  / MAKSUD ISMAYLOV</t>
  </si>
  <si>
    <t>ПОДСОБНЫЙ РАБОЧИЙ / WORKER  / KAKHRAMON KURAMBAEV</t>
  </si>
  <si>
    <t>KALIPCI-ОПАЛУБЩИК SAVAS YILMAZ</t>
  </si>
  <si>
    <t>KALIPCI-ОПАЛУБЩИК HARUN AKDENIZ</t>
  </si>
  <si>
    <t>PRODUCTIVE LABOUR</t>
  </si>
  <si>
    <t>Santiyede Calisan</t>
  </si>
  <si>
    <t>Yok ve Izin</t>
  </si>
  <si>
    <t>Dis Gorev</t>
  </si>
  <si>
    <t>Toplam</t>
  </si>
  <si>
    <t>B</t>
  </si>
  <si>
    <t>ИТР / UNPRODUCTIVE PERSONEL LIST</t>
  </si>
  <si>
    <t>РУКОВОДИТЕЛЬ ПРОЕКТА / PROJECT MANAGER</t>
  </si>
  <si>
    <t>ЗАМЕСТИТЕЛЬ РУКОВОДИТЕЛЯ ПРОЕКТА / ASS PROJECT MANAGER</t>
  </si>
  <si>
    <t>НАЧАЛЬНИК УЧАСТКА / SITE MANAGER</t>
  </si>
  <si>
    <t>НАЧАЛЬНИК ТЕХОФИСА  /TEKNIK OFIS</t>
  </si>
  <si>
    <t>АРХИТЕКТОР /  MIMAR</t>
  </si>
  <si>
    <t>ИНЖЕНЕР СТРОИТЕЛЬ / INSAAT TEKNIKERI</t>
  </si>
  <si>
    <t>СМЕТНЫЙ ОТДЕЛ</t>
  </si>
  <si>
    <t>ИНЖЕНЕР ЭЛЕКТРИК / ELECTRICAL CHIEF</t>
  </si>
  <si>
    <t>ИНЖЕНЕР МЕХАНИК / MECHANICAL CHIEF</t>
  </si>
  <si>
    <t>ИНЖЕНЕР ПТО / DESIGN TECH.ENGINEER</t>
  </si>
  <si>
    <t xml:space="preserve">ОТДЕЛ КАДРОВ / СЕКРЕТЕРЬ/  - PERSONNEL, SEKRETARY, </t>
  </si>
  <si>
    <t>ОТДЕЛ СНАБЖЕНИЯ</t>
  </si>
  <si>
    <t>БУХГАЛТЕР / ACCOUNTING</t>
  </si>
  <si>
    <t>ДОКТОР</t>
  </si>
  <si>
    <t>ГЕОДЕЗИСТ / TOPOGRAPHER+Asst</t>
  </si>
  <si>
    <t>ВОДИТЕЛЬ</t>
  </si>
  <si>
    <t xml:space="preserve">ОХРАНА </t>
  </si>
  <si>
    <t>УБОРЩИЦА / CLEANING + TEA SERVICE</t>
  </si>
  <si>
    <t xml:space="preserve">КЛАДОВЩИК </t>
  </si>
  <si>
    <t>UNPRODUCTIVE LABOUR</t>
  </si>
  <si>
    <t>TOTAL PERSONNEL</t>
  </si>
  <si>
    <t>SUBCONT. PRODUCTIVE PERSONNEL LIST</t>
  </si>
  <si>
    <t>TOTAL SUBCONTRACTOR</t>
  </si>
  <si>
    <t>GRAND TOTAL PERSONNEL</t>
  </si>
  <si>
    <t>Кол-во / sayi</t>
  </si>
  <si>
    <t>Total</t>
  </si>
  <si>
    <t>BOLUM BASKANI</t>
  </si>
  <si>
    <t>DUZ ISCI EKIPBASI</t>
  </si>
  <si>
    <t>ELEKTRIK FORMENI</t>
  </si>
  <si>
    <t>TOPLAM SAYI</t>
  </si>
  <si>
    <t>Mardonbek Yuldashev</t>
  </si>
  <si>
    <t>Юлдашев Мардонбек Ёрашбоевич</t>
  </si>
  <si>
    <t>ELEKTRIK AMBAR OPERATORU</t>
  </si>
  <si>
    <t>Janibek Yusupov</t>
  </si>
  <si>
    <t>Юсупов Жанибек Камилжанович</t>
  </si>
  <si>
    <t>Temur Baratov</t>
  </si>
  <si>
    <t>Баратов Темур Каримбаевич</t>
  </si>
  <si>
    <t>Sherzod Utaganov</t>
  </si>
  <si>
    <t>Утаганов Шерзод Шухрат Угли</t>
  </si>
  <si>
    <t>Asilbek Egamov</t>
  </si>
  <si>
    <t>Эгамов Асилбек Эгамберди Угли</t>
  </si>
  <si>
    <t>Zokhid Tojiboev</t>
  </si>
  <si>
    <t>Тожибоев Зохид Эркинович</t>
  </si>
  <si>
    <t>Azizjon Narzillaev</t>
  </si>
  <si>
    <t>Нарзиллаев Азизжон Лутфулла Угли</t>
  </si>
  <si>
    <t>Юлдашева Севинч Отабек Кизи</t>
  </si>
  <si>
    <t>Sevinch Yuldasheva</t>
  </si>
  <si>
    <t>Anvar Muminov</t>
  </si>
  <si>
    <t>Муминов Анвар Азимович</t>
  </si>
  <si>
    <t>Уринов Миркомил Холбозорович</t>
  </si>
  <si>
    <t>Mirkomil Urinov</t>
  </si>
  <si>
    <t>Azamat Urinov</t>
  </si>
  <si>
    <t>Уринов Азамат Холбазарович</t>
  </si>
  <si>
    <t>Azimjon Sotkinov</t>
  </si>
  <si>
    <t>Соткинов Азимжон Абдумуталиб Угли</t>
  </si>
  <si>
    <t>Hudoyshukur Amirov</t>
  </si>
  <si>
    <t>Амиров Худойшукур Махмадали Угли</t>
  </si>
  <si>
    <t>Jasurbek Abdumutalibov</t>
  </si>
  <si>
    <t>Абдумуталибов Жасурбек Умиджон Угли</t>
  </si>
  <si>
    <t>Bakhodir Alimboev</t>
  </si>
  <si>
    <t>Алимбоев Баходир Тулкин Угли</t>
  </si>
  <si>
    <t>Gafurjon Kulliev</t>
  </si>
  <si>
    <t>Куллиев Гафуржон Туймуродович</t>
  </si>
  <si>
    <t>Ozodbek Yangiboev</t>
  </si>
  <si>
    <t>Янгибоев Озодбек Севаркул Угли</t>
  </si>
  <si>
    <t>Sunnat Yangiboev</t>
  </si>
  <si>
    <t>Янгибоев Суннат Севаркул Угли</t>
  </si>
  <si>
    <t>Khasan Khalillaev</t>
  </si>
  <si>
    <t>Халиллаев Хасан Мухитдин Угли</t>
  </si>
  <si>
    <t>Bekmurza Jumabaev</t>
  </si>
  <si>
    <t>Akram Babajanov</t>
  </si>
  <si>
    <t>Бабажанов Акрам Кодамбоевич</t>
  </si>
  <si>
    <t>SOKOL IZOLATSIYA</t>
  </si>
  <si>
    <t>ZAL TOTALIZATOR KERPIC ORMA 2,1,5/2,2,4/2A,3,5</t>
  </si>
  <si>
    <t>SAHA TEMIZLIK 1/2 KAT LK1/2/3/4/ ZAL CATI, TRIBUNA</t>
  </si>
  <si>
    <t>PODVAL BALKI SILIM</t>
  </si>
  <si>
    <t>LK3 KERPIC KIRIM/ORMA</t>
  </si>
  <si>
    <t>VODOPRAVOD YERI BORU MONTACI</t>
  </si>
  <si>
    <t>TEPLASET YERI IZOLYATSONINDA</t>
  </si>
  <si>
    <t>TEPLASET DEMIR BAGLAMASI</t>
  </si>
  <si>
    <t>TRIBUNA TEMIZLIK</t>
  </si>
  <si>
    <t>TRIBUNA TAVAN SIVA IMALATI</t>
  </si>
  <si>
    <t>1 KAT SOKUL DUVAR IMALATI</t>
  </si>
  <si>
    <t>ARENA DUVAR SILIM VE BOYASI</t>
  </si>
  <si>
    <t>FASAD BETON VE DUVAR DEMONTAC</t>
  </si>
  <si>
    <t>ATAPLENI YERLAR SIVA IMALATI</t>
  </si>
  <si>
    <t>TEZGAHDE</t>
  </si>
  <si>
    <t>ALMIS TERAFINDE TEPLASET PARDA KALIP YAPIMI</t>
  </si>
  <si>
    <t>LK1 LK5 MERDIVEN KURKULIK TEMIZLIKI</t>
  </si>
  <si>
    <t>2 KAT 3 KAT TRIBUNA SUVA IMALATI</t>
  </si>
  <si>
    <t>2 KAT BALKA SUVA IMALATI</t>
  </si>
  <si>
    <t>3 KAT SANUZIL SUVA IMALATI</t>
  </si>
  <si>
    <t>2 KAT DEMIR VE SUVA IMALATI</t>
  </si>
  <si>
    <t>MERDIVEN KIRIM IMALATI</t>
  </si>
  <si>
    <t>1,2,3,4 KAT SAHA TEMIZLIKI</t>
  </si>
  <si>
    <t>CELIK MONTAC</t>
  </si>
  <si>
    <t>YANGIN BOYA VURMA</t>
  </si>
  <si>
    <t>BRONJMAN MONTAJ</t>
  </si>
  <si>
    <t>SAFT KANAL MONTAJ</t>
  </si>
  <si>
    <t>FASAD AYDINLATMA</t>
  </si>
  <si>
    <t>DIREK KAYNAK IMALATI</t>
  </si>
  <si>
    <t>Ergash Matyokubov</t>
  </si>
  <si>
    <t>Матёкубов Эргаш Каримбаевич</t>
  </si>
  <si>
    <t>Khayrulla Jumaboev</t>
  </si>
  <si>
    <t>Жумабоев Хайрулла Сафарович</t>
  </si>
  <si>
    <t>Jonibek Kosimov</t>
  </si>
  <si>
    <t>Косимов Жонибек Бахром Угли</t>
  </si>
  <si>
    <t>Abdihomit Yuldashev</t>
  </si>
  <si>
    <t>Юлдашев Абдихомит Кувончович</t>
  </si>
  <si>
    <t>Umedjon Davlatov</t>
  </si>
  <si>
    <t>Давлатов Умеджон Хусейнович</t>
  </si>
  <si>
    <t>Davronbek Yuldoshev</t>
  </si>
  <si>
    <t>Юлдошев Давронбек Икромбой Угли</t>
  </si>
  <si>
    <t>Sardorbek Shernazarov</t>
  </si>
  <si>
    <t>Шерназаров Сардорбек Давлатназар Угли</t>
  </si>
  <si>
    <t>Beknazar Isakulov</t>
  </si>
  <si>
    <t>Исакулов Бекназар Хайитбой Угли</t>
  </si>
  <si>
    <t>Gavkhar Eshmuratova</t>
  </si>
  <si>
    <t>Ешмуратова Гавхар Атахановна</t>
  </si>
  <si>
    <t>Бекиров Александр Сергеевич</t>
  </si>
  <si>
    <t>Aleksandr Bekirov</t>
  </si>
  <si>
    <t>SATINALMA SEFI</t>
  </si>
  <si>
    <t>SATINALMA</t>
  </si>
  <si>
    <t>Ali Umarov</t>
  </si>
  <si>
    <t>Умаров Али Умарович</t>
  </si>
  <si>
    <t>Azimjon Yusupov</t>
  </si>
  <si>
    <t>Юсупов Азимжон Джумакулович</t>
  </si>
  <si>
    <t>Munirakhon Rakhimova</t>
  </si>
  <si>
    <t>Рахимова Мунирахон Рахматиллаевна</t>
  </si>
  <si>
    <t>Dustmurod Gadoev</t>
  </si>
  <si>
    <t>Гадоев Дустмурод Эмомджонович</t>
  </si>
  <si>
    <t>Shokhrukh Shukurullaev</t>
  </si>
  <si>
    <t>Шукуруллаев Шохрух Махмудович</t>
  </si>
  <si>
    <t>Kodirjon Isroilov</t>
  </si>
  <si>
    <t>Исроилов Кодиржон Кахрамонжон Угли</t>
  </si>
  <si>
    <t>Khursand Matyokubov</t>
  </si>
  <si>
    <t>Матёкубов Хурсанд Кодирович</t>
  </si>
  <si>
    <t>Murodbek Madrimov</t>
  </si>
  <si>
    <t>Мадримов Муродбек Комилжонович</t>
  </si>
  <si>
    <t>Филиппов Всеволод Владимирович</t>
  </si>
  <si>
    <t>Vsevolod Filippov</t>
  </si>
  <si>
    <t>Nurbek Urayimzhanov</t>
  </si>
  <si>
    <t>Dilshod Ismatulloev</t>
  </si>
  <si>
    <t>Исматуллоев Дилшод Сунхатович</t>
  </si>
  <si>
    <t>Ahmad Yuldashev</t>
  </si>
  <si>
    <t>Юлдашев Ахмад Базарбаевич</t>
  </si>
  <si>
    <t>Bobur Karshiev</t>
  </si>
  <si>
    <t>Каршиев Бобур Баходир Угли</t>
  </si>
  <si>
    <t>Nuriddin Alimboev</t>
  </si>
  <si>
    <t>Алимбоев Нуриддин Шахоб Угли</t>
  </si>
  <si>
    <t>Hakimbay Kuchkarov</t>
  </si>
  <si>
    <t>Кучкаров Хакимбай Уразматович</t>
  </si>
  <si>
    <t>Shohruh Yuldoshev</t>
  </si>
  <si>
    <t>Юлдошев Шохрух Ойбек Угли</t>
  </si>
  <si>
    <t>Azizbek Kodirov</t>
  </si>
  <si>
    <t>Кодиров Азизбек Ойбек Угли</t>
  </si>
  <si>
    <t>Maksadjon Nematov</t>
  </si>
  <si>
    <t>Нематов Максаджон Акрамжон Угли</t>
  </si>
  <si>
    <t>Navshan Rashidov</t>
  </si>
  <si>
    <t>Рашидов Нашван Туробович</t>
  </si>
  <si>
    <t>Sami Mavlanov</t>
  </si>
  <si>
    <t>Мавланов Сами Туфлиевич</t>
  </si>
  <si>
    <t>Otabek Muhiddinov</t>
  </si>
  <si>
    <t>Мухиддинов Отабек Яхёжон Угли</t>
  </si>
  <si>
    <t>Javlonbek Djapakov</t>
  </si>
  <si>
    <t>Джапаков Жавлонбек Сапарбаевич</t>
  </si>
  <si>
    <t>Bekpulat Vapaev</t>
  </si>
  <si>
    <t>Imomidin Karoboev</t>
  </si>
  <si>
    <t>Каробоев Имомидин Холикулович</t>
  </si>
  <si>
    <t>Otabek Sattarov</t>
  </si>
  <si>
    <t>Саттаров Отабек Курёзович</t>
  </si>
  <si>
    <t>Shahzod Yuldoshev</t>
  </si>
  <si>
    <t>Юлдошев Шахзод Ойбек Угли</t>
  </si>
  <si>
    <t>Ulugbek Urolov</t>
  </si>
  <si>
    <t>Уролов Улугбек Алишер Угли</t>
  </si>
  <si>
    <t>Ulugbek Atadjanov</t>
  </si>
  <si>
    <t>Атаджанов Улугбек Марксович</t>
  </si>
  <si>
    <t>Сатимкулов Самарбек</t>
  </si>
  <si>
    <t>Урайымжанов Нурбек</t>
  </si>
  <si>
    <t>Акрамов Журабек Расулжонович</t>
  </si>
  <si>
    <t>Саттаров Саттар Курамбаевич</t>
  </si>
  <si>
    <t>Olim Mamatkulov</t>
  </si>
  <si>
    <t>Маматкулов Олим Турабоевич</t>
  </si>
  <si>
    <t>Dilshod Yuldashov</t>
  </si>
  <si>
    <t>Firuz Toshov</t>
  </si>
  <si>
    <t>Тошов Фируз Раматуллоевич</t>
  </si>
  <si>
    <t>Urol Bekmurodov</t>
  </si>
  <si>
    <t>Бекмуродов Урол Норкулович</t>
  </si>
  <si>
    <t>Вапаев Бакпулат Очилдиевич</t>
  </si>
  <si>
    <t>Музаффаров Назриддин Назюллоевич</t>
  </si>
  <si>
    <t>Хайтбаев Кудрат Еркабаевич</t>
  </si>
  <si>
    <t>Агабаев Хамид Бабамурат Угли</t>
  </si>
  <si>
    <t>Махмуталиев Рахмонали Рахпарали-зода</t>
  </si>
  <si>
    <t>Нурмаханов Джолдасбай Сарсенович</t>
  </si>
  <si>
    <t>Тураев Сарварбек Артикбоевич</t>
  </si>
  <si>
    <t>Эркаев Эргаш Тураевич</t>
  </si>
  <si>
    <t>Юсупов Улугбек Умирбек Угли</t>
  </si>
  <si>
    <t>Якубов Кувондик Махсудович</t>
  </si>
  <si>
    <t>Maksud Ismaylov</t>
  </si>
  <si>
    <t>Исмайлов Максуд Рузумбаевич</t>
  </si>
  <si>
    <t>Muzaffar Reimbaev</t>
  </si>
  <si>
    <t>Реимбаев Музаффар Юсупбаевич</t>
  </si>
  <si>
    <t>Hasratdjon Abdulloev</t>
  </si>
  <si>
    <t>Абдуллоев Хасратджон Юсуфович</t>
  </si>
  <si>
    <t>Bogibek Fatkullin</t>
  </si>
  <si>
    <t>Фаткуллин Богибек Кадамбаевич</t>
  </si>
  <si>
    <t>Azimjon Mamadaliev</t>
  </si>
  <si>
    <t>Мамадалиев Азимжон Махамаджонович</t>
  </si>
  <si>
    <t>Abdullo Muhiddinov</t>
  </si>
  <si>
    <t>Мухиддинов Абдулло Эргашали Угли</t>
  </si>
  <si>
    <t>Zafar Bobonazarov</t>
  </si>
  <si>
    <t>Бобоназаров Зафар Мурод Угли</t>
  </si>
  <si>
    <t>Feruzbek Karimov</t>
  </si>
  <si>
    <t>Каримов Ферузбек Райимович</t>
  </si>
  <si>
    <t>Jamshidbek Ulliboev</t>
  </si>
  <si>
    <t>Mirzajon Egambaev</t>
  </si>
  <si>
    <t>Sardorbek Saydullaev</t>
  </si>
  <si>
    <t>Akram Safarov</t>
  </si>
  <si>
    <t>DUZISCI</t>
  </si>
  <si>
    <t>Сафаров Акрам Сайдулла Угли</t>
  </si>
  <si>
    <t>Сайдуллаев Сардорбек Шухрат Угли</t>
  </si>
  <si>
    <t>Уллибоев Жамшидбек Гофур Угли</t>
  </si>
  <si>
    <t>Эгамбаев Мирзажон Гулом Угли</t>
  </si>
  <si>
    <t>Азимов Эмомали Курбоналиевич</t>
  </si>
  <si>
    <t xml:space="preserve">Kakhramon Rakhmatov </t>
  </si>
  <si>
    <t>Ruzimbay Djumashev</t>
  </si>
  <si>
    <t>Рахматов Кахрамон Жураевич</t>
  </si>
  <si>
    <t>Doniyorjon Tursunaliev</t>
  </si>
  <si>
    <t>Турсуналиев Дониёржон Дилшоджон Угли</t>
  </si>
  <si>
    <t>Erol Tufan Tural</t>
  </si>
  <si>
    <t>Турал Эрол Туфан</t>
  </si>
  <si>
    <t>MAKINE TEKNIKERI</t>
  </si>
  <si>
    <t>Jamshid Mamataliev</t>
  </si>
  <si>
    <t>Маматалиев Жамшид Зафар Угли</t>
  </si>
  <si>
    <t>Jasur Pardaev</t>
  </si>
  <si>
    <t>Пардаев Жасур Хайитбоевич</t>
  </si>
  <si>
    <t>Amirbek Safarov</t>
  </si>
  <si>
    <t>Сафаров Амирбек Абдумуталибович</t>
  </si>
  <si>
    <t>Тилеги Таха</t>
  </si>
  <si>
    <t>Шерматов Мироншох Муродбой Угли</t>
  </si>
  <si>
    <t>Юлдошов Отабек Ойбек Угли</t>
  </si>
  <si>
    <t>Аллаберганов Давронбек Илхом Угли</t>
  </si>
  <si>
    <t>Амандурдиев Генжебай Аразбердиевич</t>
  </si>
  <si>
    <t>Кабакджы Гокай</t>
  </si>
  <si>
    <t>Гафаров Келдиёр Намозбоевич</t>
  </si>
  <si>
    <t>Дацюк Родион</t>
  </si>
  <si>
    <t>Жумабаев Бекмурза Куралбай Ули</t>
  </si>
  <si>
    <t>Искандаров Бобомурод Гайратжон Угли</t>
  </si>
  <si>
    <t>Пардаев Мухриддин Акромжон Угли</t>
  </si>
  <si>
    <t>Туйчизода Шукруллои Нурулло</t>
  </si>
  <si>
    <t>Хабибуллаев Сапарбай Ниязимбет Улы</t>
  </si>
  <si>
    <t>Эрмек Кызы Назира</t>
  </si>
  <si>
    <t>Ziedullo Djumaev</t>
  </si>
  <si>
    <t>Джумаев Зиедулло Файзиевич</t>
  </si>
  <si>
    <t>Khusniddin Sayfidinov</t>
  </si>
  <si>
    <t>Сайфидинов Хусниддин Нозим Угли</t>
  </si>
  <si>
    <t>Mirzabek Rajabov</t>
  </si>
  <si>
    <t>Ражабов Мирзабек Рашидович</t>
  </si>
  <si>
    <t>BEKCI BASI</t>
  </si>
  <si>
    <t>Omer Kaya</t>
  </si>
  <si>
    <t>Кая Омер</t>
  </si>
  <si>
    <t>HAVALANDIRMA FORMENI</t>
  </si>
  <si>
    <t>Odilbek Yuldashev</t>
  </si>
  <si>
    <t>Юлдашев Одилбек Абдуллаевич</t>
  </si>
  <si>
    <t>Gayrat Khasanov</t>
  </si>
  <si>
    <t>Хасанов Гайрат Анвар Угли</t>
  </si>
  <si>
    <t>Bora Poyraz</t>
  </si>
  <si>
    <t>Пойраз Бора</t>
  </si>
  <si>
    <t>DG</t>
  </si>
  <si>
    <t>Fayzulla Kuryazov</t>
  </si>
  <si>
    <t>Курязов Файзулла Бахтиярович</t>
  </si>
  <si>
    <t>Gulam Sadullaev</t>
  </si>
  <si>
    <t>Dilmurod Bazarbaev</t>
  </si>
  <si>
    <t>Otajon Zokirov</t>
  </si>
  <si>
    <t>Shokhjakhon Zokirov</t>
  </si>
  <si>
    <t>Elmurod Amanov</t>
  </si>
  <si>
    <t>Зокиров Шохжахон Кахрамон Угли</t>
  </si>
  <si>
    <t>Базарбаев Дилмурод Лутфулла Угли</t>
  </si>
  <si>
    <t>Аманов Элмурод Лутфулла Угли</t>
  </si>
  <si>
    <t>Зокиров Отажон Кахрамон Угли</t>
  </si>
  <si>
    <t>Садуллаев Гулам Нуратдинович</t>
  </si>
  <si>
    <t>Sanjarbek Yakubov</t>
  </si>
  <si>
    <t>Jurabek Oblakulov</t>
  </si>
  <si>
    <t>Облакулов Журабек Вайдулла Угли</t>
  </si>
  <si>
    <t>Якубов Санжар Облакул Угли</t>
  </si>
  <si>
    <t>Khusniddin Rasulov</t>
  </si>
  <si>
    <t>Расулов Хусниддин Эшмаматович</t>
  </si>
  <si>
    <t>Alisher Mavlanov</t>
  </si>
  <si>
    <t>Мавланов Алишер Кучкарович</t>
  </si>
  <si>
    <t>Andrey Djabarov</t>
  </si>
  <si>
    <t>Джабаров Андрей Русланович</t>
  </si>
  <si>
    <t>Elyor Eshmuminov</t>
  </si>
  <si>
    <t>Эшмуминов Элёр Юлдошевич</t>
  </si>
  <si>
    <t>Khushnudjon Akmanov</t>
  </si>
  <si>
    <t>Акманов Хушнуджон Алимбаевич</t>
  </si>
  <si>
    <t>Idibek Shokirov</t>
  </si>
  <si>
    <t>Шокиров Идибек Музафарович</t>
  </si>
  <si>
    <t>Shankar Ayodka Pal</t>
  </si>
  <si>
    <t>Kudrat Baltabaev</t>
  </si>
  <si>
    <t>Балтабаев Кудрат Хаджибаевич</t>
  </si>
  <si>
    <t>Zafarjon Khasanov</t>
  </si>
  <si>
    <t>Хасанов Зафаржон Ахмадилло Угли</t>
  </si>
  <si>
    <t>Dilmurod Allaberganov</t>
  </si>
  <si>
    <t>Bakhtiyor Turdialiev</t>
  </si>
  <si>
    <t>Azamat Vapaev</t>
  </si>
  <si>
    <t>Вапаев Азамат Очилдиевич</t>
  </si>
  <si>
    <t>Турдиалиев Бахтиёр Хасанович</t>
  </si>
  <si>
    <t>Аллаберганов Дилмурод Иномжонович</t>
  </si>
  <si>
    <t>Shohjahon Ibragimov</t>
  </si>
  <si>
    <t>Suhrobjon Sadullaev</t>
  </si>
  <si>
    <t>Садуллаев Сухробжон Азизбек Угли</t>
  </si>
  <si>
    <t>Ибрагимов Шохжахон Валижон Угли</t>
  </si>
  <si>
    <t>Asrorjon Niyazmatov</t>
  </si>
  <si>
    <t>Umirboy Madrakhimov</t>
  </si>
  <si>
    <t>Khayotjon Fayzullaev</t>
  </si>
  <si>
    <t>Файзуллаев Хаётжон Илхомович</t>
  </si>
  <si>
    <t>Мадрахимов Умирбой Рузимбаевич</t>
  </si>
  <si>
    <t>Ниязматов Асроржон Рузиматжон Угли</t>
  </si>
  <si>
    <t>Eyup Yilldiz</t>
  </si>
  <si>
    <t>Йылдыз Эйуп</t>
  </si>
  <si>
    <t>MEKANIK TEKNİKERİ</t>
  </si>
  <si>
    <t>Asadbek Kobilov</t>
  </si>
  <si>
    <t>Кобилов Асадбек Салимович</t>
  </si>
  <si>
    <t>Osman Kaya</t>
  </si>
  <si>
    <t>Кайа Осман</t>
  </si>
  <si>
    <t>Джумашев Рузимбай Султанович</t>
  </si>
  <si>
    <t>Камбаралы уулу Акбаралы</t>
  </si>
  <si>
    <t>Климович-Юревич Ирина Васильевна</t>
  </si>
  <si>
    <t>Уразметов Гайрат Мадрахимович</t>
  </si>
  <si>
    <t>Akrom Davirov</t>
  </si>
  <si>
    <t>Давиров Акром Гаппарович</t>
  </si>
  <si>
    <t>Mirzabek Romonov</t>
  </si>
  <si>
    <t>Ромонов Мирзабек Баходир Угли</t>
  </si>
  <si>
    <t>Nazar Alimov</t>
  </si>
  <si>
    <t>Алимов Назар Жураевич</t>
  </si>
  <si>
    <t>Ниёзов Махмадакбаршох Зиёратшоевич</t>
  </si>
  <si>
    <t>Makhmadakbarshokh Niyozov</t>
  </si>
  <si>
    <t>Shukhrat Abdullaev</t>
  </si>
  <si>
    <t>Nematjon Matsapaev</t>
  </si>
  <si>
    <t>Мацапаев Нематжан Махмуджанович</t>
  </si>
  <si>
    <t>Safar Aliyarov</t>
  </si>
  <si>
    <t>Алияров Сафар эргашович</t>
  </si>
  <si>
    <t>Оманов Кувончбек Турдимуродович</t>
  </si>
  <si>
    <t>Kuvonchbek Omanov</t>
  </si>
  <si>
    <t>Alibek Rajabov</t>
  </si>
  <si>
    <t>Ражабов Алибек Музаффар Угли</t>
  </si>
  <si>
    <t>Маткаримов Ринат Рустам Угли</t>
  </si>
  <si>
    <t>Rinat Matkarimov</t>
  </si>
  <si>
    <t>Sherali Matyakupov</t>
  </si>
  <si>
    <t>Матякупов Шерали Сарсенбаевич</t>
  </si>
  <si>
    <t>Diyorbek Khusinbaev</t>
  </si>
  <si>
    <t>Хусинбаев Диёрбек Умид Угли</t>
  </si>
  <si>
    <t>Akbar Ollayorov</t>
  </si>
  <si>
    <t>Оллаёров Акбар Мардонбек Угди</t>
  </si>
  <si>
    <t>Elyor Masharipov</t>
  </si>
  <si>
    <t>Машарипов Элёр Хасанбаевич</t>
  </si>
  <si>
    <t>Aleksey Antipov</t>
  </si>
  <si>
    <t>Антипов Алексей Алексеевич</t>
  </si>
  <si>
    <t>Басыров Раиль Шамилевич</t>
  </si>
  <si>
    <t>Rail Basirov</t>
  </si>
  <si>
    <t>Йайлалы Сердар Мустафаевич</t>
  </si>
  <si>
    <t>Serdar Yaylali</t>
  </si>
  <si>
    <t>Мамбетова Кымбат</t>
  </si>
  <si>
    <t>Arif Saritas</t>
  </si>
  <si>
    <t>Сарыташ Ариф</t>
  </si>
  <si>
    <t>Ismail Celen</t>
  </si>
  <si>
    <t>Челен Исмаил</t>
  </si>
  <si>
    <t>Murodjon Khamidov</t>
  </si>
  <si>
    <t>Yuldosh Abdurakhmonov</t>
  </si>
  <si>
    <t>Абдурахмонов Юлдош Рустамович</t>
  </si>
  <si>
    <t>Хамидов Муроджон Хафизхон Угли</t>
  </si>
  <si>
    <t>Ганижонов Азизбек Элмуров Угли</t>
  </si>
  <si>
    <t>Azizbek Ganijonov</t>
  </si>
  <si>
    <t>Khamroz Aslonov</t>
  </si>
  <si>
    <t>Ziyodbek Kadirov</t>
  </si>
  <si>
    <t>Кадиров Зиёдбек Дилшод Угли</t>
  </si>
  <si>
    <t>Аслонов Хамроз Туйчи угли</t>
  </si>
  <si>
    <t>Jurabek Mangliev</t>
  </si>
  <si>
    <t>Bakhodir Allaberganov</t>
  </si>
  <si>
    <t>Diyorbek Reyimberdiev</t>
  </si>
  <si>
    <t>Pakhlavon Sotimov</t>
  </si>
  <si>
    <t>Sukhrobbek Kuramboev</t>
  </si>
  <si>
    <t>Khudoynazar Mukhammadov</t>
  </si>
  <si>
    <t>Курамбоев Сухроббек Эгамберди Угли</t>
  </si>
  <si>
    <t>Сотимов Пахлавон Отаназар Угли</t>
  </si>
  <si>
    <t>Рейимбердиев Диёрбек Зинат Угли</t>
  </si>
  <si>
    <t>Манглиев Журабек Искандарович</t>
  </si>
  <si>
    <t>Naimjon Kasirov</t>
  </si>
  <si>
    <t>Касиров Наимжон Носирович</t>
  </si>
  <si>
    <t>DIS GOREV ИнтерРАОDEN GELDI</t>
  </si>
  <si>
    <t>DIS GOREV NIJNIYNOVGORODDEN GELDI</t>
  </si>
  <si>
    <t>DIS GOREV SKOLKOVODEN GELDI</t>
  </si>
  <si>
    <t>Hayri Yokkan</t>
  </si>
  <si>
    <t>Йоккан Хайри</t>
  </si>
  <si>
    <t>Urol Shomirov</t>
  </si>
  <si>
    <t>Шомиров Урол Мусулманович</t>
  </si>
  <si>
    <t>Sunnatullo Davlatov</t>
  </si>
  <si>
    <t>Давлатов Суннатулло Изатуллоевич</t>
  </si>
  <si>
    <t>Турапов Миржалол Амир Угли</t>
  </si>
  <si>
    <t>Mirjalol Turapov</t>
  </si>
  <si>
    <t>Khamza Domonov</t>
  </si>
  <si>
    <t>Muratbay Ametov</t>
  </si>
  <si>
    <t>Аметов Муратбай Тажибаевич</t>
  </si>
  <si>
    <t>Домонов Хамза Хазраткулович</t>
  </si>
  <si>
    <t>Dilnur Khudoynazarov</t>
  </si>
  <si>
    <t>Azizbek Ashirov</t>
  </si>
  <si>
    <t>Hasan Rakhmonov</t>
  </si>
  <si>
    <t>Рахмонов Хасан Ризокул Угли</t>
  </si>
  <si>
    <t>Худойназаров Дилнур Азизжон Угли</t>
  </si>
  <si>
    <t>Аширов Азизбек Рузим Угли</t>
  </si>
  <si>
    <t>Аллаберганов Баходир Сабирович</t>
  </si>
  <si>
    <t>Saidjon Sultonov</t>
  </si>
  <si>
    <t>Султонов Саиджон Усмонжон Угли</t>
  </si>
  <si>
    <t>ООО «КВАНТГИДРОСТРОЙ»</t>
  </si>
  <si>
    <t>Azamat Allamov</t>
  </si>
  <si>
    <t>Алламов Азамат Худайбергенович</t>
  </si>
  <si>
    <t>Muhtor Durdiev</t>
  </si>
  <si>
    <t>Дурдиев Мухтор Раджабович</t>
  </si>
  <si>
    <t>Жураев Асадбек Акрам Угли</t>
  </si>
  <si>
    <t>Asadbek Juraev</t>
  </si>
  <si>
    <t>Сайфуддинов Жамолидин Илхомидин Угли</t>
  </si>
  <si>
    <t>Jamoldin Sayfuddinov</t>
  </si>
  <si>
    <t>Mehmet Ali Yanik</t>
  </si>
  <si>
    <t>Янык Мехмет Али</t>
  </si>
  <si>
    <t>Shermat Bazarbaev</t>
  </si>
  <si>
    <t>Kimbet Mambetova</t>
  </si>
  <si>
    <t>Базарбаев Шермат Уразматович</t>
  </si>
  <si>
    <t>Каландаров Хасан Рустамович</t>
  </si>
  <si>
    <t>Hasan Kalandarov</t>
  </si>
  <si>
    <t>Murodmukhamad Nazaraliev</t>
  </si>
  <si>
    <t>Назаралиев Муродмухамад Гандумович</t>
  </si>
  <si>
    <t>Ibodulloh Dadamirzaev</t>
  </si>
  <si>
    <t>Дадамирзаев Ибодуллох Шукурулло Угли</t>
  </si>
  <si>
    <t>Ubaidullo Yusupov</t>
  </si>
  <si>
    <t>Haidarjon Azizov</t>
  </si>
  <si>
    <t>Азизов Хайдарали Лурбоналиевич</t>
  </si>
  <si>
    <t>Юсупов Убайдулло Дадарджонович</t>
  </si>
  <si>
    <t>Saparboy Salaev</t>
  </si>
  <si>
    <t>Салаев Сапарбай</t>
  </si>
  <si>
    <t>Erkinboy Khudoykulov</t>
  </si>
  <si>
    <t>Худойкулов Эркинбой Косимович</t>
  </si>
  <si>
    <t>Мамбетов Шохрухбек Раджапбой Угли</t>
  </si>
  <si>
    <t>Shokhrukhbek Mambetov</t>
  </si>
  <si>
    <t>Sharifjon Qurbonov</t>
  </si>
  <si>
    <t>Курбонов Шарифджон Забихувлоевич</t>
  </si>
  <si>
    <t>Salamat Salimov</t>
  </si>
  <si>
    <t>Сабиров Саламат Сабирович</t>
  </si>
  <si>
    <t>Реимбаев Атабек Матназарович</t>
  </si>
  <si>
    <t>Atabek Reimbaev</t>
  </si>
  <si>
    <t>Sanjarbek Radjapbaev</t>
  </si>
  <si>
    <t>Sohibbek Khushvaktov</t>
  </si>
  <si>
    <t>Хушвактов Сохиббек Абдурахмон Угли</t>
  </si>
  <si>
    <t>Bobojon Nurumbetov</t>
  </si>
  <si>
    <t>Нурумбетов Бобожон Курбанбай Угли</t>
  </si>
  <si>
    <t>Рузметов Рузмамат Кадамбаевич</t>
  </si>
  <si>
    <t>Ruzmamat Ruzmetov</t>
  </si>
  <si>
    <t>Раджапбаев Санжарбек Шухратович</t>
  </si>
  <si>
    <t>Кличмуратов Сеитжан Юсупбаевич</t>
  </si>
  <si>
    <t>Seitjan Klichmuratov</t>
  </si>
  <si>
    <t>Bahodir Matniyozov</t>
  </si>
  <si>
    <t>Матниёзав Баходир Рузматович</t>
  </si>
  <si>
    <t>Samariddin Bobobekov</t>
  </si>
  <si>
    <t>Бобобеков Самариддин Абилкосим Угли</t>
  </si>
  <si>
    <t>Арифжанов Аслиддин Дувланович</t>
  </si>
  <si>
    <t>Asliddin Arifjanov</t>
  </si>
  <si>
    <t>Jasur Murodov</t>
  </si>
  <si>
    <t>Муродов Жасур Ирискулович</t>
  </si>
  <si>
    <t>Ортиков Худайбекрди Абдишукурович</t>
  </si>
  <si>
    <t>Khudoyberdi Ortikov</t>
  </si>
  <si>
    <t>Abrorbek Ramatov</t>
  </si>
  <si>
    <t>Ogabek Yuldoshev</t>
  </si>
  <si>
    <t>Юлдошев Огабек Жамолиддин Угли</t>
  </si>
  <si>
    <t>Zafarali Jabbarov</t>
  </si>
  <si>
    <t>Жаббаров Зафарали Ботир Угли</t>
  </si>
  <si>
    <t>ISE CIKMADI</t>
  </si>
  <si>
    <t>Крылов Артём Петрович</t>
  </si>
  <si>
    <t>Nuryagdy Kerimov</t>
  </si>
  <si>
    <t>Керимов Нурягды</t>
  </si>
  <si>
    <t>P.T.O YARDAMCISI</t>
  </si>
  <si>
    <t>Asadbek Karimov</t>
  </si>
  <si>
    <t>Каримов Асадбек Давлат Угли</t>
  </si>
  <si>
    <t>Azamjon Ibrayimov</t>
  </si>
  <si>
    <t>Ибрайимов Азамжон Отамурот Угли</t>
  </si>
  <si>
    <t>Javokhir Kurbonboev</t>
  </si>
  <si>
    <t>Курбонбоев Жавохир Рустам Угли</t>
  </si>
  <si>
    <t>Abror Mardiev</t>
  </si>
  <si>
    <t>Мардиев Аброр Намазович</t>
  </si>
  <si>
    <t>Guychmurat Annakulov</t>
  </si>
  <si>
    <t>Аннакулов Гайчмурат Нурмаматович</t>
  </si>
  <si>
    <t>Чориев Мурод Рахмон Угли</t>
  </si>
  <si>
    <t>Murod Choriev</t>
  </si>
  <si>
    <t>Хуррамов Жамшид Нормурод Угли</t>
  </si>
  <si>
    <t>Эргашев Шухратжон Чориевич</t>
  </si>
  <si>
    <t>Shukhratjon Ergashev</t>
  </si>
  <si>
    <t>Рохманов Асрор Эгамбердиевич</t>
  </si>
  <si>
    <t>Asror Rokhmanov</t>
  </si>
  <si>
    <t>Murod Yangiboev</t>
  </si>
  <si>
    <t>Янгибаев мурод Мусулмонович</t>
  </si>
  <si>
    <t>Artom Krylov</t>
  </si>
  <si>
    <t xml:space="preserve"> Монотекстрой-Ипподром</t>
  </si>
  <si>
    <t xml:space="preserve"> Монотекстрой Ипподром </t>
  </si>
  <si>
    <t xml:space="preserve"> Монотекстрой  / ИППОДРОМ</t>
  </si>
  <si>
    <t>Sarvarbek Yusupbaev</t>
  </si>
  <si>
    <t>Юсупбаев Сарварбек Бахромбекович</t>
  </si>
  <si>
    <t>ТЕХСТРОЙ</t>
  </si>
  <si>
    <t>АКВАСТРОЙ</t>
  </si>
  <si>
    <t>Вайдуллазода Аминуллох Насрулло</t>
  </si>
  <si>
    <t>Vaidullozoda Aminulloh</t>
  </si>
  <si>
    <t>Uktam Makhanov</t>
  </si>
  <si>
    <t>Маханов Уктам Мингнорович</t>
  </si>
  <si>
    <t>Оскоров Одилбек Бахтиёр Угли</t>
  </si>
  <si>
    <t>Odilbek Oskorov</t>
  </si>
  <si>
    <t>Sherzod Yusupov</t>
  </si>
  <si>
    <t>Юсупов Шерзод Тохтабаевич</t>
  </si>
  <si>
    <t>Davronbek Jumaniyozov</t>
  </si>
  <si>
    <t>Садуллаев Дониёр Бозорбоу Угли</t>
  </si>
  <si>
    <t>Шомуродов Бектош Акрам Угли</t>
  </si>
  <si>
    <t>Bektosh Shomurodov</t>
  </si>
  <si>
    <t>Nodir Ulashev</t>
  </si>
  <si>
    <t>Улашев Нодир Жура Угли</t>
  </si>
  <si>
    <t>Бердиев Оразбай Кузибаевич</t>
  </si>
  <si>
    <t>Orazbay Berdiev</t>
  </si>
  <si>
    <t>Tashmukhammad Ravshanov</t>
  </si>
  <si>
    <t>Равшанов Тошмухаммад омонович</t>
  </si>
  <si>
    <t>Куролов Акобир Кадамбой Угли</t>
  </si>
  <si>
    <t>Akobir Kurolov</t>
  </si>
  <si>
    <t>Абдурахмонов Мудассирхужа Саидрахмонович</t>
  </si>
  <si>
    <t>Mudassirkhuja Abdurahmonov</t>
  </si>
  <si>
    <t>Shokir Soliev</t>
  </si>
  <si>
    <t>Sadriddin Boymurodov</t>
  </si>
  <si>
    <t>Umidjon Abdusalomov</t>
  </si>
  <si>
    <t>Боймуродов Садриддин Уринович</t>
  </si>
  <si>
    <t>Akmal Ishmurotov</t>
  </si>
  <si>
    <t>Ишмуротов Акмал Хушвакович</t>
  </si>
  <si>
    <t>Абдусоломов Умиджон Абдугаппор Угли</t>
  </si>
  <si>
    <t>Узакбаев Айдос Мелсович</t>
  </si>
  <si>
    <t>Aydos Uzakbaev</t>
  </si>
  <si>
    <t>Матякубов Халилла Сайтимматович</t>
  </si>
  <si>
    <t>Khalilla Matyakubov</t>
  </si>
  <si>
    <t>Sirojiddin Sadullaev</t>
  </si>
  <si>
    <t>Садуллаев Сирожиддин Азизбек Угли</t>
  </si>
  <si>
    <t>Bakhriddin Rakhmonov</t>
  </si>
  <si>
    <t>Рахмонов Бахриддин Жамолдинович</t>
  </si>
  <si>
    <t>Мухаммадиев Равшан Хаккулович</t>
  </si>
  <si>
    <t>Холмуратов АтабекТуракулович</t>
  </si>
  <si>
    <t>Atabek Khomuratov</t>
  </si>
  <si>
    <t>Ravshan Mukhammadiev</t>
  </si>
  <si>
    <t>Dilmerod Juraev</t>
  </si>
  <si>
    <t>Fayyozbek Arzimuradov</t>
  </si>
  <si>
    <t>Арзимурадов Файёзбек Дилмурод Угли</t>
  </si>
  <si>
    <t>Kamronbek Romonov</t>
  </si>
  <si>
    <t>Ромонов Камронбек Гуломжон Угли</t>
  </si>
  <si>
    <t>CEPHE USTASI EKIPBASI</t>
  </si>
  <si>
    <t>Farhodjon Jalolov</t>
  </si>
  <si>
    <t>Жалолов Фарходжон Кодиржонов</t>
  </si>
  <si>
    <t>Sunnat Makhramov</t>
  </si>
  <si>
    <t>Махрамов Суннат Баходир Угли</t>
  </si>
  <si>
    <t>Sardor Bakhrullaev</t>
  </si>
  <si>
    <t>Бахруллаев Сардор Аскад Угли</t>
  </si>
  <si>
    <t>Shokhjahon Kholikov</t>
  </si>
  <si>
    <t>Холиков Шохжахон Шухрат Угли</t>
  </si>
  <si>
    <t>Ergash Bazarbaev</t>
  </si>
  <si>
    <t>Jamshid Tajaddinov</t>
  </si>
  <si>
    <t>Тажаддинов жамшид Уразбаевич</t>
  </si>
  <si>
    <t>Матюсупов Дилшод Азимжон Угли</t>
  </si>
  <si>
    <t>Dilshod Matyusupov</t>
  </si>
  <si>
    <t>Umidjon Jumatov</t>
  </si>
  <si>
    <t>Жуматов Умиджон бахадир Угли</t>
  </si>
  <si>
    <t>Rakhim Ollaberganov</t>
  </si>
  <si>
    <t>Nurgeldi Saparklichev</t>
  </si>
  <si>
    <t>Сапаркличев Нургелди Юлдашбаевич</t>
  </si>
  <si>
    <t>Ogabek Aminboev</t>
  </si>
  <si>
    <t>Аминбоев Огабек Равшонбек Угли</t>
  </si>
  <si>
    <t>Murodjon Sherov</t>
  </si>
  <si>
    <t>Шеров Муроджон Илхом Угли</t>
  </si>
  <si>
    <t>Parakhat Chariev</t>
  </si>
  <si>
    <t>Чариев Парахат Даулетмамедович</t>
  </si>
  <si>
    <t>Diyorbek Atajonov</t>
  </si>
  <si>
    <t>Атажонов Диёрбек Кудрат Угли</t>
  </si>
  <si>
    <t>Rakhimbay Babaniyazov</t>
  </si>
  <si>
    <t>Бабаниязов Рахимбай Сабирович</t>
  </si>
  <si>
    <t>Jurabek Zulpukharov</t>
  </si>
  <si>
    <t>Зулпухаров Журабек Валикул Угли</t>
  </si>
  <si>
    <t>Cholponay Nurmatova</t>
  </si>
  <si>
    <t>Нурматова Чолпонай Женишбековна</t>
  </si>
  <si>
    <t xml:space="preserve">Shambhunatkh Kewat Viki </t>
  </si>
  <si>
    <t>Кеват Вики Шамбхунатх</t>
  </si>
  <si>
    <t>Пал Айодхйа Шанкар</t>
  </si>
  <si>
    <t>Sardor Kuchkarov</t>
  </si>
  <si>
    <t>Кучкаров Сардор Усмон Угли</t>
  </si>
  <si>
    <t>SARDOR KOCHKAROV  EKIBI</t>
  </si>
  <si>
    <t>SARDOR KOCHKAROV</t>
  </si>
  <si>
    <t>Mehrubon Farokhov</t>
  </si>
  <si>
    <t>Фарохов Мехрубон Бурхонович</t>
  </si>
  <si>
    <t>Behruz Kenjaev</t>
  </si>
  <si>
    <t>Кенжаев Бехруз Абдулла Угли</t>
  </si>
  <si>
    <t>Ali Kiremitci</t>
  </si>
  <si>
    <t>Киремитчи Али</t>
  </si>
  <si>
    <t>MONTAJCI</t>
  </si>
  <si>
    <t>монтажник</t>
  </si>
  <si>
    <t>Раматов Аброрбек Рустам Угли</t>
  </si>
  <si>
    <t>Olimjon Sobirov</t>
  </si>
  <si>
    <t>Собиров Олимжон Садриддин Угли</t>
  </si>
  <si>
    <t>Oybek Omonov</t>
  </si>
  <si>
    <t>Омонов Ойбек Турдимурод Угли</t>
  </si>
  <si>
    <t>Рузиев Шерали Мусурмонкулович</t>
  </si>
  <si>
    <t>Абдурайимов Зокир Панжи Угли</t>
  </si>
  <si>
    <t>Рузиев Аваз Чориевич</t>
  </si>
  <si>
    <t>Курбонов Абсоат Бахтиёрович</t>
  </si>
  <si>
    <t>Sherali Ruziev</t>
  </si>
  <si>
    <t>Zokir Abdurayimov</t>
  </si>
  <si>
    <t>Avaz Ruziev</t>
  </si>
  <si>
    <t>Absoat Kurbonov</t>
  </si>
  <si>
    <t>Жураев Отабек ХудайБердиевич</t>
  </si>
  <si>
    <t>Otabek juraev</t>
  </si>
  <si>
    <t>Dilshodbek Kuvanchov</t>
  </si>
  <si>
    <t>Куванчов Дилшодбек Бобомурод Угли</t>
  </si>
  <si>
    <t>Соатов Жасурбек Ражабович</t>
  </si>
  <si>
    <t>Jasurbek Soatov</t>
  </si>
  <si>
    <t>Shakhzod Korakulov</t>
  </si>
  <si>
    <t>Коракулов Шахзод Шерали Угли</t>
  </si>
  <si>
    <t>Nurillo Kuchkorov</t>
  </si>
  <si>
    <t>Кучкоров Нурилло Иброхимжон Угли</t>
  </si>
  <si>
    <t>Veli Al</t>
  </si>
  <si>
    <t>Вели Ал</t>
  </si>
  <si>
    <t>Tosun Ercan</t>
  </si>
  <si>
    <t>Uyug Murat</t>
  </si>
  <si>
    <t>Shukhrat Sadullaev</t>
  </si>
  <si>
    <t>Садуллаев Шухрат Сейитмусаевич</t>
  </si>
  <si>
    <t>Sanjarbek Akhmedov</t>
  </si>
  <si>
    <t>Didar Nurmiradov</t>
  </si>
  <si>
    <t>Нурмирадов Дидар Аминмыритович</t>
  </si>
  <si>
    <t>Behruz Juraev</t>
  </si>
  <si>
    <t>Vakhob Eshmirzaev</t>
  </si>
  <si>
    <t>Olimjon Mamarasulov</t>
  </si>
  <si>
    <t>Мамарасулов Олимжон Махкамович</t>
  </si>
  <si>
    <t>Эшмирзаев Вахоб Эшпулат Угли</t>
  </si>
  <si>
    <t>Есназаров Тимур Аскарович</t>
  </si>
  <si>
    <t>Timur Esnazarov</t>
  </si>
  <si>
    <t>Abdalim Abdusamatov</t>
  </si>
  <si>
    <t>Абдусаматов Абдалим Асилбекович</t>
  </si>
  <si>
    <t>Ахмедов Санжарбек  Шавкат угли</t>
  </si>
  <si>
    <t>Жумаев Дилмурод Бекмуродович</t>
  </si>
  <si>
    <t>DIS GOREV KV</t>
  </si>
  <si>
    <t>ISDE</t>
  </si>
  <si>
    <t>YOK</t>
  </si>
  <si>
    <t>Mustafa Yesil</t>
  </si>
  <si>
    <t>Йешил Мустафа</t>
  </si>
  <si>
    <t>DIS GOREV SKOLKOVODAN GELDI</t>
  </si>
  <si>
    <t>Oner Sahin</t>
  </si>
  <si>
    <t>Шахин Онер</t>
  </si>
  <si>
    <t>Diana Ayvazyan</t>
  </si>
  <si>
    <t>Айвазян Диана Айказовна</t>
  </si>
  <si>
    <t>Gaychmurat Koshaev</t>
  </si>
  <si>
    <t>Кошаев Гайчмурат Эсенбаевич</t>
  </si>
  <si>
    <t>Sobir Jumaniyazov</t>
  </si>
  <si>
    <t>Жуманиязов Собир Хамро Угли</t>
  </si>
  <si>
    <t>Ibrohim Boboev</t>
  </si>
  <si>
    <t>Бобоев Иброхим Юсуфович</t>
  </si>
  <si>
    <t>Ahmadjon Shernaev</t>
  </si>
  <si>
    <t>Шернаев Ахмаджон Махмаджонович</t>
  </si>
  <si>
    <t>Dilshodjon Nurov</t>
  </si>
  <si>
    <t>Нуров Дилшоджон Абдуллоевич</t>
  </si>
  <si>
    <t>Farkhod Mirzoev</t>
  </si>
  <si>
    <t>Мирзоев Фарход Ибодович</t>
  </si>
  <si>
    <t>Zoir Odinaev</t>
  </si>
  <si>
    <t>Одинаев Зоир Зафарович</t>
  </si>
  <si>
    <t>Kiromiddin Ibragimzoda</t>
  </si>
  <si>
    <t>Ибрагимзода Киромиддин Абдуджалил</t>
  </si>
  <si>
    <t>Ismoilkhon Kalonov</t>
  </si>
  <si>
    <t>Калонов Исмоилхон Исломович</t>
  </si>
  <si>
    <t>Ashurali Mirzamatov</t>
  </si>
  <si>
    <t>Мирзаматов Ашурали Тожиматович</t>
  </si>
  <si>
    <t>Uchkun Boboev</t>
  </si>
  <si>
    <t>Бобоев Учкун Рузимбоевич</t>
  </si>
  <si>
    <t>Джуманиязов Рустам Сапарбаевич</t>
  </si>
  <si>
    <t>Rustam Djumaniyazov</t>
  </si>
  <si>
    <t>Ikrom Kurbiyazov</t>
  </si>
  <si>
    <t>Курбиязов Икром Мадиярович</t>
  </si>
  <si>
    <t>Rustam Ismatov</t>
  </si>
  <si>
    <t>Исматов Рустам Бахтиёрович</t>
  </si>
  <si>
    <t>Feruzbek Yakubov</t>
  </si>
  <si>
    <t>Якубов Ферузбек Дилшод Угли</t>
  </si>
  <si>
    <t>Abdulaziz Obidjonov</t>
  </si>
  <si>
    <t>Обиджонов Абдулазиз Абдифатто Угли</t>
  </si>
  <si>
    <t>Umidjon Rakhimov</t>
  </si>
  <si>
    <t>Рахимов Умиджон Халимжон Угли</t>
  </si>
  <si>
    <t>Murodjon Yusupov</t>
  </si>
  <si>
    <t>Юсупов Муроджон Хатамжон Угли</t>
  </si>
  <si>
    <t>Jamshid Khurramov</t>
  </si>
  <si>
    <t>Anvar Mardiev</t>
  </si>
  <si>
    <t>Мардиев Анвар Намозович</t>
  </si>
  <si>
    <t>Shokhrukh Yusubov</t>
  </si>
  <si>
    <t>Юсубов Шохрух Улмас Угли</t>
  </si>
  <si>
    <t>Mavliddin Umarov</t>
  </si>
  <si>
    <t>Умаров Мавлиддин Саитмуратович</t>
  </si>
  <si>
    <t>Umid Usmonkulov</t>
  </si>
  <si>
    <t>Усмонкулов Умид Усмонкулович</t>
  </si>
  <si>
    <t>Umidjon Kholmuratov</t>
  </si>
  <si>
    <t>Холмуратов Умиджон Уразалиевич</t>
  </si>
  <si>
    <t>Sanjar Jonaliev</t>
  </si>
  <si>
    <t>Жоналиев Санжар Музаффар Угли</t>
  </si>
  <si>
    <t>Iskandarbek Uraimov</t>
  </si>
  <si>
    <t>Ураимов Искандарбек Исмоилжон Угли</t>
  </si>
  <si>
    <t>Izzat Saparbaev</t>
  </si>
  <si>
    <t>Сапарбаев Иззат Фархадович</t>
  </si>
  <si>
    <t>Жуманиёзов Давронбек Махсуд Угли</t>
  </si>
  <si>
    <t>Курбанов Акбар Нурмухаммат Угли</t>
  </si>
  <si>
    <t>Akbar Kurbonov</t>
  </si>
  <si>
    <t>Номозов Бекмурод Уролович</t>
  </si>
  <si>
    <t>Bekmurod Nomozov</t>
  </si>
  <si>
    <t>Адхамов Жахонгир Абубакир Угли</t>
  </si>
  <si>
    <t>Jakhongir Adkhamov</t>
  </si>
  <si>
    <t>Нормуродов Туймурод Ихтиёр Угли</t>
  </si>
  <si>
    <t>Tuymurod Normurodov</t>
  </si>
  <si>
    <t>Odil Sharipov</t>
  </si>
  <si>
    <t>Шарипов Одил Гуломович</t>
  </si>
  <si>
    <t>INCE ISLER SARDOR KOCHKAROV</t>
  </si>
  <si>
    <t>Asadbek Khalikbaev</t>
  </si>
  <si>
    <t>Халикбаев Асадбек Фарход Угли</t>
  </si>
  <si>
    <t>Jushkinbek Saparbaev</t>
  </si>
  <si>
    <t>Ibrakhim Kanundju</t>
  </si>
  <si>
    <t>Канунджу Ибрахим</t>
  </si>
  <si>
    <t>Khushnudbek Berdiboev</t>
  </si>
  <si>
    <t>Бердибоев Хушнудбек Уктам Угли</t>
  </si>
  <si>
    <t>Abrorbek Abdurakhmonov</t>
  </si>
  <si>
    <t>Абдурахмонов Аброрбек Фахриддин Угли</t>
  </si>
  <si>
    <t>Zafarbek Nurumbetov</t>
  </si>
  <si>
    <t>Kulsoat Abdurasulov</t>
  </si>
  <si>
    <t>Абдурасулов Кулсоат Абдиевич</t>
  </si>
  <si>
    <t>Shakhzodbek Romanberdiev</t>
  </si>
  <si>
    <t>Романбердиев Шахзодбек Вохиджон Угли</t>
  </si>
  <si>
    <t>Мадрахимов Отахон Хужабой Угли</t>
  </si>
  <si>
    <t>Otakhon Madrakhimov</t>
  </si>
  <si>
    <t>Mukhiddin Pardamuradov</t>
  </si>
  <si>
    <t>Пардамурадов Мухиддин Эсанбоевич</t>
  </si>
  <si>
    <t>Вадудов Улугбек Нурбоевич</t>
  </si>
  <si>
    <t>Ulughbek Vadudov</t>
  </si>
  <si>
    <t>Umidjon Ilyasov</t>
  </si>
  <si>
    <t>Илясов Умиджон Алишер Угли</t>
  </si>
  <si>
    <t>Ogabek Eshimov</t>
  </si>
  <si>
    <t>Ешимов Огабек Атахан Угли</t>
  </si>
  <si>
    <t>Самандаров Зафарбек Отабек Угли</t>
  </si>
  <si>
    <t>Sherzod Davletmuratov</t>
  </si>
  <si>
    <t>Давлетмуратов Шерзод Улугбек Угли</t>
  </si>
  <si>
    <t>Исмонов Аминджон Исомиддинович</t>
  </si>
  <si>
    <t>Aminjon Ismonov</t>
  </si>
  <si>
    <t>Khisrav Murodov</t>
  </si>
  <si>
    <t>Муродов Хисрав Зиёдалиевич</t>
  </si>
  <si>
    <t>Адилов Илхомбой Матёкубович</t>
  </si>
  <si>
    <t>Ilkhomboy Adilov</t>
  </si>
  <si>
    <t>Jamshid Ismoilov</t>
  </si>
  <si>
    <t>Исмоилов Жамшид Эргаш Угли</t>
  </si>
  <si>
    <t>Уразбаев Сарвар Кудратович</t>
  </si>
  <si>
    <t>Sarvar Urazbaev</t>
  </si>
  <si>
    <t>Muhriddin Khudoyberdiev</t>
  </si>
  <si>
    <t>Худойбердиев Музриддин Кодир Угли</t>
  </si>
  <si>
    <t>Abduvali Abdurakhmonov</t>
  </si>
  <si>
    <t>Абдурахмонов Абдували Абдулло Угли</t>
  </si>
  <si>
    <t>Абдусаматов Абдувосит Мансурович</t>
  </si>
  <si>
    <t>Abduvosit Abdusamatov</t>
  </si>
  <si>
    <t>Кучкоров Шерали Абдурашидович</t>
  </si>
  <si>
    <t>Журабоев Ойбек Абдурашид Угли</t>
  </si>
  <si>
    <t>Бердиёров Сарвар Ихтиёрович</t>
  </si>
  <si>
    <t>Sherali Kuchkorov</t>
  </si>
  <si>
    <t>Oybek Juraboev</t>
  </si>
  <si>
    <t>Sarvar Berdiyorov</t>
  </si>
  <si>
    <t>Сапарбаев Жушкинбек Илёс Угли</t>
  </si>
  <si>
    <t>Arystanbek Munarbek Uulu</t>
  </si>
  <si>
    <t xml:space="preserve">Мунарбек уулу Арыстанбек </t>
  </si>
  <si>
    <t>Diyorbek Abdumuminov</t>
  </si>
  <si>
    <t>Абдумуминов Диёрбек Борлибой Угли</t>
  </si>
  <si>
    <t>Юлдошов Парда Кобилович</t>
  </si>
  <si>
    <t>Parda Yuldoshov</t>
  </si>
  <si>
    <t>Sobir Mukhammadiev</t>
  </si>
  <si>
    <t>Мухаммадиев Собир Муминович</t>
  </si>
  <si>
    <t>Bobur Khaydarov</t>
  </si>
  <si>
    <t>Oybek Abdulazizov</t>
  </si>
  <si>
    <t>Abdurakhmon Mamasoliev</t>
  </si>
  <si>
    <t>Мамасолиев Абдурахмон Анваржон Угли</t>
  </si>
  <si>
    <t>Asadbek Norimmatov</t>
  </si>
  <si>
    <t>Норимматов Асадбек Хамиджон Угли</t>
  </si>
  <si>
    <t>Shokhrukh Soatbaev</t>
  </si>
  <si>
    <t>Соатбаев Шохрух Умирбой Угли</t>
  </si>
  <si>
    <t>Сапарбаев Умарбек Шамурат Угли</t>
  </si>
  <si>
    <t>Umarbek Saparbaev</t>
  </si>
  <si>
    <t>Zafarbek Samandarov</t>
  </si>
  <si>
    <t>Абдулазизов Ойбек Хайриллаевич</t>
  </si>
  <si>
    <t>Хайдаров Бобир Ускинович</t>
  </si>
  <si>
    <t>Iskhor Daniyarov</t>
  </si>
  <si>
    <t>Данияров Изхор Гулгомджонович</t>
  </si>
  <si>
    <t>Odiljon Azimov</t>
  </si>
  <si>
    <t>Азимов Одилжон Тожидин Угли</t>
  </si>
  <si>
    <t>Ражапов Баходир Ибрагимович</t>
  </si>
  <si>
    <t>Bakhodir Rajapov</t>
  </si>
  <si>
    <t>Khusniddin Ergashev</t>
  </si>
  <si>
    <t>Эргашев Хусниддин Абдураук Угли</t>
  </si>
  <si>
    <t>Maruf Umarov</t>
  </si>
  <si>
    <t>Умаров Маруф Бахтиёр Угли</t>
  </si>
  <si>
    <t>Уроков Фазлиддин Ахмад Угли</t>
  </si>
  <si>
    <t>Fazliddin Urokov</t>
  </si>
  <si>
    <t>MARUF MELIBOEV</t>
  </si>
  <si>
    <t>Asadbek Bazarbaev</t>
  </si>
  <si>
    <t>Базарбаев Асадбек Хурсандбой Угли</t>
  </si>
  <si>
    <t>Тангиров Мусурмонкул Курбонбоевич</t>
  </si>
  <si>
    <t>Musurmonkul Tangirov</t>
  </si>
  <si>
    <t>Mansurbek Urinboev</t>
  </si>
  <si>
    <t>Уринбоев Мансурбек Носиржон Угли</t>
  </si>
  <si>
    <t>Латипов Умрбек Кахрамон Угли</t>
  </si>
  <si>
    <t>Umrbek Latipov</t>
  </si>
  <si>
    <t>Sherzod Abdukarimov</t>
  </si>
  <si>
    <t>Абдукаримов Шерзод Адилбекович</t>
  </si>
  <si>
    <t>Расулов Нариддин Эшмаматович</t>
  </si>
  <si>
    <t>Nuriddin Rasulov</t>
  </si>
  <si>
    <t>Ramazan Tukhliev</t>
  </si>
  <si>
    <t>Тухлиев Рамазон Олланазар Угли</t>
  </si>
  <si>
    <t>Mahmadrajabi Abdullazoda</t>
  </si>
  <si>
    <t>Bekzod Kosimov</t>
  </si>
  <si>
    <t>Косимов Бекзод Шавкат Угли</t>
  </si>
  <si>
    <t>Tojiddin Yokubjonov</t>
  </si>
  <si>
    <t>Jalil Alikulov</t>
  </si>
  <si>
    <t>Olmosjon Abdutolibov</t>
  </si>
  <si>
    <t>Nuriddin Achilov</t>
  </si>
  <si>
    <t>Ачлов Нуриддин Исомитдинович</t>
  </si>
  <si>
    <t>Абдутолибов Олмосжон Олимжон Угли</t>
  </si>
  <si>
    <t>Shokhboz Khatanov</t>
  </si>
  <si>
    <t>Хатанов Шахбоз эркин Угли</t>
  </si>
  <si>
    <t>Алиекулов Жалил Норкузи Угли</t>
  </si>
  <si>
    <t>Ёкубжонов Тожиддин Комилжон Угли</t>
  </si>
  <si>
    <t>Khikmatilla Ganijanov</t>
  </si>
  <si>
    <t>Ганижанов Хикматилла Элмурод Угли</t>
  </si>
  <si>
    <t>Бобоев Зоир Исмоилович</t>
  </si>
  <si>
    <t>Абдурахмонов Фозилжон Уралович</t>
  </si>
  <si>
    <t>Foziljon Abdurakhmonov</t>
  </si>
  <si>
    <t>Zoir Boboev</t>
  </si>
  <si>
    <t>Murodulla Barotov</t>
  </si>
  <si>
    <t>Боротов Муродулла Хабибулла Угли</t>
  </si>
  <si>
    <t>Жумакулов Даврон Кахрамон Угли</t>
  </si>
  <si>
    <t>Davron Jumakulov</t>
  </si>
  <si>
    <t>Khujakul Esonov</t>
  </si>
  <si>
    <t>Sardor Safarov</t>
  </si>
  <si>
    <t>Сафаров Сардор Баходир Угли</t>
  </si>
  <si>
    <t>Тоиров Мухаммад Собиржон Угли</t>
  </si>
  <si>
    <t>Muhammad Toirov</t>
  </si>
  <si>
    <t>Azimboy Ashirov</t>
  </si>
  <si>
    <t>Аширов Азимбой Рузим Угли</t>
  </si>
  <si>
    <t>Джуманиязов Ахмаджан Шаназарович</t>
  </si>
  <si>
    <t>Akhmadjan Djumaniyazov</t>
  </si>
  <si>
    <t>Ramazon Abdulloev</t>
  </si>
  <si>
    <t>Абдуллоев Рамазон Абдулхамидович</t>
  </si>
  <si>
    <t>Dilorsho Rajabov</t>
  </si>
  <si>
    <t>Giyos Eshmurodov</t>
  </si>
  <si>
    <t>Эшмуродов Гиёс Орзикулович</t>
  </si>
  <si>
    <t>Махкамбоев Шодибой Муродилжон Угли</t>
  </si>
  <si>
    <t>Shodiboy Makhkamov</t>
  </si>
  <si>
    <t>Maksudjon Akhmedov</t>
  </si>
  <si>
    <t>Berdiyor Umarov</t>
  </si>
  <si>
    <t>Умаров Бердиёр Худойбакович</t>
  </si>
  <si>
    <t>Ахмедов Максуджон Муминжонович</t>
  </si>
  <si>
    <t>Mukhammad Goziboev</t>
  </si>
  <si>
    <t>Dolshojon Urolov</t>
  </si>
  <si>
    <t>Khasan Kenjaev</t>
  </si>
  <si>
    <t>Кенжаев Хасан Джамал Угли</t>
  </si>
  <si>
    <t>Уролов Дилшоджон Хамра Угли</t>
  </si>
  <si>
    <t>Гозибоев мухаммад Шавкат Угли</t>
  </si>
  <si>
    <t>Shakhzod Otajonov</t>
  </si>
  <si>
    <t>Отажонов Шахзод Шерипбай Угли</t>
  </si>
  <si>
    <t>Abror Berdibaev</t>
  </si>
  <si>
    <t>Бердибаев Аброр Фарход Угли</t>
  </si>
  <si>
    <t>Azamat Toshtemirov</t>
  </si>
  <si>
    <t>Тоштемиров Азамат Нурмахмат Угли</t>
  </si>
  <si>
    <t>Тажимов Ботир Бахрамович</t>
  </si>
  <si>
    <t>Botir Tajimov</t>
  </si>
  <si>
    <t>Diyorbek Reyimberdiev,</t>
  </si>
  <si>
    <t>Рейимбердиев Диёрбек Уктам Угли</t>
  </si>
  <si>
    <t>Diyorbek Durdiev</t>
  </si>
  <si>
    <t>Абдуллозода Махмадражаби Файзидин</t>
  </si>
  <si>
    <t>Нурумбетов Зафарбек Рустам Угли</t>
  </si>
  <si>
    <t>Эсонов Хужакул Абдурахим Угли</t>
  </si>
  <si>
    <t>Valeriya Cesnokova</t>
  </si>
  <si>
    <t>Чеснокова Валерия Руслановна</t>
  </si>
  <si>
    <t>Yana Kursunova</t>
  </si>
  <si>
    <t>Коршунова Яна Михайловна</t>
  </si>
  <si>
    <t>DIS GOREV MERKEZ OFIS</t>
  </si>
  <si>
    <t>DIS GÖREV METROPOLIS</t>
  </si>
  <si>
    <t>Khurshid Juraev</t>
  </si>
  <si>
    <t>Жураев Хуршид Абдугаппорович</t>
  </si>
  <si>
    <t>Базорбаев Эргаш Нураддинович</t>
  </si>
  <si>
    <t>Айдын Неджмедин</t>
  </si>
  <si>
    <t>Dimitriy Sokolov</t>
  </si>
  <si>
    <t>Соколов Дмитрий Александрович</t>
  </si>
  <si>
    <t>P.T.O SEFI</t>
  </si>
  <si>
    <t>Jasur Eshchanov</t>
  </si>
  <si>
    <t>Ilya Melnichenko</t>
  </si>
  <si>
    <t>Мелниченко Иля</t>
  </si>
  <si>
    <t>Kazbek Basiev</t>
  </si>
  <si>
    <t>Басиев Казбек Русланович</t>
  </si>
  <si>
    <t>MEKANIK MUHENDISI</t>
  </si>
  <si>
    <t>Markel Mareev</t>
  </si>
  <si>
    <t>Мареев Маркел Маратович</t>
  </si>
  <si>
    <t>AndreyPirazyan</t>
  </si>
  <si>
    <t>Пиразян Андрей Генндьевич</t>
  </si>
  <si>
    <t>Jasurbek Dadoev</t>
  </si>
  <si>
    <t>Дадоев Жасурбек Бахтиёр Угли</t>
  </si>
  <si>
    <t>Mustafojon Radjabov</t>
  </si>
  <si>
    <t>Раджапов Мустафожон Шодибой Угли</t>
  </si>
  <si>
    <t>Asadbek Dodaev</t>
  </si>
  <si>
    <t>Додаев Асадбек Бахтийор Угли</t>
  </si>
  <si>
    <t>Makhmud Bekdurdiev</t>
  </si>
  <si>
    <t>Бекдурдиев Махмуд Дурдибаевич</t>
  </si>
  <si>
    <t>DUVARCI</t>
  </si>
  <si>
    <t>Askarbek Matchanov</t>
  </si>
  <si>
    <t>Матчанов Аскарбек Юлдашевич</t>
  </si>
  <si>
    <t>Okhunjon Bazarbaev</t>
  </si>
  <si>
    <t>Базарбаев Охунжон Бекдурди Угли</t>
  </si>
  <si>
    <t>Odilbek Abdullaev</t>
  </si>
  <si>
    <t>Абдуллаев Одилбек Бозорбой Угли</t>
  </si>
  <si>
    <t>Nematjan Abdalov</t>
  </si>
  <si>
    <t>Абдалов Нематжан Сабирович</t>
  </si>
  <si>
    <t>Temurbek Urinboev</t>
  </si>
  <si>
    <t>Уринбоев Темурбек Зафар Угли</t>
  </si>
  <si>
    <t>Shodiyor Kholikulov</t>
  </si>
  <si>
    <t>Холикулов Шодиёр Холиярович</t>
  </si>
  <si>
    <t>Oybek Kalandarov</t>
  </si>
  <si>
    <t>Каландаров Ойбек Султанбаевич</t>
  </si>
  <si>
    <t>Shakhzod Tukhliev</t>
  </si>
  <si>
    <t>Тухлиев Шахзод Олланазар Угли</t>
  </si>
  <si>
    <t>Sobir Ahmedov</t>
  </si>
  <si>
    <t>Ахмедов Собир Бутаевич</t>
  </si>
  <si>
    <t>Davronbek Abdirashitov</t>
  </si>
  <si>
    <t>Абдирашитов Давронбек Гайрат Угли</t>
  </si>
  <si>
    <t>Abdirakhim Abdirashidov</t>
  </si>
  <si>
    <t>Абдирашитов Абдирахим Эркинович</t>
  </si>
  <si>
    <t>Mukhriddin Kholmirzaev</t>
  </si>
  <si>
    <t>Холмирзаев Мухриддин Суюн Угли</t>
  </si>
  <si>
    <t>Yunus Gulomov</t>
  </si>
  <si>
    <t>Гуломов Юнус Тошпулатович</t>
  </si>
  <si>
    <t>Shakhzod Toshpulatov</t>
  </si>
  <si>
    <t>Тошпулатов Шахзод Юнус Угли</t>
  </si>
  <si>
    <t>Elyor Kholmatov</t>
  </si>
  <si>
    <t>Холматов Элёр Махматдиллоевич</t>
  </si>
  <si>
    <t>Musurmon Uralov</t>
  </si>
  <si>
    <t xml:space="preserve">Уралов Мусурмон Умар Угли </t>
  </si>
  <si>
    <t>Alisher Alikulov</t>
  </si>
  <si>
    <t>Аликулов Алишер Кулдош Угли</t>
  </si>
  <si>
    <t>Oybek Tursunov</t>
  </si>
  <si>
    <t>Турсунов Ойбек Усмонжон Угли</t>
  </si>
  <si>
    <t>Sherzot Jalilov</t>
  </si>
  <si>
    <t>Жалилов Шерзот Ачилович</t>
  </si>
  <si>
    <t>Berdakh Orazbaev</t>
  </si>
  <si>
    <t>Оразбаев Бердах Ниетбаевич</t>
  </si>
  <si>
    <t>Urolboy Akhmedov</t>
  </si>
  <si>
    <t>Ахмедов Уролбой Шербой Угли</t>
  </si>
  <si>
    <t>Timur Alekeev</t>
  </si>
  <si>
    <t>Алекеев Тимур Муратбаевич</t>
  </si>
  <si>
    <t>Khoshimjon Turdiboev</t>
  </si>
  <si>
    <t>Nuriddin Kenjaev</t>
  </si>
  <si>
    <t>Кенжаев Нуриддин Бозорович</t>
  </si>
  <si>
    <t>Musurmon Ergashev</t>
  </si>
  <si>
    <t>Эргашев Мусурмон Панжиевич</t>
  </si>
  <si>
    <t>Orazbay Alekeev</t>
  </si>
  <si>
    <t>Алекеев Оразбай Курбанбаевич</t>
  </si>
  <si>
    <t>Shukhrat Erniyazov</t>
  </si>
  <si>
    <t>Shukurulla Yuldashev</t>
  </si>
  <si>
    <t>Юлдашев Шукурулла Файзулла Угли</t>
  </si>
  <si>
    <t>Rustam Orzikulov</t>
  </si>
  <si>
    <t>Орзикулов Рустам Жобир Угли</t>
  </si>
  <si>
    <t>ABROR BERDIBAEV</t>
  </si>
  <si>
    <t>ABROR BERDIBAEV EKIBI</t>
  </si>
  <si>
    <t>INCE ISLER ABROR BERDIBAEV</t>
  </si>
  <si>
    <t>Diyor Ishannepesov</t>
  </si>
  <si>
    <t>Ишеннепесов Диёр Гурбангелдиевич</t>
  </si>
  <si>
    <t>Kamoliddin Otaniyozov</t>
  </si>
  <si>
    <t>Отаниёзов Камолиддин Хамраевич</t>
  </si>
  <si>
    <t>Ortik Rakhimov</t>
  </si>
  <si>
    <t>Рахимов Ортик Хажибаевич</t>
  </si>
  <si>
    <t>Ilyosjon Yuldoshov</t>
  </si>
  <si>
    <t>Юлдошов Илёсжон Эшонкул Угли</t>
  </si>
  <si>
    <t>Yokubjon Khaydarov</t>
  </si>
  <si>
    <t>Хайдаров Ёкубжон Хусанбаевич</t>
  </si>
  <si>
    <t>Sanjarbek Abdullaev</t>
  </si>
  <si>
    <t>Абдуллаев Санжарбек Жанибекович</t>
  </si>
  <si>
    <t>Mirzabek Rakhimberdiev</t>
  </si>
  <si>
    <t>Рахимбердиев Мирзабек Умирбекович</t>
  </si>
  <si>
    <t>Sirojbek Ahmedov</t>
  </si>
  <si>
    <t>Ахмедов Сирожбек Кувончбек Угли</t>
  </si>
  <si>
    <t>Fariddun Shamsov</t>
  </si>
  <si>
    <t>Шамсов Фариддун Аламшоевич</t>
  </si>
  <si>
    <t>Baratkul Khudayarov</t>
  </si>
  <si>
    <t>Худаяров Бараткул Умирович</t>
  </si>
  <si>
    <t>Obid Tugalov</t>
  </si>
  <si>
    <t>Тугалов Обид Собирович</t>
  </si>
  <si>
    <t>Golib Sanakulov</t>
  </si>
  <si>
    <t>Санакулов Голиб Гафурович</t>
  </si>
  <si>
    <t>Shohruz Urinov</t>
  </si>
  <si>
    <t>Уринов Шохруз Рахим Угли</t>
  </si>
  <si>
    <t>Eldor Murtozaev</t>
  </si>
  <si>
    <t>Муртозаев Элдор Эркин Угли</t>
  </si>
  <si>
    <t>Feruzjon Umirzokov</t>
  </si>
  <si>
    <t>Умирзоков Ферузжон Ислом Угли</t>
  </si>
  <si>
    <t>Dilmurod Rozikov</t>
  </si>
  <si>
    <t>Розиков Дилмурод Зафар Угли</t>
  </si>
  <si>
    <t>Sardor Arzimurododv</t>
  </si>
  <si>
    <t>Арзимуродов Сардор Бекмурод Угли</t>
  </si>
  <si>
    <t>Akmal Khursandov</t>
  </si>
  <si>
    <t>Хурсандов Акмал Нарзулло Угли</t>
  </si>
  <si>
    <t>Akmal Khurramov</t>
  </si>
  <si>
    <t>Хуррамов Акмал Шерали Угли</t>
  </si>
  <si>
    <t>SERAMIKCI</t>
  </si>
  <si>
    <t>Miurodjon Toshbulov</t>
  </si>
  <si>
    <t>Тошбулов Муроджон Абдуразокович</t>
  </si>
  <si>
    <t>Bunyod Jiyanov</t>
  </si>
  <si>
    <t>Жиянов Бунёд Жамол Угли</t>
  </si>
  <si>
    <t xml:space="preserve">Dilshod Madiev </t>
  </si>
  <si>
    <t>Мадиев Дилшод Улмас Угли</t>
  </si>
  <si>
    <t>Ulugbek Abdumalikov</t>
  </si>
  <si>
    <t>Абдумаликов Улугбек Рустамович</t>
  </si>
  <si>
    <t>Орзимуродов Собитжон Бекмурод Угли</t>
  </si>
  <si>
    <t xml:space="preserve">Abdullo Askarzoda </t>
  </si>
  <si>
    <t>Аскарзода Абдулло Бахриддин</t>
  </si>
  <si>
    <t>Sadi Kenjaev</t>
  </si>
  <si>
    <t>Кенджаев Саьди Эмомович</t>
  </si>
  <si>
    <t>Nodirbek Jovliev</t>
  </si>
  <si>
    <t>Жовлиев Нодирбек Хамраевич</t>
  </si>
  <si>
    <t>Utkir Nusharov</t>
  </si>
  <si>
    <t>Нушаров Уткир Ташпулатович</t>
  </si>
  <si>
    <t>Makhsudjon Allayarov</t>
  </si>
  <si>
    <t>Аллаяров Махсуджан Аманбаевич</t>
  </si>
  <si>
    <t>Azizbek Erkaboev</t>
  </si>
  <si>
    <t>Эркабоев Азизбек Жасур Угли</t>
  </si>
  <si>
    <t>Avazmamet Mametveliev</t>
  </si>
  <si>
    <t>Маметвелиев Авезмамет Юсупович</t>
  </si>
  <si>
    <t>Feruzbek Erkaboev</t>
  </si>
  <si>
    <t>Эркабоев Ферузбек Жасур Угли</t>
  </si>
  <si>
    <t>Vepa Khidirov</t>
  </si>
  <si>
    <t>Хидиров Вепа Амандурдыевич</t>
  </si>
  <si>
    <t>Bakhrom Khurramov</t>
  </si>
  <si>
    <t>Хуррамов Бахром Бобоназар Угли</t>
  </si>
  <si>
    <t>Marufjon Uzokov</t>
  </si>
  <si>
    <t>Otabek Urolov</t>
  </si>
  <si>
    <t>Obidjon Isroilov</t>
  </si>
  <si>
    <t>Исроилов Обиджон Курбоналиевич</t>
  </si>
  <si>
    <t>Уролов Отабек Худойназар Угли</t>
  </si>
  <si>
    <t>Mansur Pardaev</t>
  </si>
  <si>
    <t>Пардаев Мансур Чариевич</t>
  </si>
  <si>
    <t>Zokir Davronov</t>
  </si>
  <si>
    <t>Давронов Зокир Равшан Угли</t>
  </si>
  <si>
    <t>Umarbek Shukurlaev</t>
  </si>
  <si>
    <t>Шукурлаев Умарбек Адам Угли</t>
  </si>
  <si>
    <t>Khursandbek Urazmetov</t>
  </si>
  <si>
    <t>Уразметов хурсандбек Мадрахимович</t>
  </si>
  <si>
    <t>Рахматов Зийодулла Равшанзон Угли</t>
  </si>
  <si>
    <t>Ziyodulla Rakhmatov</t>
  </si>
  <si>
    <t>Эшчанов Жасур Джумабаевич</t>
  </si>
  <si>
    <t>Elyor Sadullaev</t>
  </si>
  <si>
    <t>Садуллаев Элёр Комилжон Угли</t>
  </si>
  <si>
    <t>Ulugbek Musurmonkulov</t>
  </si>
  <si>
    <t>Мусурмонкулов Улугбек Муродуллаевич</t>
  </si>
  <si>
    <t>Shokhboz Kodirov</t>
  </si>
  <si>
    <t>Кодиров Шохбоз Исропил Угли</t>
  </si>
  <si>
    <t>Nozimjon Jumaev</t>
  </si>
  <si>
    <t>Джумаев Нозимджон Давлатович</t>
  </si>
  <si>
    <t>Sherzodbek Kamolov</t>
  </si>
  <si>
    <t>Камолов Шерзодбек Саминжон Угли</t>
  </si>
  <si>
    <t>Nutfullo Najmiddinov</t>
  </si>
  <si>
    <t>Нажмиддинов Нутфулло Фаттуллоевич</t>
  </si>
  <si>
    <t>Мамбетов Шерзод Уктам Угли</t>
  </si>
  <si>
    <t>Sherzod Mambetov</t>
  </si>
  <si>
    <t>Giyos Ismailov</t>
  </si>
  <si>
    <t>Исмаилов Гиёс Халбабаевич</t>
  </si>
  <si>
    <t>Юлдошев Озодбек Норйигит Угли</t>
  </si>
  <si>
    <t>Ozodbek Yuldoshev</t>
  </si>
  <si>
    <t>Khidoyat Razzakov</t>
  </si>
  <si>
    <t>Mardonbek Omonboev</t>
  </si>
  <si>
    <t>Раззаков Хидоят Ботирович</t>
  </si>
  <si>
    <t>Омонбоев Мардонбек Жасурбек Угли</t>
  </si>
  <si>
    <t>Базарбаев Бекзод Илхомбай Угли</t>
  </si>
  <si>
    <t>Shokhrat Kurbangeldiev</t>
  </si>
  <si>
    <t>Курбангелдиев Шохрат Сапаргелдиевич</t>
  </si>
  <si>
    <t>Doniyorbek Abdullaev</t>
  </si>
  <si>
    <t>Абдуллаев Дониёрбек Собиржон Угли</t>
  </si>
  <si>
    <t>Юсупов Бахром Абдухалилович</t>
  </si>
  <si>
    <t>Bakhrom Yusupov</t>
  </si>
  <si>
    <t>Makhsetbay Annamuratov</t>
  </si>
  <si>
    <t>Аннамуратов Махсетбай Айитбаевич</t>
  </si>
  <si>
    <t>Эргашбоев Сардоржон Мадиёржон Угли</t>
  </si>
  <si>
    <t>Sardorjon Ergashboev</t>
  </si>
  <si>
    <t>Ehson Toirov</t>
  </si>
  <si>
    <t>Firuzjon Gulmadov</t>
  </si>
  <si>
    <t>Гулмадов Фирузджон Холназарович</t>
  </si>
  <si>
    <t>Тоиров Эхсон Саймуминович</t>
  </si>
  <si>
    <t>Пиров Мухаммад Абдукодирович</t>
  </si>
  <si>
    <t>Muhammad Pirov</t>
  </si>
  <si>
    <t>Muhat Nazarov</t>
  </si>
  <si>
    <t>Назаров Мухат Язмухаммедович</t>
  </si>
  <si>
    <t>DEMIRCI EKIPBASI</t>
  </si>
  <si>
    <t>Khabibulla Safarov</t>
  </si>
  <si>
    <t>Сафаров Хабибулла Рахматулла Угли</t>
  </si>
  <si>
    <t>Farrukh Ergashev</t>
  </si>
  <si>
    <t>Эргашев Фаррух Абдукодир Угли</t>
  </si>
  <si>
    <t>Ramazon Fayzullaev</t>
  </si>
  <si>
    <t>Файзуллаев Рамазон Дустмухаммад Угли</t>
  </si>
  <si>
    <t>Zairjan Nurmetov</t>
  </si>
  <si>
    <t>Нурметов Заиржан Гулимматович</t>
  </si>
  <si>
    <t>Sabirboy Rakhimov</t>
  </si>
  <si>
    <t>Рахимов Сабирбой Юлдашович</t>
  </si>
  <si>
    <t>Urinboy Masharipov</t>
  </si>
  <si>
    <t>Машарипов Уринбой Каримович</t>
  </si>
  <si>
    <t>Nizomjon Odilov</t>
  </si>
  <si>
    <t>Одилов Низомжон Нозимжон Угли</t>
  </si>
  <si>
    <t>Sobirjon Sultanov</t>
  </si>
  <si>
    <t>Султанов Собиржон Базарович</t>
  </si>
  <si>
    <t>Sherzod Turaev</t>
  </si>
  <si>
    <t>Тураев Шерзод Уткирович</t>
  </si>
  <si>
    <t>Сафарзада Шодибеги Ризо</t>
  </si>
  <si>
    <t>Isroil Nishonov</t>
  </si>
  <si>
    <t>Нишонов Исроил Тожидинович</t>
  </si>
  <si>
    <t>Bakhtiyor Nishonov</t>
  </si>
  <si>
    <t>Нишонов Бахтиёр Тожидинович</t>
  </si>
  <si>
    <t>Fahuddini Gadozoda</t>
  </si>
  <si>
    <t>Asrorjon Aliev</t>
  </si>
  <si>
    <t>Алиев Асроржон Кувандик Угли</t>
  </si>
  <si>
    <t>Sanatbek Otakhonov</t>
  </si>
  <si>
    <t>Отахонов Санатбек Муроджон Угли</t>
  </si>
  <si>
    <t>Fazliddin Jalolov</t>
  </si>
  <si>
    <t>Джалолов Фазлиддин Фарходович</t>
  </si>
  <si>
    <t>Bakhtiyor Jalolov</t>
  </si>
  <si>
    <t>Джалолов Бахтиёр Хурамович</t>
  </si>
  <si>
    <t>Fakhriddin Ruzimov</t>
  </si>
  <si>
    <t>Рузимов Фахриддин Камариддин Угли</t>
  </si>
  <si>
    <t>Spitamen Toshev</t>
  </si>
  <si>
    <t>Тошев Спитамен Сайфиддинович</t>
  </si>
  <si>
    <t>Azizbek Mukhtorov</t>
  </si>
  <si>
    <t>Тургуналиев Самандар Сохибжон Угли</t>
  </si>
  <si>
    <t>Samandar Turgunaliev</t>
  </si>
  <si>
    <t>Khudayberdi Mamasidikov</t>
  </si>
  <si>
    <t>Набибуллаев Хаётбек Исломжон Угли</t>
  </si>
  <si>
    <t>Khayotbek Nabibullaev</t>
  </si>
  <si>
    <t>Kozimjon Juraboev</t>
  </si>
  <si>
    <t>Журабоев Козимжон Мухторжон Угли</t>
  </si>
  <si>
    <t>Oybek Umaraliev</t>
  </si>
  <si>
    <t>Умаралиев Ойбек Пазлиддин Угли</t>
  </si>
  <si>
    <t>Исматуллаев Баходир Салохиддинович</t>
  </si>
  <si>
    <t>Bakhodir Ismatullaev</t>
  </si>
  <si>
    <t>Dmitry Strokov</t>
  </si>
  <si>
    <t>Строков Дмитрий Александрович</t>
  </si>
  <si>
    <t>Javlonbek Mustafakulov</t>
  </si>
  <si>
    <t>Мустафакулов Жавлонбек Холмумин Угли</t>
  </si>
  <si>
    <t>Ulugbek Botirov</t>
  </si>
  <si>
    <t>Ботиров Улугбек Умирбек Угли</t>
  </si>
  <si>
    <t xml:space="preserve">Mirjalol Ravshanov </t>
  </si>
  <si>
    <t>Равшанов Миржалол Алишер Угли</t>
  </si>
  <si>
    <t>DIS GOREV ИнтерРАО GELDI</t>
  </si>
  <si>
    <t>Berkan Saygili</t>
  </si>
  <si>
    <t>Сайгили Беркан</t>
  </si>
  <si>
    <t>Mansurbek Otajanov</t>
  </si>
  <si>
    <t>Отажанов Мансурбек Хайитбоевич</t>
  </si>
  <si>
    <t>Tohirjon Khasanov</t>
  </si>
  <si>
    <t>Хасанов Тохиржон Илхом Угли</t>
  </si>
  <si>
    <t>Мамашарипов Шохжахон Бахром Угли</t>
  </si>
  <si>
    <t>Shokhjahon Mamasharipov</t>
  </si>
  <si>
    <t>Usmonali Karimov</t>
  </si>
  <si>
    <t>Каримов Усмонали Бобир Угли</t>
  </si>
  <si>
    <t xml:space="preserve">DUVARCI </t>
  </si>
  <si>
    <t>Oybek Komilov</t>
  </si>
  <si>
    <t>Комилов Ойбек Рейимбой Угли</t>
  </si>
  <si>
    <t>Иброхимов Шавкат Рузимбой Угли</t>
  </si>
  <si>
    <t>Shavkat Ibrokhimov</t>
  </si>
  <si>
    <t>Мамасидиков Худайберди Орифжон Угли</t>
  </si>
  <si>
    <t>Мухторов Азизбек Хасанбой Угли</t>
  </si>
  <si>
    <t>Оллаберганов Рахим Бектурдиевич</t>
  </si>
  <si>
    <t>Nurbek Zhangarach Uulu</t>
  </si>
  <si>
    <t>Жангарач Уулу Нурбек</t>
  </si>
  <si>
    <t>Sanjarbek Saburov</t>
  </si>
  <si>
    <t>Сабуров Санжарбек Файзулла Угли</t>
  </si>
  <si>
    <t>Abdulaziz Karimov</t>
  </si>
  <si>
    <t>Каримов Абдулазиз Бобир Угли</t>
  </si>
  <si>
    <t>Gayrat Egambergenov</t>
  </si>
  <si>
    <t>Эгамбергенов Гайрат Шухратович</t>
  </si>
  <si>
    <t>Chyngyz Sharsheev</t>
  </si>
  <si>
    <t>Шаршеев Чынгыз</t>
  </si>
  <si>
    <t>Doniyor Rakhmiddinov</t>
  </si>
  <si>
    <t>Рахмиддинов Дониёр Фахриддин Угли</t>
  </si>
  <si>
    <t>Сулейманов Рахматжон Ибрахимович</t>
  </si>
  <si>
    <t>Rakhmatjon Suleymanov</t>
  </si>
  <si>
    <t>Abdumutal Akhmataliev</t>
  </si>
  <si>
    <t>Ахматалиев Абдумутал Абдухалил Угли</t>
  </si>
  <si>
    <t>Abdurauf Jumaev</t>
  </si>
  <si>
    <t>Жумаев Абдурауф Абдулазиз Угли</t>
  </si>
  <si>
    <t>Абозов Улугбек Гафуржонович</t>
  </si>
  <si>
    <t>Тогаев Садриддин Зокирджонович</t>
  </si>
  <si>
    <t>Sadriddin Togaev</t>
  </si>
  <si>
    <t>Suhrob Ismatov</t>
  </si>
  <si>
    <t>Исматов Сухров Бахтиёрович</t>
  </si>
  <si>
    <t>Asadbek Rashidov</t>
  </si>
  <si>
    <t>Рашидов Асадбек Турди Угли</t>
  </si>
  <si>
    <t>Шаймарданов Музаффар Режабович</t>
  </si>
  <si>
    <t>Muzaffar Shaymardanov</t>
  </si>
  <si>
    <t>Bekzod Orolov</t>
  </si>
  <si>
    <t>Оролов бекзод Одилжон Угли</t>
  </si>
  <si>
    <t>Юлдашев Журабек Алимбаевич</t>
  </si>
  <si>
    <t>Jurabek Yuldashev</t>
  </si>
  <si>
    <t>Sairiddin Huseinov</t>
  </si>
  <si>
    <t>Хусейнов Сайриддин Мехробудинович</t>
  </si>
  <si>
    <t>Mustafa Kutluay</t>
  </si>
  <si>
    <t>Кутлуай Мустафа</t>
  </si>
  <si>
    <t>Huseyin Budak</t>
  </si>
  <si>
    <t>Эрcан Тосун</t>
  </si>
  <si>
    <t>Мурат Уюг</t>
  </si>
  <si>
    <t>Md Julafakar</t>
  </si>
  <si>
    <t>Мд Жулафакар</t>
  </si>
  <si>
    <t>Kewat Nitesh</t>
  </si>
  <si>
    <t>Кеwат Нитеш</t>
  </si>
  <si>
    <t>Aslam</t>
  </si>
  <si>
    <t>Аслам</t>
  </si>
  <si>
    <t>Jumman</t>
  </si>
  <si>
    <t>Жумман</t>
  </si>
  <si>
    <t>Bisvas Raju</t>
  </si>
  <si>
    <t>Бисвас Ражу</t>
  </si>
  <si>
    <t>Ram Anardan</t>
  </si>
  <si>
    <t>Рам Анардан</t>
  </si>
  <si>
    <t>Anil</t>
  </si>
  <si>
    <t>Анил</t>
  </si>
  <si>
    <t>Ramkeyas Paswan</t>
  </si>
  <si>
    <t>Рамкеяс Пасwан</t>
  </si>
  <si>
    <t xml:space="preserve">Sonu  </t>
  </si>
  <si>
    <t xml:space="preserve">Сону  </t>
  </si>
  <si>
    <t>Alam Sagir</t>
  </si>
  <si>
    <t>Алам Сагир</t>
  </si>
  <si>
    <t>Bisvas Apu</t>
  </si>
  <si>
    <t>Жаисwал Ишwар</t>
  </si>
  <si>
    <t>Kumar Ajit</t>
  </si>
  <si>
    <t>Кумар Ажит</t>
  </si>
  <si>
    <t>Patel Jitendra</t>
  </si>
  <si>
    <t>Patel Rajkishor</t>
  </si>
  <si>
    <t>Пател Ражкишор</t>
  </si>
  <si>
    <t>Rajbhar Nakul</t>
  </si>
  <si>
    <t>Ражбҳар Накул</t>
  </si>
  <si>
    <t>Rajbhar Rahul</t>
  </si>
  <si>
    <t>Ражбҳар Раҳул</t>
  </si>
  <si>
    <t xml:space="preserve">Tivari Vipin </t>
  </si>
  <si>
    <t xml:space="preserve">Тивари Випин </t>
  </si>
  <si>
    <t>Khalil Sekh</t>
  </si>
  <si>
    <t>Кҳалил Секҳ</t>
  </si>
  <si>
    <t>Chauhan Abhishek</t>
  </si>
  <si>
    <t>Чауҳан Абҳишек</t>
  </si>
  <si>
    <t>Chauhan Lal Mohan</t>
  </si>
  <si>
    <t>Чауҳан Лал Моҳан</t>
  </si>
  <si>
    <t>Dhanshyam Kumar</t>
  </si>
  <si>
    <t>Дҳаншям Кумар</t>
  </si>
  <si>
    <t>Abhishek Sharma</t>
  </si>
  <si>
    <t>Абҳишек Шарма</t>
  </si>
  <si>
    <t>Alok Mondal</t>
  </si>
  <si>
    <t>Алок Мондал</t>
  </si>
  <si>
    <t>Anil Baitha</t>
  </si>
  <si>
    <t>Анил Баитҳа</t>
  </si>
  <si>
    <t>Ashim Biswas</t>
  </si>
  <si>
    <t>Ашим Бисwас</t>
  </si>
  <si>
    <t>Babulal Patel</t>
  </si>
  <si>
    <t>Бабулал Пател</t>
  </si>
  <si>
    <t xml:space="preserve">Biswanath Mondal </t>
  </si>
  <si>
    <t xml:space="preserve">Бисwанатҳ Мондал </t>
  </si>
  <si>
    <t>Dhirendra Mal</t>
  </si>
  <si>
    <t>Дҳирендра Мал</t>
  </si>
  <si>
    <t>Dinesh Kushwaha</t>
  </si>
  <si>
    <t>Динеш Кушwаҳа</t>
  </si>
  <si>
    <t>Harkesh Kumar Kushwaha</t>
  </si>
  <si>
    <t>Ҳаркеш Кумар Кушwаҳа</t>
  </si>
  <si>
    <t>Manjur</t>
  </si>
  <si>
    <t>Манжур</t>
  </si>
  <si>
    <t>Singh Mirityunjay</t>
  </si>
  <si>
    <t xml:space="preserve">Миритюнжай Сингҳ </t>
  </si>
  <si>
    <t>Khushnudjon Urazmetov</t>
  </si>
  <si>
    <t>Sanat Matyusupov</t>
  </si>
  <si>
    <t>Javlonbek Bektursenov</t>
  </si>
  <si>
    <t>Osiyo Abdullaeva</t>
  </si>
  <si>
    <t>Абдуллаева Осиё</t>
  </si>
  <si>
    <t>Ulugbek Abozov</t>
  </si>
  <si>
    <t>Эсанов Сайдазим Шавкатович</t>
  </si>
  <si>
    <t>Ulugbek Urazaliev</t>
  </si>
  <si>
    <t>Уразалиев Улугбек Худойберганович</t>
  </si>
  <si>
    <t>Jamshidbek Egamberdiev</t>
  </si>
  <si>
    <t>Эгамбердиев Жамшидбек Рустамбек Угли</t>
  </si>
  <si>
    <t>Эрниязов Шухрат Халмуртович</t>
  </si>
  <si>
    <t>Турдибоев Хошимжон Хакимжон Угли</t>
  </si>
  <si>
    <t>Каландаров Бехруз Шокир Угли</t>
  </si>
  <si>
    <t>Elbek Uralov</t>
  </si>
  <si>
    <t>Sarvar Kurbonov</t>
  </si>
  <si>
    <t>Курбонов сарвар сафар Угли</t>
  </si>
  <si>
    <t>Уралов Элбек Уткир Угли</t>
  </si>
  <si>
    <t>Джаббаров Анвар Амиркулович</t>
  </si>
  <si>
    <t>Anvar Djabbarov</t>
  </si>
  <si>
    <t>Otabek Salomov</t>
  </si>
  <si>
    <t>Саломов Отабек Чори Угли</t>
  </si>
  <si>
    <t>Shokhrukh Zaripov</t>
  </si>
  <si>
    <t>Зарипов Шохрух Отабек Угли</t>
  </si>
  <si>
    <t>Islam Albogachiev</t>
  </si>
  <si>
    <t>Албогачиев Ислам Магомедович</t>
  </si>
  <si>
    <t>Mustafo Ghafurov</t>
  </si>
  <si>
    <t>Гафуров Мустафо Абдусатторович</t>
  </si>
  <si>
    <t>Fazliddin Eshmuminov</t>
  </si>
  <si>
    <t>Эшмуминов Фазлиддин Алишер Угли</t>
  </si>
  <si>
    <t>Kamronbek Khakkulov</t>
  </si>
  <si>
    <t>Хаккулов Камронбек Равшан Угли</t>
  </si>
  <si>
    <t>Niyatulla Matchanov</t>
  </si>
  <si>
    <t>Матчанов Ниятулла Жолдасович</t>
  </si>
  <si>
    <t>Sanjarbek Seytimov</t>
  </si>
  <si>
    <t>Сейтимов Санжарбек Мухтарович</t>
  </si>
  <si>
    <t>Jasur Jumatov</t>
  </si>
  <si>
    <t>Жуматов Жасур Уразметович</t>
  </si>
  <si>
    <t>Solijon Khoshimov</t>
  </si>
  <si>
    <t>Хошимов Солижон Хасанбой Угли</t>
  </si>
  <si>
    <t>Sirojbek Nazarbaev</t>
  </si>
  <si>
    <t>Назарбаев Сирожбек Бердибой Угли</t>
  </si>
  <si>
    <t>Jamshid Yusupov</t>
  </si>
  <si>
    <t>Юсупов Жамшид Турдиевич</t>
  </si>
  <si>
    <t>Shokirjon Sitmuratov</t>
  </si>
  <si>
    <t>Ситмуратов Шокиржон Сапарбаевич</t>
  </si>
  <si>
    <t>Shukhrat Ayitbaev</t>
  </si>
  <si>
    <t>Айитбаев Шухрат Алижон Угли</t>
  </si>
  <si>
    <t>Sodiqjon Atoev</t>
  </si>
  <si>
    <t>Атоев Содикджон Одинаевич</t>
  </si>
  <si>
    <t>CEPHECI</t>
  </si>
  <si>
    <t>Jozilboy Boltaev</t>
  </si>
  <si>
    <t>Болтаев Жозилбой Кахарович</t>
  </si>
  <si>
    <t>Fakhriddin Yarashov</t>
  </si>
  <si>
    <t>Ярашов Фахриддин Комилжон Угли</t>
  </si>
  <si>
    <t>Mukhtor Sharipov</t>
  </si>
  <si>
    <t>Шарипов Мухтор Нурмаматович</t>
  </si>
  <si>
    <t>Saparboy Yuldashev</t>
  </si>
  <si>
    <t>Юлдашев Сапарбой Ражабович</t>
  </si>
  <si>
    <t>Okhunjon Abdukhakimov</t>
  </si>
  <si>
    <t>Абдухакимов Охунжон Хусанович</t>
  </si>
  <si>
    <t>Aybek Allabergenov</t>
  </si>
  <si>
    <t>Аллабергенов Айбек Бахтибаевич</t>
  </si>
  <si>
    <t>Mirali Kadirov</t>
  </si>
  <si>
    <t>Кадиров Мирали Жура Угли</t>
  </si>
  <si>
    <t>Kurbonali Ismatov</t>
  </si>
  <si>
    <t>Исматов Курбонали Узокович</t>
  </si>
  <si>
    <t>Elyor Jumaniyozov</t>
  </si>
  <si>
    <t>Жуманиёзов Элёр Сафарбаевич</t>
  </si>
  <si>
    <t>Sardorbek Ibragimov</t>
  </si>
  <si>
    <t>Ибрагимов Сардорбек Гофур Угли</t>
  </si>
  <si>
    <t>Umid Ibadullaev</t>
  </si>
  <si>
    <t>Ибадуллаев Умид Аметбаевич</t>
  </si>
  <si>
    <t>Sunnatulla Ergashev</t>
  </si>
  <si>
    <t>Эргашев Суннатулла Дилшод Угли</t>
  </si>
  <si>
    <t>Nurillo Usmonov</t>
  </si>
  <si>
    <t>Усмонов Нурилло Камолович</t>
  </si>
  <si>
    <t>Zarifjon Allamurodov</t>
  </si>
  <si>
    <t>Алламуродов Зарифжон Зафар Угли</t>
  </si>
  <si>
    <t>Jurajon Nozilov</t>
  </si>
  <si>
    <t>Нозилов Джураджон Халимджонович</t>
  </si>
  <si>
    <t>SEKRETER</t>
  </si>
  <si>
    <t>Ruzimurod Tursunov</t>
  </si>
  <si>
    <t>Турсунов Рузимород Хужамуродович</t>
  </si>
  <si>
    <t>Узоков Ориф Курбонали Угли</t>
  </si>
  <si>
    <t>Orif Uzokov</t>
  </si>
  <si>
    <t>Гоибзода Амирджон Хакназар</t>
  </si>
  <si>
    <t>Amirjon Ghoibzoda</t>
  </si>
  <si>
    <t>Zafar Dulabov</t>
  </si>
  <si>
    <t>Дулабов Зафар Гайрат Угли</t>
  </si>
  <si>
    <t>Zafarjon Mamurov</t>
  </si>
  <si>
    <t>Bakhtiyor Tursunov</t>
  </si>
  <si>
    <t>Турсунов Бахтиёр Рохатали Угли</t>
  </si>
  <si>
    <t>Мамуров Зафаржон Тамолдинович</t>
  </si>
  <si>
    <t>Айтбаев Кудрат Вафо Угли</t>
  </si>
  <si>
    <t>Kudrat Aytbaev</t>
  </si>
  <si>
    <t>Ollabergan Nurmetov</t>
  </si>
  <si>
    <t>Нурметов Оллаберган Максуд Угли</t>
  </si>
  <si>
    <t>Худойберганов Рузмамат Одамбой Угли</t>
  </si>
  <si>
    <t>Ruzmamat Khudayberganov</t>
  </si>
  <si>
    <t>Ulugbek Sobirov</t>
  </si>
  <si>
    <t>Собиров Улугбек Мухтар Угли</t>
  </si>
  <si>
    <t>Адилов Сирожбек Илхомбоевич</t>
  </si>
  <si>
    <t>Sirojbek Adilov</t>
  </si>
  <si>
    <t>Izzat Davlatov</t>
  </si>
  <si>
    <t>Давлатов Иззат Нематович</t>
  </si>
  <si>
    <t>Muzaffar Masordinov</t>
  </si>
  <si>
    <t>Масординов Музаффар Жалолиддин Угли</t>
  </si>
  <si>
    <t>Bekzod  Bazarbaev</t>
  </si>
  <si>
    <t>Abror Saburbaev</t>
  </si>
  <si>
    <t>Сабурбаев Аброр Бахтиёр Угли</t>
  </si>
  <si>
    <t>Dilmurat Asmatullaev</t>
  </si>
  <si>
    <t>Асматуллаев Дилмурат Якупбаевич</t>
  </si>
  <si>
    <t>Akhmed Saburov</t>
  </si>
  <si>
    <t>Сабуров Ахмад Абдуллаевич</t>
  </si>
  <si>
    <t>Sardor Khujamurodov</t>
  </si>
  <si>
    <t>Хужамуродов Сардор Сайдулла Угли</t>
  </si>
  <si>
    <t>Azamat Abdalov</t>
  </si>
  <si>
    <t>Абдалов Азамат Тохтабаевич</t>
  </si>
  <si>
    <t>Ural Pardaev</t>
  </si>
  <si>
    <t>Bakhodir Bobojonov</t>
  </si>
  <si>
    <t>Ergash Bobajonov</t>
  </si>
  <si>
    <t>Zokhidjon Djapakov</t>
  </si>
  <si>
    <t>Dilshodbek Makhmudov</t>
  </si>
  <si>
    <t>Jakhongir Karimov</t>
  </si>
  <si>
    <t>Khurshiddin Kurbonov</t>
  </si>
  <si>
    <t>Курбонов Хуршиддин Бутаевич</t>
  </si>
  <si>
    <t xml:space="preserve">Пардаев Урал Нормаматович </t>
  </si>
  <si>
    <t>Бобожонов Баходир Худаёрович</t>
  </si>
  <si>
    <t>Бобажонов Эргаш Эшимметович</t>
  </si>
  <si>
    <t>Джапаков Зохиджон Мадраимович</t>
  </si>
  <si>
    <t>Махмудов Дилшодбек Уралбой Угли</t>
  </si>
  <si>
    <t>Каримов Жохонгир Ражапбаевич</t>
  </si>
  <si>
    <t>Узоков Маруфжон Курбонали Угли</t>
  </si>
  <si>
    <t>Akhmedjan Yusupov</t>
  </si>
  <si>
    <t>Юсупов Ахмеджан Тахирович</t>
  </si>
  <si>
    <t>Javokhir Zaripboev</t>
  </si>
  <si>
    <t>Зарипбоев Жавохир Мадатбой Угли</t>
  </si>
  <si>
    <t>Shakhboz Dusiev</t>
  </si>
  <si>
    <t>Дусиев Шахбоз Бабабекович</t>
  </si>
  <si>
    <t>Shokhboz Pardaboev</t>
  </si>
  <si>
    <t>Пардабоев Шохбоз Журабой Угли</t>
  </si>
  <si>
    <t>Javlon Abdullaev</t>
  </si>
  <si>
    <t>Абдуллаев Жавлон Зайирович</t>
  </si>
  <si>
    <t>Jahongir Hasanov</t>
  </si>
  <si>
    <t>Хасанов Жахонгир Рахмонкул Угли</t>
  </si>
  <si>
    <t>Bunyod Pardaboev</t>
  </si>
  <si>
    <t>Пардабоев Бунёд Журавоевич</t>
  </si>
  <si>
    <t>Muzaffar Sultanov</t>
  </si>
  <si>
    <t>Султанов Музаффар Раматович</t>
  </si>
  <si>
    <t>Mansurbek Mambetov</t>
  </si>
  <si>
    <t>Мамбетов Мансурбек Уктам Угли</t>
  </si>
  <si>
    <t>Kalimuddin Goldar</t>
  </si>
  <si>
    <t>Голдар Калимуддин</t>
  </si>
  <si>
    <t>MEKANIK SAHA MUHENDISI</t>
  </si>
  <si>
    <t>Ibroimjon Khayitov</t>
  </si>
  <si>
    <t>Хайитов Иброимжон Акрамкулович</t>
  </si>
  <si>
    <t>Khasan Pulatov</t>
  </si>
  <si>
    <t>Пулатов Хасан Баротович</t>
  </si>
  <si>
    <t>Mironshoh Makhmarajabov</t>
  </si>
  <si>
    <t>Махмаражабов Мироншох Исмат Угли</t>
  </si>
  <si>
    <t>Shokhjakhon Makhmarajabov</t>
  </si>
  <si>
    <t>Махмаражабов Шохжахон Исмат Угли</t>
  </si>
  <si>
    <t>Nodirjon Yuldashev</t>
  </si>
  <si>
    <t>Юлдашев Нодиржон Тошмаматович</t>
  </si>
  <si>
    <t>Kenja Khasanov</t>
  </si>
  <si>
    <t>Хасанов Кенжа Эшкузиевич</t>
  </si>
  <si>
    <t>Azizbek Atakhanov</t>
  </si>
  <si>
    <t>Атаханов Азизбек Эргашович</t>
  </si>
  <si>
    <t>Rustamjon Sotvoldiev</t>
  </si>
  <si>
    <t>Сотволдиев Рустамжон Алимардон Угли</t>
  </si>
  <si>
    <t>Sanjarbek Omonov</t>
  </si>
  <si>
    <t>Омонов Санжарбек Отабек Угли</t>
  </si>
  <si>
    <t>Tursunali Safarov</t>
  </si>
  <si>
    <t>Сафаров Турсунали Акбаралиевич</t>
  </si>
  <si>
    <t>Arabboy Omonov</t>
  </si>
  <si>
    <t>Омонов Араббой Отабек Угли</t>
  </si>
  <si>
    <t>Bunyodjon Kurbonaliev</t>
  </si>
  <si>
    <t>Курбоналиев Бунёджон Мадаминжон Угли</t>
  </si>
  <si>
    <t>Sherali Yassakov</t>
  </si>
  <si>
    <t xml:space="preserve">Яссаков Шерали </t>
  </si>
  <si>
    <t>Jakhongir Suleev</t>
  </si>
  <si>
    <t>Сулеев Жахонгир Хасанович</t>
  </si>
  <si>
    <t>Усмонов Шохрух Рахмиддин Угли</t>
  </si>
  <si>
    <t xml:space="preserve">Shokhrukh Usmonov </t>
  </si>
  <si>
    <t>Zakhidjan Turaev</t>
  </si>
  <si>
    <t>Тураев Захиджан Уразматович</t>
  </si>
  <si>
    <t>Yuldoshali Alijonov</t>
  </si>
  <si>
    <t>Алижонов Юлдашали Охунович</t>
  </si>
  <si>
    <t>Nizomiddin Teshaboev</t>
  </si>
  <si>
    <t>Тешабоев Низомиддин Абдурахмонович</t>
  </si>
  <si>
    <t>Davlatnazar Matkarimov</t>
  </si>
  <si>
    <t>Маткаримов Давлатназар Улмасбек Угли</t>
  </si>
  <si>
    <t>Somon Ghoibzoda</t>
  </si>
  <si>
    <t>Гоибзода Сомон Сангмад</t>
  </si>
  <si>
    <t>Niyozmamat Karimov</t>
  </si>
  <si>
    <t>Каримов Ниёзмамат Илхом Угли</t>
  </si>
  <si>
    <t>Davlat Djumanazarov</t>
  </si>
  <si>
    <t>Джуманазаров Давлат Каршибаевич</t>
  </si>
  <si>
    <t>Otamurod Niyozmetov</t>
  </si>
  <si>
    <t>Ниёзметов Отамурод Ойбек Угли</t>
  </si>
  <si>
    <t>Sayfulla Ergashev</t>
  </si>
  <si>
    <t>Эргашев Сайфулла Чориевич</t>
  </si>
  <si>
    <t>Omad Sapaev</t>
  </si>
  <si>
    <t>Сапаев Омад Уктамбой Угли</t>
  </si>
  <si>
    <t>Karimjon Komiljonov</t>
  </si>
  <si>
    <t>Комилжонов Каримжон Шокир Угли</t>
  </si>
  <si>
    <t>Bakhromjon Akhmedov</t>
  </si>
  <si>
    <t>Ахмедов Бахромжон Курбоналиевич</t>
  </si>
  <si>
    <t>Makhmud Ismailov</t>
  </si>
  <si>
    <t>Исмаилов Махмуд Аллабергенович</t>
  </si>
  <si>
    <t>Ziynat Akhmedov</t>
  </si>
  <si>
    <t>Ахмедов Зийнат Улугбек Угли</t>
  </si>
  <si>
    <t>Muzaffar Yuldashov</t>
  </si>
  <si>
    <t>Юлдашов Музаффар Ахмад Угли</t>
  </si>
  <si>
    <t>Юсупов Нозимжон Носиржон Угли</t>
  </si>
  <si>
    <t>Nozimjon Yusupov</t>
  </si>
  <si>
    <t>Begzod Rakhmatullaev</t>
  </si>
  <si>
    <t>Рахматуллаев Бегзод Хамидулла Угли</t>
  </si>
  <si>
    <t>Uktam Musaev</t>
  </si>
  <si>
    <t>Мусаев Уктам Абдурахманович</t>
  </si>
  <si>
    <t>Abbos Kirgizbaev</t>
  </si>
  <si>
    <t>Киргизбаев Аббос</t>
  </si>
  <si>
    <t>Mirgiyos Bakhriddinov</t>
  </si>
  <si>
    <t>Бахриддинов Миргиёс Абдусамад Угли</t>
  </si>
  <si>
    <t>Sardor Ravshanov</t>
  </si>
  <si>
    <t>Равшанов Сардор Абруй Угли</t>
  </si>
  <si>
    <t>Asomiddin Kholbutaev</t>
  </si>
  <si>
    <t>Холбутаев Асомиддин Дилмурод Угли</t>
  </si>
  <si>
    <t>Askarbek Tugalov</t>
  </si>
  <si>
    <t>Тугалов Аскарбек Абийркуль Угли</t>
  </si>
  <si>
    <t>Khamid Djumanov</t>
  </si>
  <si>
    <t>Джуманов Хамид Азадбоевич</t>
  </si>
  <si>
    <t>Zakir Sitmuratov</t>
  </si>
  <si>
    <t>Ситмуратов Закир Сапарбаевич</t>
  </si>
  <si>
    <t>Khamza Babajanov</t>
  </si>
  <si>
    <t>Бабажанов Хамза Нарматович</t>
  </si>
  <si>
    <t>Murod Bekchanov</t>
  </si>
  <si>
    <t>Бекчанов Мурод Атабекович</t>
  </si>
  <si>
    <t>Yakupboy Gadoev</t>
  </si>
  <si>
    <t>Гадоев Якупбой Отахонович</t>
  </si>
  <si>
    <t>Muzaffar Khodjiev</t>
  </si>
  <si>
    <t>Ходжиев Музаффар Камилджанович</t>
  </si>
  <si>
    <t>Kosimboy Komiljonov</t>
  </si>
  <si>
    <t>Комилжонов Косимбой Музаффар Угли</t>
  </si>
  <si>
    <t>Diyorbek Avezov</t>
  </si>
  <si>
    <t>Авезов Диёрбек Садулла Угли</t>
  </si>
  <si>
    <t>ISMOIL KHUDOYBERGANOV INCE ISLER</t>
  </si>
  <si>
    <t>Ismoil Khudoyberganov</t>
  </si>
  <si>
    <t>Худойберганов Исмоил Тулкин Угли</t>
  </si>
  <si>
    <t>Matkarim Eshchanov</t>
  </si>
  <si>
    <t>Эшчанов Маткарим Шарипович</t>
  </si>
  <si>
    <t>ALCI BOYA EKIPBASI</t>
  </si>
  <si>
    <t>Nodirbek Ayitboev</t>
  </si>
  <si>
    <t>Айитбоев Нодирбек Улугбек Угли</t>
  </si>
  <si>
    <t>Mukhiddin Boltaev</t>
  </si>
  <si>
    <t>Болтаев Мухиддин Шермаматович</t>
  </si>
  <si>
    <t>Samandar Hayitboev</t>
  </si>
  <si>
    <t>Хайитбоев Самандар Санат Угли</t>
  </si>
  <si>
    <t>Khusan Djabbarov</t>
  </si>
  <si>
    <t>Джаббаров Хусан Рустамбекович</t>
  </si>
  <si>
    <t>Feruz Sharipov</t>
  </si>
  <si>
    <t>Шарипов Феруз Маткарим Угли</t>
  </si>
  <si>
    <t>Dilmurod Duschanov</t>
  </si>
  <si>
    <t>Дусчанов Дилмурод Кодир Угли</t>
  </si>
  <si>
    <t>Akhrorbek Khajiev</t>
  </si>
  <si>
    <t>Хажиев Ахрорбек Аллаберган Угли</t>
  </si>
  <si>
    <t>Shohjahon Hajiev</t>
  </si>
  <si>
    <t>Хажиев Шохжахон Мансурбек Угли</t>
  </si>
  <si>
    <t>Zoyirbek Hajiev</t>
  </si>
  <si>
    <t>Хажиев Зойирбек Тохир Угли</t>
  </si>
  <si>
    <t>Shahobiddin Hajiev</t>
  </si>
  <si>
    <t>Хажиев Шахобиддин Мухторбек Угли</t>
  </si>
  <si>
    <t>Rasulbek Sobirov</t>
  </si>
  <si>
    <t>Собиров Расулбек Кодир Угли</t>
  </si>
  <si>
    <t>Bekzod Madaminov</t>
  </si>
  <si>
    <t>Мадаминов Бекзод Равшанбек Угли</t>
  </si>
  <si>
    <t>Inomjon Sharipov</t>
  </si>
  <si>
    <t>Шарипов Иномжон Абдиримбой Угли</t>
  </si>
  <si>
    <t>Kuramboy Ayitbaev</t>
  </si>
  <si>
    <t>Айитбаев Курамбой Шухрат Угли</t>
  </si>
  <si>
    <t>Azamat Kurbanov</t>
  </si>
  <si>
    <t>Курбанов Азамат Сабирбаевич</t>
  </si>
  <si>
    <t>Akhrorbek Makhmudov</t>
  </si>
  <si>
    <t>Махмудов Ахрорбек Рузмамат Угли</t>
  </si>
  <si>
    <t>Ruslon Jumanazarov</t>
  </si>
  <si>
    <t>Жуманазаров Руслон Шухрат Угли</t>
  </si>
  <si>
    <t>Akbar Duschanov</t>
  </si>
  <si>
    <t>Дусчанов Акбар Пулат Угли</t>
  </si>
  <si>
    <t>Yashinbek Duschanov</t>
  </si>
  <si>
    <t>Дусчанов Яшинбек Октам Угли</t>
  </si>
  <si>
    <t>INCE ISLER ISMOIL KHUDOYBERGANOV</t>
  </si>
  <si>
    <t>ISMOIL KHUDOYBERGANOV</t>
  </si>
  <si>
    <t>Doniyor Ayitboev</t>
  </si>
  <si>
    <t>Айитбоев Дониёр Шухрат Угли</t>
  </si>
  <si>
    <t>Komil Janizakov</t>
  </si>
  <si>
    <t>Жанизаков Комил Саримсокович</t>
  </si>
  <si>
    <t>Хазраткулов Фаррух Зиёмиддин Угли</t>
  </si>
  <si>
    <t>Farrukh Khazratkulov</t>
  </si>
  <si>
    <t>Ulugbek Turaev</t>
  </si>
  <si>
    <t>Тураев Улугбек Каримович</t>
  </si>
  <si>
    <t>Гуломжонов Тохиржон Гайратжон Угли</t>
  </si>
  <si>
    <t>Tokhirjon Gulomjonov</t>
  </si>
  <si>
    <t>Nazarjon Khosiljonov</t>
  </si>
  <si>
    <t>Хосилжонов Назаржон Махамад Угли</t>
  </si>
  <si>
    <t>Худойбердиев Музаффар Маматалиевич</t>
  </si>
  <si>
    <t>Muzaffar Khudayberdiev</t>
  </si>
  <si>
    <t>Sultonbek Mazokirov</t>
  </si>
  <si>
    <t>Мазокиров Султонбек Тохиржон Угли</t>
  </si>
  <si>
    <t>Зарипбаев Азизбек Сабит Угли</t>
  </si>
  <si>
    <t>Shavkat Setimov</t>
  </si>
  <si>
    <t>Сетимов Шавкат Сатимович</t>
  </si>
  <si>
    <t>Масариддинов Сардор Жахониддин Угли</t>
  </si>
  <si>
    <t xml:space="preserve">Абдуллаев Эргаш Адиримович </t>
  </si>
  <si>
    <t>Бабажанов Эгамберди Аманбай Угли</t>
  </si>
  <si>
    <t>Шодиев Отабек Шакарович</t>
  </si>
  <si>
    <t>Кодиров Кодирбек Шокир Угли</t>
  </si>
  <si>
    <t>Kodirbek Kodirov</t>
  </si>
  <si>
    <t>Otabek Shodiev</t>
  </si>
  <si>
    <t>Egamberdi Babajanov</t>
  </si>
  <si>
    <t>Ergash Abdullaev</t>
  </si>
  <si>
    <t>Sardor Masariddinov</t>
  </si>
  <si>
    <t>Manguberdi Allaberganov</t>
  </si>
  <si>
    <t>Аллаберганов Мангуберди Иномжонович</t>
  </si>
  <si>
    <t>Куранбайев Куронбой Каландар Угли</t>
  </si>
  <si>
    <t>Ражапов Мардонбек Хужаназар Угли</t>
  </si>
  <si>
    <t>Матякубов Аскарбек Фархадовч</t>
  </si>
  <si>
    <t>Askarbek Matyakubov</t>
  </si>
  <si>
    <t>Mardonbek Rajapov</t>
  </si>
  <si>
    <t>Kuronboy Kuranbayev</t>
  </si>
  <si>
    <t>Azizbek Zaripbaev</t>
  </si>
  <si>
    <t>Ural Sattarov</t>
  </si>
  <si>
    <t>Саттаров Урал Халмуратович</t>
  </si>
  <si>
    <t>Хасанов Отабек Туфлиевич</t>
  </si>
  <si>
    <t>Otabek Hasanov</t>
  </si>
  <si>
    <t>Azizbek Bazarov</t>
  </si>
  <si>
    <t>Базаров Азизбек Шокирбекович</t>
  </si>
  <si>
    <t>Bektosh Ismatov</t>
  </si>
  <si>
    <t>Исматов Бектош Тоштемирович</t>
  </si>
  <si>
    <t>Sherali Mamutov</t>
  </si>
  <si>
    <t>Мамутов Шерали Рейимбаевич</t>
  </si>
  <si>
    <t>Nizom Temirov</t>
  </si>
  <si>
    <t>Темиров Низом Бахриддинович</t>
  </si>
  <si>
    <t>Abdurakhmon Ishmurotov</t>
  </si>
  <si>
    <t>Ишмуротов Абдурахмон Хушвакович</t>
  </si>
  <si>
    <t>Hamza Eshboboev</t>
  </si>
  <si>
    <t>Эшбобоев Хамза Холматович</t>
  </si>
  <si>
    <t>Dilmurod Boltaboev</t>
  </si>
  <si>
    <t>Болтабоев Дилмурод Абдулла Угли</t>
  </si>
  <si>
    <t>Abduvahob Abdusamatov</t>
  </si>
  <si>
    <t>Абдусаматов Абдувахоб Мансурович</t>
  </si>
  <si>
    <t>Musurmonkul Khurramov</t>
  </si>
  <si>
    <t>Хуррамов Мусурмонкул Шодмонович</t>
  </si>
  <si>
    <t>Alisher Khudayarov</t>
  </si>
  <si>
    <t>Худаяров Алишер Шухратович</t>
  </si>
  <si>
    <t>Navruz Khudoyorov</t>
  </si>
  <si>
    <t>Худоёров Навруз Шеркулович</t>
  </si>
  <si>
    <t>Khayrublo Khudoynazarov</t>
  </si>
  <si>
    <t>Худойназаров Хайрубло Назрухужаевич</t>
  </si>
  <si>
    <t>Alimardon Kenjaev</t>
  </si>
  <si>
    <t>Кенжаев Алимардон Абдугаффарович</t>
  </si>
  <si>
    <t>Bokhodirjon Turgunov</t>
  </si>
  <si>
    <t>Тургунов Боходиржон Саминович</t>
  </si>
  <si>
    <t>Sobirjon Mustanov</t>
  </si>
  <si>
    <t>Мустанов Собиржон Бакирович</t>
  </si>
  <si>
    <t>Dovudbek Juraev</t>
  </si>
  <si>
    <t>Жураев Довудбек Рахматкул Угли</t>
  </si>
  <si>
    <t>Muhammad Barotov</t>
  </si>
  <si>
    <t>Баротов Мухаммад Холмуродович</t>
  </si>
  <si>
    <t>Nuriddinbek Jumanov</t>
  </si>
  <si>
    <t>Shamsiddin Umarov</t>
  </si>
  <si>
    <t>Lazizbek Fayzulloev</t>
  </si>
  <si>
    <t>Файзуллоев Лазизбек Файзулло Угли</t>
  </si>
  <si>
    <t>Умаров Шамсиддин Хаким Угли</t>
  </si>
  <si>
    <t>Жуманов Нуриддинбек баходир Угли</t>
  </si>
  <si>
    <t>Кулматов Аббос Гафурович</t>
  </si>
  <si>
    <t>Abbos Kulmanov</t>
  </si>
  <si>
    <t>Nuriddin Akhmedov</t>
  </si>
  <si>
    <t>Ахмедов Нуриддин Курбоналиевич</t>
  </si>
  <si>
    <t>Sunnatullo Saidov</t>
  </si>
  <si>
    <t>Otabek Sultonmurodov</t>
  </si>
  <si>
    <t xml:space="preserve">Султонмуродов Отабек </t>
  </si>
  <si>
    <t>Olimjon Davlatov</t>
  </si>
  <si>
    <t>Давлатов Олимжон Хусейнович</t>
  </si>
  <si>
    <t>Jamoliddin Davlatov</t>
  </si>
  <si>
    <t>Давлатов Джамолиддин Насруллоевич</t>
  </si>
  <si>
    <t>Tulkin Ismailov</t>
  </si>
  <si>
    <t>Исмаилов Тулкин Ибрагим Угли</t>
  </si>
  <si>
    <t>Dilshod Khodjaniyazov</t>
  </si>
  <si>
    <t>Ходжаниязов Дилшод Фархадович</t>
  </si>
  <si>
    <t>Diyorbek Karimov</t>
  </si>
  <si>
    <t>Каримов Диёрбек Юлдаш Угли</t>
  </si>
  <si>
    <t>Umidbek Ruzimboev</t>
  </si>
  <si>
    <t>Рузимбоев Умидбек Улугбек Угли</t>
  </si>
  <si>
    <t>Zafarbek Karimov</t>
  </si>
  <si>
    <t>Каримов Зафарбек Юлдаш Угли</t>
  </si>
  <si>
    <t>Ozodbek Shonazarov</t>
  </si>
  <si>
    <t>Шоназаров Озодбек Ахроржон Угли</t>
  </si>
  <si>
    <t>Ogabek Kenjaev</t>
  </si>
  <si>
    <t>Кенжаев Огабек Музаффар Угли</t>
  </si>
  <si>
    <t>Tokhirjon Mazokirov</t>
  </si>
  <si>
    <t>Мазокиров Тохиржон Курбонович</t>
  </si>
  <si>
    <t>Elmurod Komilov</t>
  </si>
  <si>
    <t>Комилов Элмурод Орипжонович</t>
  </si>
  <si>
    <t>Abdulboki Abdurakhimov</t>
  </si>
  <si>
    <t>Абдурахимов Абдулбоки Зияутдинович</t>
  </si>
  <si>
    <t>Sayyora Sobirova</t>
  </si>
  <si>
    <t>Собирова Сайёра Очиловна</t>
  </si>
  <si>
    <t>Gulkhumor Abdullaeva</t>
  </si>
  <si>
    <t>Абдуллаева Гулхумор Тажибаевна</t>
  </si>
  <si>
    <t>Anvar Kurambaev</t>
  </si>
  <si>
    <t>Курамбаев Анвар Арсланович</t>
  </si>
  <si>
    <t>Azad Seytimbetov</t>
  </si>
  <si>
    <t>Сейтимбетов Азад Раджапович</t>
  </si>
  <si>
    <t>Destan Seytov</t>
  </si>
  <si>
    <t>Khayrullo Olimov</t>
  </si>
  <si>
    <t>Khushbakht Shirinshoev</t>
  </si>
  <si>
    <t>Олимов Хайрулло Баходиржон Угли</t>
  </si>
  <si>
    <t>Шириншоев Хушбахт курбоншоевич</t>
  </si>
  <si>
    <t>Ражапов Искандар Олимбаевич</t>
  </si>
  <si>
    <t>Ражапов Наврузбек Олимбай Угли</t>
  </si>
  <si>
    <t>Navruzbek Rajapov</t>
  </si>
  <si>
    <t>Begzod Utabov</t>
  </si>
  <si>
    <t>Утабов Бугзод Хакимович</t>
  </si>
  <si>
    <t>Khasanbay Saparbaev</t>
  </si>
  <si>
    <t>Jahongir yarbekov</t>
  </si>
  <si>
    <t>Ярибеков Жахонгир Нуриддин Угли</t>
  </si>
  <si>
    <t>Сапарбаев Хасанбай Уктамбой Угли</t>
  </si>
  <si>
    <t>Атабаев Данияр Ринатович</t>
  </si>
  <si>
    <t>Daniyar Atabaev</t>
  </si>
  <si>
    <t>Bahodir Raimboev</t>
  </si>
  <si>
    <t>Раимбоев Баходир хасанбой Угли</t>
  </si>
  <si>
    <t>Kuvondik Urazmetov</t>
  </si>
  <si>
    <t>Уразметов Куводкик Мадрахимов</t>
  </si>
  <si>
    <t>Ozgur Calis</t>
  </si>
  <si>
    <t>Чалыш Озгюр</t>
  </si>
  <si>
    <t>DIS GOREV ZELENOGRADDAN GELDI</t>
  </si>
  <si>
    <t>Asror Abdullaev</t>
  </si>
  <si>
    <t>Rakhimboy Otajonov</t>
  </si>
  <si>
    <t>Отажонов Рахимбой Озадович</t>
  </si>
  <si>
    <t>INCI ISLER EKIPBASI</t>
  </si>
  <si>
    <t>RUSLAN RUZMETOV</t>
  </si>
  <si>
    <t>INCE ISLER RUSLAN RUZMETOV</t>
  </si>
  <si>
    <t>Kokhramon Khudoyberganov</t>
  </si>
  <si>
    <t>Худойберганов Кохрамон Кувондик Угли</t>
  </si>
  <si>
    <t>Murodjon Turgunboev</t>
  </si>
  <si>
    <t>Тургунбоев Муроджон Фахриддин Угли</t>
  </si>
  <si>
    <t>Бердикулов Анвар Акбаралиевич</t>
  </si>
  <si>
    <t>Anvar Berdikulov</t>
  </si>
  <si>
    <t>Bazarbay Vapaev</t>
  </si>
  <si>
    <t>Вапаев Базарбай Шоназарович</t>
  </si>
  <si>
    <t>Furqat Rustamov</t>
  </si>
  <si>
    <t>Shodibek Nazarov</t>
  </si>
  <si>
    <t>Parviz Murodov</t>
  </si>
  <si>
    <t>Fayzullo Nazarov</t>
  </si>
  <si>
    <t>Муродов Парвиз Джонбобоевич</t>
  </si>
  <si>
    <t>Назаров Шодибек Куваталиевич</t>
  </si>
  <si>
    <t>Рустамов Фуркат Мехмондустович</t>
  </si>
  <si>
    <t>Назаров Файзулло Кукиевич</t>
  </si>
  <si>
    <t>Komiljon Kuziboev</t>
  </si>
  <si>
    <t>Кузибоев Комилжон Махмуд Угли</t>
  </si>
  <si>
    <t>Oybek Sevinov</t>
  </si>
  <si>
    <t>Севинов Ойбек Исмоил Угли</t>
  </si>
  <si>
    <t>Aytboy Karimov</t>
  </si>
  <si>
    <t>Каримов Айтбой Карим Угли</t>
  </si>
  <si>
    <t>Рахимов Умиджон Тоирович</t>
  </si>
  <si>
    <t>Umidzhon Rakhimov</t>
  </si>
  <si>
    <t>Dilshodbek Khabibullaev</t>
  </si>
  <si>
    <t>Хабибуллаев Дилшодбек Араббой Угли</t>
  </si>
  <si>
    <t>Alisher Sapaev</t>
  </si>
  <si>
    <t>Сапаев Алишер Эгамберди Угли</t>
  </si>
  <si>
    <t>Jamoliddin Dustkulov</t>
  </si>
  <si>
    <t>Дусткулов Жамолиддин Исматулла Угли</t>
  </si>
  <si>
    <t>Fahriddin Usmonov</t>
  </si>
  <si>
    <t>Усмонов Фахриддин Хабибуллаевич</t>
  </si>
  <si>
    <t>Okhunjon Kurbonboev</t>
  </si>
  <si>
    <t xml:space="preserve"> Курбонбоев Охунжон Музаффар Угли</t>
  </si>
  <si>
    <t>Sunnat Khudayberdiev</t>
  </si>
  <si>
    <t>Худайбердиев Суннат Худайназарович</t>
  </si>
  <si>
    <t>Abdugafur Ubaydullaev</t>
  </si>
  <si>
    <t>Убайдуллаев Абдугафур Абдухолик Угли</t>
  </si>
  <si>
    <t>Khujakul Urazaliev</t>
  </si>
  <si>
    <t>Уразалиев Хужакул Кучкор Угли</t>
  </si>
  <si>
    <t>Islom Turopov</t>
  </si>
  <si>
    <t>Туропов Ислом</t>
  </si>
  <si>
    <t>Odamboy Shernazarov</t>
  </si>
  <si>
    <t>Шерназаров Одамбой Давлатназар Угли</t>
  </si>
  <si>
    <t>Kamoladdin Kazakov</t>
  </si>
  <si>
    <t>Казаков Камоладдин Аллаберганович</t>
  </si>
  <si>
    <t>Nodirbek Sotimov</t>
  </si>
  <si>
    <t>Сотимов Нодирбек Шавкат Угли</t>
  </si>
  <si>
    <t>Sirojiddin Khujaboev</t>
  </si>
  <si>
    <t>Хужабоев Сирожиддин Абдувахидович</t>
  </si>
  <si>
    <t>Umirbek Bakiev</t>
  </si>
  <si>
    <t>Бакиев Умирбек Юсупбаевич</t>
  </si>
  <si>
    <t>Umrbek Jumaniyozov</t>
  </si>
  <si>
    <t>Жуманиёзов Умрбек</t>
  </si>
  <si>
    <t>Ogabek Erkinboev</t>
  </si>
  <si>
    <t>Эркинбоев Огабек Шерали Угли</t>
  </si>
  <si>
    <t>Sardorbek Ollamov</t>
  </si>
  <si>
    <t>Олламов Сардорбек Бактурдиевич</t>
  </si>
  <si>
    <t>Atabek Atamamatov</t>
  </si>
  <si>
    <t>Атамаматов Атабек Алланазар Угли</t>
  </si>
  <si>
    <t>Khurshid Satlikov</t>
  </si>
  <si>
    <t>Сатликов Хуршид Тажибаевич</t>
  </si>
  <si>
    <t>Elyorjon Kenjaev</t>
  </si>
  <si>
    <t>Кенжаев Элёржон Акбаржон Угли</t>
  </si>
  <si>
    <t>Akramjon Gaynazarov</t>
  </si>
  <si>
    <t>Гайназаров Акрамжон Мингбоевич</t>
  </si>
  <si>
    <t>Shohboz Rakhmonov</t>
  </si>
  <si>
    <t>Рахмонов Шохбоз Алишер Угли</t>
  </si>
  <si>
    <t>Azizjon Khujamkulov</t>
  </si>
  <si>
    <t>Хужамкулов Азизжон Туйчи Угли</t>
  </si>
  <si>
    <t>Islombek Ruziev</t>
  </si>
  <si>
    <t>Рузиев Исломбек Хасанбой Угли</t>
  </si>
  <si>
    <t>Shahriyor Kamalov</t>
  </si>
  <si>
    <t>Камалов Шахриёр Бекназар Угли</t>
  </si>
  <si>
    <t>Avazbek Rakhmatov</t>
  </si>
  <si>
    <t>Рахматов Авазбек Ортикали Угли</t>
  </si>
  <si>
    <t>Diyorbek Sobirov</t>
  </si>
  <si>
    <t>Собиров Диёрбек</t>
  </si>
  <si>
    <t>Shohzodbek Shomuratov</t>
  </si>
  <si>
    <t>Шомуратов Шохзодбек Гайрат Угли</t>
  </si>
  <si>
    <t>Khalmukhammet Narmetov</t>
  </si>
  <si>
    <t>Нарметов Халмухаммет Худайбердиевич</t>
  </si>
  <si>
    <t>EKIPBASI</t>
  </si>
  <si>
    <t>Atoboy Atoboev</t>
  </si>
  <si>
    <t>Атобоев Атобой Кудрат Угли</t>
  </si>
  <si>
    <t>Erkinbay Kurambaev</t>
  </si>
  <si>
    <t>Курамбаев Эркинбай Олимбаевич</t>
  </si>
  <si>
    <t>Tulkin Ismoilov</t>
  </si>
  <si>
    <t>Исмоилов Тулкин Худайберганович</t>
  </si>
  <si>
    <t>Ismoiljon Sharofiddinov</t>
  </si>
  <si>
    <t>Шарофиддинов Исмоилжон Нумонжон Угли</t>
  </si>
  <si>
    <t>Zokirjon Abdukarimov</t>
  </si>
  <si>
    <t>Абдукаримов Зокиржон Солижонович</t>
  </si>
  <si>
    <t>Nodirbek Ismailov</t>
  </si>
  <si>
    <t>Исмаилов Нодирбек Худайберганович</t>
  </si>
  <si>
    <t>Kosimjon Otakhonov</t>
  </si>
  <si>
    <t>Отахонов Косимжон Жасур Угли</t>
  </si>
  <si>
    <t>Zafarbek Khaitov</t>
  </si>
  <si>
    <t>Хаитов Зафарбек Бекберган Угли</t>
  </si>
  <si>
    <t>Makhammat Kodirov</t>
  </si>
  <si>
    <t>Кодиров Махаммат Рахимович</t>
  </si>
  <si>
    <t>Bobirjon Kuramboev</t>
  </si>
  <si>
    <t>Курамбоев Бобиржон Худойшукур Угли</t>
  </si>
  <si>
    <t>Khadyatulloh Karimjonov</t>
  </si>
  <si>
    <t>Каримжонов Хадятуллох Обиджон Угли</t>
  </si>
  <si>
    <t>Maksud Saidmuratov</t>
  </si>
  <si>
    <t>Саидмуратов Максуд Уринович</t>
  </si>
  <si>
    <t>Hasanboy Usmonov</t>
  </si>
  <si>
    <t>Усмонов Хасанбой Ганижонович</t>
  </si>
  <si>
    <t>Lazizjon Hamrokulov</t>
  </si>
  <si>
    <t>Хамрокулов Лазизжон Рузибой Угли</t>
  </si>
  <si>
    <t>Doston Nematov</t>
  </si>
  <si>
    <t>Нематов Достон Мехмон Угли</t>
  </si>
  <si>
    <t>Asadbek Urinov</t>
  </si>
  <si>
    <t>Уринов Асадбек Кенжа Угли</t>
  </si>
  <si>
    <t>Khudoshukur Khaybullaev</t>
  </si>
  <si>
    <t>Хайбуллаев Худошукур Курамбайевич</t>
  </si>
  <si>
    <t>ALCIPAN EKIPBASI</t>
  </si>
  <si>
    <t>Солиев Шокир Олимжонович</t>
  </si>
  <si>
    <t>16,03,2026</t>
  </si>
  <si>
    <t>Hisain Atoev</t>
  </si>
  <si>
    <t>Атоев Хисайн Одинаевич</t>
  </si>
  <si>
    <t>Umarkhon Abdullaev</t>
  </si>
  <si>
    <t xml:space="preserve"> Абдуллаев Умархон Абдулло Угли</t>
  </si>
  <si>
    <t>Oyatilloh Dadomirzaev</t>
  </si>
  <si>
    <t>Дадомирзаев Оятиллох Шукурилло Угли</t>
  </si>
  <si>
    <t>GECE DIS GOREV SKOLKOVODAN GELDI</t>
  </si>
  <si>
    <t>Tatyana Prikhodko</t>
  </si>
  <si>
    <t>Приходько Татьяна Михайловна</t>
  </si>
  <si>
    <t>Нурматов Акмалжон Одилжонович</t>
  </si>
  <si>
    <t>Эргашев Бехруз Норбек Угли</t>
  </si>
  <si>
    <t>TESISAT KAYNAKCISI</t>
  </si>
  <si>
    <t>Sarvarjon Abdullaev</t>
  </si>
  <si>
    <t>Абдуллаев Сарваржон Самижон Угли</t>
  </si>
  <si>
    <t>Nurilla Shodmonov</t>
  </si>
  <si>
    <t>Шодмонов Нурилла Кодирович</t>
  </si>
  <si>
    <t>Dilmurod Abdurasulov</t>
  </si>
  <si>
    <t>Абдурасулов Дилмурод Ботир Угли</t>
  </si>
  <si>
    <t>Ortik Rustamov</t>
  </si>
  <si>
    <t>Рустамов Ортик Исакул Угли</t>
  </si>
  <si>
    <t>Sunnat Kodirov</t>
  </si>
  <si>
    <t>Кодиров Суннат Нурилла Угли</t>
  </si>
  <si>
    <t>Абдуллаев Анваржон Самижон Угли</t>
  </si>
  <si>
    <t>Fakhriddin Kodirov</t>
  </si>
  <si>
    <t>Кодиров Фахриддин Эгамберди Угли</t>
  </si>
  <si>
    <t xml:space="preserve">Anvarjon Abdullaev </t>
  </si>
  <si>
    <t>Akmaljon Nurmatov</t>
  </si>
  <si>
    <t>Bekhruz Ergashev</t>
  </si>
  <si>
    <t>DIS GOREV PROSPEKT VERNADKSIYDEN GELDI</t>
  </si>
  <si>
    <t>Shokhijakhon Kodirov</t>
  </si>
  <si>
    <t>Кодиров Шохижахон Эгамберди Угли</t>
  </si>
  <si>
    <t>Shavkat Sagdullaev</t>
  </si>
  <si>
    <t>Сагдуллаев Шавкат Сайфулла Угли</t>
  </si>
  <si>
    <t>Maruf Khaitov</t>
  </si>
  <si>
    <t>Хаитов Маруф Нурмахаммадович</t>
  </si>
  <si>
    <t>Mukhammadnozim Akhmatov</t>
  </si>
  <si>
    <t>Ахматов Мухаммаднозим Анваржон Угли</t>
  </si>
  <si>
    <t>Abdulaziz Tursunaliev</t>
  </si>
  <si>
    <t>Турсуналиев Абдулазиз Шухратжон Угли</t>
  </si>
  <si>
    <t>Husniddin Abinov</t>
  </si>
  <si>
    <t>Абинов Хусниддин Кодир Угли</t>
  </si>
  <si>
    <t>Zafar Alimov</t>
  </si>
  <si>
    <t>Алимов Зафар Айитбаевич</t>
  </si>
  <si>
    <t>Kuvonchbek Olimov</t>
  </si>
  <si>
    <t>Олимов Кувонсбек Наримон Угли</t>
  </si>
  <si>
    <t>Ortik Ollaberganov</t>
  </si>
  <si>
    <t>Оллаберганов Ортик Отабаевич</t>
  </si>
  <si>
    <t>Абдуллаев Асрор Илдор Угли</t>
  </si>
  <si>
    <t>Nurmukhammad Rajabov</t>
  </si>
  <si>
    <t>Ражабов Нурмухаммад Кувондик Угли</t>
  </si>
  <si>
    <t>Dimitriy Guskov</t>
  </si>
  <si>
    <t>Гуськов Дмитрий Александрович</t>
  </si>
  <si>
    <t>Irina Andreeva</t>
  </si>
  <si>
    <t>Андреева Ирина Витальевна</t>
  </si>
  <si>
    <t>Gayrat Solaev</t>
  </si>
  <si>
    <t>Солаев Гайрат Абдикадирович</t>
  </si>
  <si>
    <t xml:space="preserve">Kenan Kurt </t>
  </si>
  <si>
    <t>Курт Кенан</t>
  </si>
  <si>
    <t>Yomin Jorubov</t>
  </si>
  <si>
    <t>Джорубов Ёмин Кадамович</t>
  </si>
  <si>
    <t xml:space="preserve">Odiljon Sayfullaev </t>
  </si>
  <si>
    <t>Сайфуллаев Одилжон Турсунович</t>
  </si>
  <si>
    <t xml:space="preserve">Azad Karriev </t>
  </si>
  <si>
    <t>Карриев Азад Юлдашович</t>
  </si>
  <si>
    <t>Nurserdar Kerimov</t>
  </si>
  <si>
    <t>Керимов Нурсердар</t>
  </si>
  <si>
    <t>Djumaniyaz Karimbaev</t>
  </si>
  <si>
    <t>Каримбаев Джуманияз Дурдыевич</t>
  </si>
  <si>
    <t>Adkhambek Khalilov</t>
  </si>
  <si>
    <t>Халиллаев Адхамбек Сайдулла Угли</t>
  </si>
  <si>
    <t>Muhammad Botirov</t>
  </si>
  <si>
    <t>Ботиров Мухаммад</t>
  </si>
  <si>
    <t>Zafar Ruzmetov</t>
  </si>
  <si>
    <t>Рузметов Зафар Кадамбаевич</t>
  </si>
  <si>
    <t>Umidbek Rakhmatjonov</t>
  </si>
  <si>
    <t>Рахматжонов Умидбек Кудратович</t>
  </si>
  <si>
    <t>Ulosh Kholiyorov</t>
  </si>
  <si>
    <t>Холийоров Улош Бердимурот Угли</t>
  </si>
  <si>
    <t>Shahrom Muminov</t>
  </si>
  <si>
    <t>Муминов Шахром Фатхуллоевич</t>
  </si>
  <si>
    <t>Mansurbek Khudaykulov</t>
  </si>
  <si>
    <t>Худайкулов Мансурбек Абдиманнонович</t>
  </si>
  <si>
    <t>Jahongir Toshtemirov</t>
  </si>
  <si>
    <t>Тоштемиров Жахонгир Алишер Угли</t>
  </si>
  <si>
    <t>Sherzod Kulatov</t>
  </si>
  <si>
    <t>Кулатов Шерзод Одил Угли</t>
  </si>
  <si>
    <t>Odil Khudaykulov</t>
  </si>
  <si>
    <t>Худайкулов Одил Кулатович</t>
  </si>
  <si>
    <t>Bahrom Rajapov</t>
  </si>
  <si>
    <t>Ражабов Бахром Тоштемир Угли</t>
  </si>
  <si>
    <t>Javlonbek Khushvaktov</t>
  </si>
  <si>
    <t>Хушвактов Жавлонбек Бектошевич</t>
  </si>
  <si>
    <t>Alisher Karakulov</t>
  </si>
  <si>
    <t>Каракулов Алишер Хандамович</t>
  </si>
  <si>
    <t>Абдутолибов Хушнид Олимжон Угли</t>
  </si>
  <si>
    <t>Khushnid Abdutolibov</t>
  </si>
  <si>
    <t>Sanjar Mavlyanov</t>
  </si>
  <si>
    <t>Мавлянов Санжар Шухрат Угли</t>
  </si>
  <si>
    <t>Shokhrukh Murodullaev</t>
  </si>
  <si>
    <t>Муродуллаев Шохрух Шерзод Угли</t>
  </si>
  <si>
    <t>Gayrat Ismoilov</t>
  </si>
  <si>
    <t>Исмоилов Гайрат Ширинкул Угли</t>
  </si>
  <si>
    <t>Абдуллоев Курбонбек Шамшербекович</t>
  </si>
  <si>
    <t>Sarvar Matvafaev</t>
  </si>
  <si>
    <t>Матвафаев Сарвар Уралбай Угли</t>
  </si>
  <si>
    <t>Behruz Kalandarov</t>
  </si>
  <si>
    <t>Davlatmurod Murodov</t>
  </si>
  <si>
    <t>Муродов Давлатмурод Зиёдалиевич</t>
  </si>
  <si>
    <t>Abdulatif Ruzikulov</t>
  </si>
  <si>
    <t>Рузикулов Абдулатиф Кимсанович</t>
  </si>
  <si>
    <t>Abdumalik Ruzikulov</t>
  </si>
  <si>
    <t>Рузикулов Абдумалик Кимсанбоевич</t>
  </si>
  <si>
    <t>Zafarbek Jumaboev</t>
  </si>
  <si>
    <t>Жумабоев Зафарбек Султон Угли</t>
  </si>
  <si>
    <t>Abdirashid Dusmuratov</t>
  </si>
  <si>
    <t>Дусмуратов Абдирашид Туракулович</t>
  </si>
  <si>
    <t>Rustam Uralov</t>
  </si>
  <si>
    <t>Уралов Рустам Нуриллаевич</t>
  </si>
  <si>
    <t>Dilshod Khudaybergenov</t>
  </si>
  <si>
    <t>Худайбергенов Дилшод Азамат Угли</t>
  </si>
  <si>
    <t>Umidjan Saburov</t>
  </si>
  <si>
    <t>Сабуров Умиджан Юсупбаевич</t>
  </si>
  <si>
    <t>Khurshid Khodjanazarov</t>
  </si>
  <si>
    <t>Ходжаниязов Хуршид Базарбаевич</t>
  </si>
  <si>
    <t>Atanazar Saburov</t>
  </si>
  <si>
    <t>Сабуров Атаназар Шаназарович</t>
  </si>
  <si>
    <t>Zokir Adambaev</t>
  </si>
  <si>
    <t>Адамбаев Зокир</t>
  </si>
  <si>
    <t>Bekzod Bazarbaev</t>
  </si>
  <si>
    <t>Базарбаев Бекзод Хуршид Угли</t>
  </si>
  <si>
    <t>Mansurbek Iskandarov</t>
  </si>
  <si>
    <t>Искандаров Мансурбек Кадамович</t>
  </si>
  <si>
    <t>ALT YAPI ILHAN KOR EKIBI</t>
  </si>
  <si>
    <t>Muslimbek Hayitmurodov</t>
  </si>
  <si>
    <t>Хайитмуродов Муслимбек Эркинович</t>
  </si>
  <si>
    <t>Bekhruz Doniyorov</t>
  </si>
  <si>
    <t>Дониёров Бехруз Тошмурод Угли</t>
  </si>
  <si>
    <t>Shomurodbek Erdanov</t>
  </si>
  <si>
    <t>Эрданов Шомуродбек Равшан Угли</t>
  </si>
  <si>
    <t>Farkhod Boymatov</t>
  </si>
  <si>
    <t>Бойматов Фарход Саидмурод Угли</t>
  </si>
  <si>
    <t>Номозов Бекмурод Фахриддин Угли</t>
  </si>
  <si>
    <t>Bekjon Uzokov</t>
  </si>
  <si>
    <t>Узоков Бекжон Собиржон Угли</t>
  </si>
  <si>
    <t>Sarvar Pardaev</t>
  </si>
  <si>
    <t>Пардаев Сарвар Бурханович</t>
  </si>
  <si>
    <t>Saydulla Rakhmatov</t>
  </si>
  <si>
    <t>Рахматов Сайдулла Эшонкулович</t>
  </si>
  <si>
    <t>Behruz Pulatov</t>
  </si>
  <si>
    <t>Пулатов Бехруз Рустам Угли</t>
  </si>
  <si>
    <t>Bekhzod Khushvaktov</t>
  </si>
  <si>
    <t>Хушвактов Бехзод Ботирали Угли</t>
  </si>
  <si>
    <t>Alibek Khudaynazarov</t>
  </si>
  <si>
    <t>Худайназаров Алибек Эрназар Угли</t>
  </si>
  <si>
    <t>Ramazon Burkhanov</t>
  </si>
  <si>
    <t>Бурханов Рамазон Кахрамон Угли</t>
  </si>
  <si>
    <t>Fakhriddin Turamurodov</t>
  </si>
  <si>
    <t>Турамуродов Фахриддин Турамурод Угли</t>
  </si>
  <si>
    <t>Urol Julamonov</t>
  </si>
  <si>
    <t>Жуламонов Урол Баходир Угли</t>
  </si>
  <si>
    <t>Temur Eshmatov</t>
  </si>
  <si>
    <t>Эшматов Темур Саидмурод Угли</t>
  </si>
  <si>
    <t>Sardor Iskandarov</t>
  </si>
  <si>
    <t>Искандаров Сардор Дусмаматович</t>
  </si>
  <si>
    <t>ALTYAPI FORMENI</t>
  </si>
  <si>
    <t>TAS USTASI</t>
  </si>
  <si>
    <t>GENEL SAHA ILHAN KOR</t>
  </si>
  <si>
    <t>ILHAN KOR</t>
  </si>
  <si>
    <t>ПОДСОБНЫЙ РАБОЧИЙ / WORKER  / ILHAN KOR</t>
  </si>
  <si>
    <t>CEVRE DUZENLEME</t>
  </si>
  <si>
    <t>Khumayun Sanaev</t>
  </si>
  <si>
    <t>Санаев Хумаюн Музаффар Угли</t>
  </si>
  <si>
    <t>Murodbek Abdurakhimov</t>
  </si>
  <si>
    <t>Абдурахимов Муродбек Фуркат Угли</t>
  </si>
  <si>
    <t xml:space="preserve">Bekmurod Nomozov </t>
  </si>
  <si>
    <t>Zafar Umarov</t>
  </si>
  <si>
    <t>Умаров Зафар Кулмирзаевич</t>
  </si>
  <si>
    <t>Qurbonbek Abdulloev</t>
  </si>
  <si>
    <t>Sairahmon Jemov</t>
  </si>
  <si>
    <t>Джемов Сайрахмон Абдурахмонович</t>
  </si>
  <si>
    <t>Boburbek Otaboev</t>
  </si>
  <si>
    <t>Отабоев Бобурбек Одилбек Угли</t>
  </si>
  <si>
    <t>Umidbek Ibadullaev</t>
  </si>
  <si>
    <t>Ибадуллаев Умидбек Наримон Угли</t>
  </si>
  <si>
    <t>IZALASYONCU</t>
  </si>
  <si>
    <t>7926-657-68-05</t>
  </si>
  <si>
    <t>7903-569-81-43</t>
  </si>
  <si>
    <t>7977-344-43-36</t>
  </si>
  <si>
    <t>Климович Александр Георгиевич</t>
  </si>
  <si>
    <t>Halil Budak</t>
  </si>
  <si>
    <t>Будак Халил</t>
  </si>
  <si>
    <t>Cihan Il</t>
  </si>
  <si>
    <t>Ил Джихан</t>
  </si>
  <si>
    <t>Mahmut Olcars</t>
  </si>
  <si>
    <t>Олджарс Махмут</t>
  </si>
  <si>
    <t>Bulent Sancaktutan</t>
  </si>
  <si>
    <t>Санджактутан Бюлент</t>
  </si>
  <si>
    <t>Будак Ҳюсейин</t>
  </si>
  <si>
    <t>Ozodbek Jalilov</t>
  </si>
  <si>
    <t>Жалилов Озодбек Анорбой Угли</t>
  </si>
  <si>
    <t>Ravshan Jabborov</t>
  </si>
  <si>
    <t>Жабборов Равшан Мирзакул Угли</t>
  </si>
  <si>
    <t>Abduanas Abdurokhmonov</t>
  </si>
  <si>
    <t>Абдурохмонов Абдуанас Умидилло Угли</t>
  </si>
  <si>
    <t>Mashrafjon Kambarov</t>
  </si>
  <si>
    <t>Камбаров Машрафжон Насрулла Угли</t>
  </si>
  <si>
    <t>Dastonbek Rajapov</t>
  </si>
  <si>
    <t>Ражапов Дастонбек Худайберганович</t>
  </si>
  <si>
    <t>Ozod Avezov</t>
  </si>
  <si>
    <t>Авезов Озод Халмуратович</t>
  </si>
  <si>
    <t>DIS GOREV NIZHNY NOVGOROD</t>
  </si>
  <si>
    <t>Sanjar Juraev</t>
  </si>
  <si>
    <t>Жураев Санжар Собир Угли</t>
  </si>
  <si>
    <t>Dincer Kalintas</t>
  </si>
  <si>
    <t>Калинташ Динчер</t>
  </si>
  <si>
    <t>DIS GOREV KALININGRADDAN GELDI</t>
  </si>
  <si>
    <t>Saidmurod Karakulov</t>
  </si>
  <si>
    <t>Каракулов Саидмурод Мурадиллаевич</t>
  </si>
  <si>
    <t>Dilmurod Ibadullaev</t>
  </si>
  <si>
    <t>Ибадуллаев Дилмурод Файзуллаевич</t>
  </si>
  <si>
    <t>Oybek Mukhammadiev</t>
  </si>
  <si>
    <t>Мухаммадиев Ойбек Рахматулла Угли</t>
  </si>
  <si>
    <t>Farkhod Abduganiev</t>
  </si>
  <si>
    <t>Абдуганиев Фарход Дилшод Угли</t>
  </si>
  <si>
    <t>Azizbek Mirzaolimov</t>
  </si>
  <si>
    <t>Мирзаолимов Азизбек Алижон Угли</t>
  </si>
  <si>
    <t>Tohirbek Nurmammatov</t>
  </si>
  <si>
    <t>Нурмамматов Тохирбек Кулмаммат Угли</t>
  </si>
  <si>
    <t>Sherzod Nurumbetov</t>
  </si>
  <si>
    <t>Нурумбетов Шерзод Балтабаевич</t>
  </si>
  <si>
    <t>Azizbek Kuzibaev</t>
  </si>
  <si>
    <t>Кузибаев Азизбек Казбек Угли</t>
  </si>
  <si>
    <t>Anvarbek Kuchkarov</t>
  </si>
  <si>
    <t>Кучкаров Анварбек Фарход Угли</t>
  </si>
  <si>
    <t>Mardonbek Rakhmatullaev</t>
  </si>
  <si>
    <t>Рахматуллаев Мардонбек Азамат Угли</t>
  </si>
  <si>
    <t>Bakhtiyor Rakhmatillaev</t>
  </si>
  <si>
    <t>Рахматиллаев Бахтиёр Ералиевич</t>
  </si>
  <si>
    <t>Kuvonchbek Bekmamatov</t>
  </si>
  <si>
    <t>Бекмаматов Кувончбек Илхом Угли</t>
  </si>
  <si>
    <t>Pakhlavon Ulugbekov</t>
  </si>
  <si>
    <t>Улугбеков Пахлавон Отабек Угли</t>
  </si>
  <si>
    <t>Ural Turaev</t>
  </si>
  <si>
    <t>Тураев Урал Сафарович</t>
  </si>
  <si>
    <t>Ilkhom Shoymardonov</t>
  </si>
  <si>
    <t>Шоймардонов Илхом Бекмаматович</t>
  </si>
  <si>
    <t>Diyorbek Yuldashov</t>
  </si>
  <si>
    <t>Юлдашов Диёрбек Фахриддин Угли</t>
  </si>
  <si>
    <t>Azamat Abdikarimov</t>
  </si>
  <si>
    <t>Абдикаримов Азамат Азатбай Угли</t>
  </si>
  <si>
    <t>Mukhammadrizo Tursunaliev</t>
  </si>
  <si>
    <t>Турсуналиев Мухаммадризо Асадулла Угли</t>
  </si>
  <si>
    <t>Elyor Umirzakov</t>
  </si>
  <si>
    <t>Умирзаков Елёр Эргашевич</t>
  </si>
  <si>
    <t>Usmon Safaev</t>
  </si>
  <si>
    <t>Сафаев Усмон Комилжон Угли</t>
  </si>
  <si>
    <t>Azizbek Suyunov</t>
  </si>
  <si>
    <t>Суюнов Азизбек Жамолиддин Угли</t>
  </si>
  <si>
    <t>Bakhtiyor Bekturdiev</t>
  </si>
  <si>
    <t>Бектурдиев Бахтиёр Отахон Угли</t>
  </si>
  <si>
    <t>Lyubov Tihonova</t>
  </si>
  <si>
    <t>Тихонова Любовь Игоревна</t>
  </si>
  <si>
    <t>Саидов Сунатулло Тоджиддинович</t>
  </si>
  <si>
    <t>Sardorbek Mambetov</t>
  </si>
  <si>
    <t>Мамбетов Сардорбек Юсупбаевич</t>
  </si>
  <si>
    <t>Jasurbek Bobojonov</t>
  </si>
  <si>
    <t>Janibek Zaripboev</t>
  </si>
  <si>
    <t>Amat Tajiev</t>
  </si>
  <si>
    <t>Shokirjon Eshmurotov</t>
  </si>
  <si>
    <t>Sarvarjon Egambaev</t>
  </si>
  <si>
    <t>Уразметов Хушнуджон Азадович</t>
  </si>
  <si>
    <t>Матюсупов Санат Шерматович</t>
  </si>
  <si>
    <t>Бектурсенов Жавлонбек Ххх</t>
  </si>
  <si>
    <t>Юлдошев Дилшод Фарходбой Угли</t>
  </si>
  <si>
    <t>Бобожонов Жасурбек Норматович</t>
  </si>
  <si>
    <t>Зарипбоев Жанибек Азамат Угли</t>
  </si>
  <si>
    <t>Тажиев Амат Утамуратович</t>
  </si>
  <si>
    <t>Эшмуротов Шокиржон Фарходович</t>
  </si>
  <si>
    <t>Эгамбаев Сарваржон Гулом Угли</t>
  </si>
  <si>
    <t>Rukhsar Md</t>
  </si>
  <si>
    <t>Nishad Satvant Kumar</t>
  </si>
  <si>
    <t>Saini Ramagya</t>
  </si>
  <si>
    <t>Ahamad Shamshul</t>
  </si>
  <si>
    <t>Mohammad Farooq</t>
  </si>
  <si>
    <t>Vijay Kumar</t>
  </si>
  <si>
    <t>Shekh Lalbabu</t>
  </si>
  <si>
    <t>Rpadeep</t>
  </si>
  <si>
    <t>Chauhan Durga</t>
  </si>
  <si>
    <t>Ansari Aslam</t>
  </si>
  <si>
    <t>Рпадееп</t>
  </si>
  <si>
    <t>Мд Рукҳсар</t>
  </si>
  <si>
    <t>Кумар Нишад Сатвант</t>
  </si>
  <si>
    <t>Рамагя Саини</t>
  </si>
  <si>
    <t>Шамшул Аҳамад</t>
  </si>
  <si>
    <t>Фарооқ Моҳаммад</t>
  </si>
  <si>
    <t>Кумар Вижай</t>
  </si>
  <si>
    <t>Лалбабу Шекҳ</t>
  </si>
  <si>
    <t>Дурга Чауҳан</t>
  </si>
  <si>
    <t>Аслам Ансари</t>
  </si>
  <si>
    <t>Jurabek Asilbekov</t>
  </si>
  <si>
    <t>Асилбеков Журабек Абдалим Угли</t>
  </si>
  <si>
    <t>Gofur  Bekchanov</t>
  </si>
  <si>
    <t>Zafar Erimmetov</t>
  </si>
  <si>
    <t>Amonboy Matyakubov</t>
  </si>
  <si>
    <t>Sherzod  Ruziev</t>
  </si>
  <si>
    <t>Ayitbay Reyimbaev</t>
  </si>
  <si>
    <t>Jushkinbek Toraboev</t>
  </si>
  <si>
    <t>Бекчанов Гофур Уллибаевич</t>
  </si>
  <si>
    <t>Матякубов Амонбой Розмаметович</t>
  </si>
  <si>
    <t>Турабоев Жушкинбек Фарход Угли</t>
  </si>
  <si>
    <t>Эримметов Зафар Зарипбай Угли</t>
  </si>
  <si>
    <t>Рузиев Шерзод Абдужалилович</t>
  </si>
  <si>
    <t>Рейимбаев Айитбай Бекпулатович</t>
  </si>
  <si>
    <t>Tokhirjon Olimov</t>
  </si>
  <si>
    <t>Олимов Тохиржон Норимон Угли</t>
  </si>
  <si>
    <t>Bahrullo Sharipov</t>
  </si>
  <si>
    <t>Шарипов Бахрулло Достиевич</t>
  </si>
  <si>
    <t>Khamira Allamov</t>
  </si>
  <si>
    <t>Алламов Хамира Тажибаевич</t>
  </si>
  <si>
    <t>Bobur Bakhtiyorov</t>
  </si>
  <si>
    <t>Бахтиёров Бобур Баходир Угли</t>
  </si>
  <si>
    <t>Suat Kurnaz</t>
  </si>
  <si>
    <t>Курназ Суат</t>
  </si>
  <si>
    <t>DIS GOREV NIZHNY NOVGORODDEN GELDI</t>
  </si>
  <si>
    <t>Rakhmatulla Nurmamatov</t>
  </si>
  <si>
    <t>Нурмаматов Рахматулла Зухриддин Угли</t>
  </si>
  <si>
    <t>Amriddin Rustamov</t>
  </si>
  <si>
    <t>Рустамов Амриддин Комилжон Угли</t>
  </si>
  <si>
    <t>Lochinbek Rustamov</t>
  </si>
  <si>
    <t>Рустамов Лочинбек Дилшод Угли</t>
  </si>
  <si>
    <t>Murod Nursoat</t>
  </si>
  <si>
    <t>Нурсоат Мурод Абдивоид Угли</t>
  </si>
  <si>
    <t>Bunyod Samadov</t>
  </si>
  <si>
    <t>Самадов Бунёд Урал Угли</t>
  </si>
  <si>
    <t>Eldor Tilovov</t>
  </si>
  <si>
    <t>Тиловов Элдор Абдураззок Угли</t>
  </si>
  <si>
    <t>Abdudiyor Abdurakhmonov</t>
  </si>
  <si>
    <t>Абдурахмонов Абдудиёр Умидилло Угли</t>
  </si>
  <si>
    <t>Umidjon Yakhshimov</t>
  </si>
  <si>
    <t>Яхшимов Умиджон Фарход Угли</t>
  </si>
  <si>
    <t>Urolboy Nurkosimov</t>
  </si>
  <si>
    <t>Нуркосимов Уролбой Нарзулла Угли</t>
  </si>
  <si>
    <t>Yuldash Nurumbetov</t>
  </si>
  <si>
    <t>Нурумбетов Юлдаш Каримович</t>
  </si>
  <si>
    <t>Ravshanbek Sultanov</t>
  </si>
  <si>
    <t>Султанов Равшанбек Севиндикович</t>
  </si>
  <si>
    <t>Dilmurod Urinov</t>
  </si>
  <si>
    <t>Уринов Дилмурод Савиндик Угли</t>
  </si>
  <si>
    <t>Umidjon Akmanov</t>
  </si>
  <si>
    <t>Акманов Умиджон Атаханович</t>
  </si>
  <si>
    <t>Erali Suyunov</t>
  </si>
  <si>
    <t>Суюнов Эрали Аманович</t>
  </si>
  <si>
    <t>Alisher Doschanov</t>
  </si>
  <si>
    <t>Досчанов Алишер Егамбердиевич</t>
  </si>
  <si>
    <t>Jeykhunbek Mambetov</t>
  </si>
  <si>
    <t>Мамбетов Жейхунбек Базарбаевич</t>
  </si>
  <si>
    <t>Ikhlas Djalilov</t>
  </si>
  <si>
    <t>Джалилов Ихлас Курбангелдиевич</t>
  </si>
  <si>
    <t>Navruz Kholiyarov</t>
  </si>
  <si>
    <t>Холияров Навруз Якубович</t>
  </si>
  <si>
    <t>Amondurdi Kurbondurdiev</t>
  </si>
  <si>
    <t>Курбондурдиев Амондурди Эркобоевич</t>
  </si>
  <si>
    <t>Omurbek Djumageldiev</t>
  </si>
  <si>
    <t>Джумагелдиев Омурбек Максатбай Оглы</t>
  </si>
  <si>
    <t>Server Otuzov</t>
  </si>
  <si>
    <t>Отузов Сервер Махмутович</t>
  </si>
  <si>
    <t>Nuryagdi Radjapov</t>
  </si>
  <si>
    <t>Раджапов Нурягди Амангелдиевич</t>
  </si>
  <si>
    <t>Khudoyberdi Jonizokov</t>
  </si>
  <si>
    <t>Жонизоков Худойберди Сафар Угли</t>
  </si>
  <si>
    <t>Kuvanchbay Berdiev</t>
  </si>
  <si>
    <t>Бердиев Куванчбай Ширахмедович</t>
  </si>
  <si>
    <t>Khayrullo Alimov</t>
  </si>
  <si>
    <t>Алимов Хайрулло Ботирович</t>
  </si>
  <si>
    <t>Maksud Makhmatkulov</t>
  </si>
  <si>
    <t xml:space="preserve">Махматкулов Максуд Махкамович </t>
  </si>
  <si>
    <t>Anvar Kholiyorov</t>
  </si>
  <si>
    <t>Холиёров Анвар Эшмурзаевич</t>
  </si>
  <si>
    <t>Elshod Nurkulov</t>
  </si>
  <si>
    <t>Нуркулов Элшод Нуриддин Угли</t>
  </si>
  <si>
    <t>Dostonbek Rustamov</t>
  </si>
  <si>
    <t>Рустамов Достонбек Абдухалилович</t>
  </si>
  <si>
    <t>Rakhimjon Namanov</t>
  </si>
  <si>
    <t>Наманов Рахимжон Эргаш Угли</t>
  </si>
  <si>
    <t>Mansur Kurbonov</t>
  </si>
  <si>
    <t>Курбонов Мансур Ахмат Угли</t>
  </si>
  <si>
    <t>Fazliddin Boboev</t>
  </si>
  <si>
    <t>Бобоев Фазлиддин Тоштемир Угли</t>
  </si>
  <si>
    <t>Zuhriddin Norchaev</t>
  </si>
  <si>
    <t>Норчаев Зухриддин Бекча Угли</t>
  </si>
  <si>
    <t>Parviz Qalandarov</t>
  </si>
  <si>
    <t>Каландаров Парвиз Абдусаломович</t>
  </si>
  <si>
    <t>Lazizbek Hayitov</t>
  </si>
  <si>
    <t>Хайитов Лазизбек Давур Угли</t>
  </si>
  <si>
    <t>Nematjan Bekchanov</t>
  </si>
  <si>
    <t>Бекчанов Нематжан Султанбаевич</t>
  </si>
  <si>
    <t>Mansurbek Kodirov</t>
  </si>
  <si>
    <t>Кодиров Мансурбек Севиндик Угли</t>
  </si>
  <si>
    <t>Shokhzod Dusiev</t>
  </si>
  <si>
    <t>Дусиев Шохзод Бабабекович</t>
  </si>
  <si>
    <t>Muhammadjon Jumaev</t>
  </si>
  <si>
    <t xml:space="preserve">Джумаев Мухаммаджон Адхамджонович </t>
  </si>
  <si>
    <t>Oyatillo Abdullaev</t>
  </si>
  <si>
    <t>Абдуллаев Оятилло Мухторжон Угли</t>
  </si>
  <si>
    <t>Doston Bakhromov</t>
  </si>
  <si>
    <t>Бахромов Достон Акбар Угли</t>
  </si>
  <si>
    <t>Nematjon Khasanov</t>
  </si>
  <si>
    <t>Хасанов Нематжон Зинатбой Угли</t>
  </si>
  <si>
    <t>Sherzod Mingboev</t>
  </si>
  <si>
    <t>Мингбоев Шерзод Обилович</t>
  </si>
  <si>
    <t>Saidmurod Makhammatov</t>
  </si>
  <si>
    <t>Махамматов Саидмурод Абдирофиевич</t>
  </si>
  <si>
    <t>Suhrob Ergashev</t>
  </si>
  <si>
    <t>Sulton Iskandarov</t>
  </si>
  <si>
    <t>Эргашев Сухроб Абдирасулович</t>
  </si>
  <si>
    <t>Искандаров Султон Дамин Угли</t>
  </si>
  <si>
    <t>Ruzikul Ruzibaev</t>
  </si>
  <si>
    <t>Рузибаев Рузикул Базарович</t>
  </si>
  <si>
    <t>Doniyor Nuraliev</t>
  </si>
  <si>
    <t>Alisher Jumabekov</t>
  </si>
  <si>
    <t>Azizbek Keldibaev</t>
  </si>
  <si>
    <t>Нуралиев Дониёр Унар Угли</t>
  </si>
  <si>
    <t>Жумабеков Алишер Маруф Угли</t>
  </si>
  <si>
    <t>Келдибаев Азизбек Ботир Угли</t>
  </si>
  <si>
    <t>Amriddin Mirzoev</t>
  </si>
  <si>
    <t>Мирзоев Амриддин Дарвешалиевич</t>
  </si>
  <si>
    <t>Fazliddin Achilov</t>
  </si>
  <si>
    <t>Ачилов Фазлиддин Файзуллаевич</t>
  </si>
  <si>
    <t>Sherkuzi Ernazarov</t>
  </si>
  <si>
    <t>Asliddin Eshtemirov</t>
  </si>
  <si>
    <t>Shahobiddin Hayitmuradov</t>
  </si>
  <si>
    <t>Эрназаров Шеркузи Тошпулатович</t>
  </si>
  <si>
    <t>Эштемиров Аслиддин Тошпулат Угли</t>
  </si>
  <si>
    <t>Хайитмурадов Шахобиддин Улугбек Угли</t>
  </si>
  <si>
    <t>Zokirjon Madrakhimov</t>
  </si>
  <si>
    <t>Мадрахимов Зокиржон Раматович</t>
  </si>
  <si>
    <t>Jasurbek Abdullaev</t>
  </si>
  <si>
    <t>Абдуллаев Жасурбек Машариб Угли</t>
  </si>
  <si>
    <t>Abdujalil Umarov</t>
  </si>
  <si>
    <t>Умаров Абдужалил Эрмухаммадович</t>
  </si>
  <si>
    <t>Samandar Narzullaev</t>
  </si>
  <si>
    <t>Нарзуллаев Самандар Хосилмурод Угли</t>
  </si>
  <si>
    <t>Mirziyo Buronov</t>
  </si>
  <si>
    <t>Буронов Мирзиё Илёс Угли</t>
  </si>
  <si>
    <t>Javokhir Amanturdiev</t>
  </si>
  <si>
    <t>Амантурдиев Жавохир Абдуназар Угли</t>
  </si>
  <si>
    <t>Javokhir Jumabaev</t>
  </si>
  <si>
    <t>Жумабаев Жавохир Ххх</t>
  </si>
  <si>
    <t>Kuvandik Urazmetov</t>
  </si>
  <si>
    <t>Уразметов Кувандик Шарипбаевич</t>
  </si>
  <si>
    <t>Bekpulat Rakhimov</t>
  </si>
  <si>
    <t>Рахимов Бекпулат Дурдибоевич</t>
  </si>
  <si>
    <t>Гадозода Фатхуддини Асо</t>
  </si>
  <si>
    <t>Kamronbek Ortikov</t>
  </si>
  <si>
    <t>Ортиков Камронбек Камолбек Угли</t>
  </si>
  <si>
    <t>Сейтов дестан Давлатбаевич</t>
  </si>
  <si>
    <t>Anvar Rakhimov</t>
  </si>
  <si>
    <t>Рахимов Анвар Назарович</t>
  </si>
  <si>
    <t>Doston Normamatov</t>
  </si>
  <si>
    <t>Нормаматов Достон Боходир Угли</t>
  </si>
  <si>
    <t>Salimjon Mavlanov</t>
  </si>
  <si>
    <t>Мавланов Салимжон Юсупович</t>
  </si>
  <si>
    <t>Abbos Pardaev</t>
  </si>
  <si>
    <t>Пардаев Аббос Панжи Угли</t>
  </si>
  <si>
    <t>Akmal Mustafakulov</t>
  </si>
  <si>
    <t>Мустафакулов Акмал Рахматулла Угли</t>
  </si>
  <si>
    <t>Javokhir Berdiyarov</t>
  </si>
  <si>
    <t>Бердияров Жавохир Холмамат Угли</t>
  </si>
  <si>
    <t>Rafael Kengboyev</t>
  </si>
  <si>
    <t>Кенгбоев Рафаел Кахрамон Угли</t>
  </si>
  <si>
    <t>Azizbek Mardonov</t>
  </si>
  <si>
    <t>Мардонов Азизбек Ботир Угли</t>
  </si>
  <si>
    <t>Toshkent Turdimurodov</t>
  </si>
  <si>
    <t>Турдимуродов Тошкент Умирзокович</t>
  </si>
  <si>
    <t>Ilkhom Beknazarov</t>
  </si>
  <si>
    <t>Бекназаров Илхом Алимович</t>
  </si>
  <si>
    <t>Farruh Khakkulov</t>
  </si>
  <si>
    <t>Хаккулов Фаррух Юлчи Угли</t>
  </si>
  <si>
    <t>Navruz Zokirov</t>
  </si>
  <si>
    <t>Зокиров Навруз Сафаралиевич</t>
  </si>
  <si>
    <t>Karomatullo Loiqov</t>
  </si>
  <si>
    <t>Лоиков Кароматулло Ибодулоевич</t>
  </si>
  <si>
    <t>Sakhobjon Norkuziev</t>
  </si>
  <si>
    <t>Норкузиев Сахобжон Раимкул Угли</t>
  </si>
  <si>
    <t>Kakhramon Kurambaev</t>
  </si>
  <si>
    <t>Курамбаев Кахрамон Арсланович</t>
  </si>
  <si>
    <t>Umid Abdullaev</t>
  </si>
  <si>
    <t>Абдуллаев Умид Ражабович</t>
  </si>
  <si>
    <t>Javlon Bahodirov</t>
  </si>
  <si>
    <t>Баходиров Жавлон Баходир Угли</t>
  </si>
  <si>
    <t>Ruslan Matmuratov</t>
  </si>
  <si>
    <t>Матмуратов Руслан Хайтбаевич</t>
  </si>
  <si>
    <t>Urinboy Akhmedov</t>
  </si>
  <si>
    <t>Ахмедов Уринбой Алишер Угли</t>
  </si>
  <si>
    <t>INCE ISLER SUAT KURNAZ</t>
  </si>
  <si>
    <t>SUAT KURNAZ</t>
  </si>
  <si>
    <t>Samandar Abdullaev</t>
  </si>
  <si>
    <t>Абдуллаев Самандар Зойир Угли</t>
  </si>
  <si>
    <t>Javohir Mamayusupov</t>
  </si>
  <si>
    <t>Мамаюсупов Жавохир Ёдгор Угли</t>
  </si>
  <si>
    <t>Abdulakhod Khudayorov</t>
  </si>
  <si>
    <t>Худаёров Абдулахад Тошпулатович</t>
  </si>
  <si>
    <t>Begli Allanov</t>
  </si>
  <si>
    <t>Алланов Бегли Эркинович</t>
  </si>
  <si>
    <t>Mihayil Ganin</t>
  </si>
  <si>
    <t>Ганин Михаил Анатольевич</t>
  </si>
  <si>
    <t>Aytekin Tuncdemir</t>
  </si>
  <si>
    <t>Тунчдемир Айтекин</t>
  </si>
  <si>
    <t>Ilhan Keles</t>
  </si>
  <si>
    <t>Келеш Илхан</t>
  </si>
  <si>
    <t>Vedat Isci</t>
  </si>
  <si>
    <t>Ишчи Ведат</t>
  </si>
  <si>
    <t>DIS GOREV SOKOLNIKI</t>
  </si>
  <si>
    <t>Shekhroz Sadriddinov</t>
  </si>
  <si>
    <t>Садриддинов Шехроз Гиёс Угли</t>
  </si>
  <si>
    <t>Mukhamedali Kudaiberdi Uulu</t>
  </si>
  <si>
    <t>Кудайберди Уулу Мухамедали</t>
  </si>
  <si>
    <t>Mamatkosim Jabborov</t>
  </si>
  <si>
    <t>Жабборов Маматкосим Курбанович</t>
  </si>
  <si>
    <t>Shokhrukhbek Saidov</t>
  </si>
  <si>
    <t>Саидов Шохрухбек Худойберган Угли</t>
  </si>
  <si>
    <t>Umirbek Komilov</t>
  </si>
  <si>
    <t>Комилов Умирбек Нураддин Угли</t>
  </si>
  <si>
    <t>Safar Shodmonov</t>
  </si>
  <si>
    <t>Шодмонов Сафар Эшонкулович</t>
  </si>
  <si>
    <t>Otabek Umidov</t>
  </si>
  <si>
    <t>Умидов Отабек Худойбердиевич</t>
  </si>
  <si>
    <t>Sardor Chorshanbiev</t>
  </si>
  <si>
    <t>Чоршанбиев Сардор Бурхон Угли</t>
  </si>
  <si>
    <t>Sokhib Bozorov</t>
  </si>
  <si>
    <t>Бозоров Сохиб Ххх</t>
  </si>
  <si>
    <t>Asliddin Imomov</t>
  </si>
  <si>
    <t>Имомов Аслиддин Рамазон Угли</t>
  </si>
  <si>
    <t>Kuvonchbek Abdirahmatov</t>
  </si>
  <si>
    <t>Абдирахматов Кувончбек Аскар Угли</t>
  </si>
  <si>
    <t>Boir Bukharov</t>
  </si>
  <si>
    <t>Бухаров Боир Жумакулович</t>
  </si>
  <si>
    <t>Nodirbek Saidmurodov</t>
  </si>
  <si>
    <t>Саидмуродов Нодирбек Умар Угли</t>
  </si>
  <si>
    <t>Jamshidbek Omonboev</t>
  </si>
  <si>
    <t>Омонбоев Жамшидбек Гайратжон Угли</t>
  </si>
  <si>
    <t>Abdumutal Abjalov</t>
  </si>
  <si>
    <t>Абжалов Абдумутал Абсаттор Угли</t>
  </si>
  <si>
    <t>Mansur Rustamov</t>
  </si>
  <si>
    <t>Рустамов Мансур Тулкин Угли</t>
  </si>
  <si>
    <t>Feruzbek Tojiboyev</t>
  </si>
  <si>
    <t>Тожибойев Ферузбек Хурозбой Угли</t>
  </si>
  <si>
    <t>Khabibulla Mukhammadiev</t>
  </si>
  <si>
    <t>Мухаммадиев Хабибулла Кодирович</t>
  </si>
  <si>
    <t>Jamoliddin Gapparov</t>
  </si>
  <si>
    <t>Гаппаров Жамолиддин Истамкулович</t>
  </si>
  <si>
    <t>Dilmurod Ashurov</t>
  </si>
  <si>
    <t>Ашуров Дилмурод Шералиевич</t>
  </si>
  <si>
    <t>Mukhiddin Kodirkulov</t>
  </si>
  <si>
    <t>Кодиркулов Мухиддин Турсунбаевич</t>
  </si>
  <si>
    <t>Eldor Shernazarov</t>
  </si>
  <si>
    <t>Шерназаров Элдор Илашович</t>
  </si>
  <si>
    <t>Mukhiddin Sharipov</t>
  </si>
  <si>
    <t>Шарипов Мухиддин Нурмаматович</t>
  </si>
  <si>
    <t>Khusan Kenjaev</t>
  </si>
  <si>
    <t>Кенжаев Хусан Гофуржон Угли</t>
  </si>
  <si>
    <t>Ikramjan Urakbaev</t>
  </si>
  <si>
    <t>Уракбаев Икрамжан Умматович</t>
  </si>
  <si>
    <t>Jamol Meliboev</t>
  </si>
  <si>
    <t>Мелибоев Жамол Журабоевич</t>
  </si>
  <si>
    <t>Bakhodir Kenjaev</t>
  </si>
  <si>
    <t>Кенжаев Баходир Гофуржанович</t>
  </si>
  <si>
    <t>Bakhodir Khonimkulov</t>
  </si>
  <si>
    <t>Хонимкулов Баходир Эргашевич</t>
  </si>
  <si>
    <t>Murodjon Dusmatov</t>
  </si>
  <si>
    <t>Дусматов Муроджон Ниёзбекович</t>
  </si>
  <si>
    <t>Javokhir Khonimkulov</t>
  </si>
  <si>
    <t>Хонимкулов Жавохир Эсонмурод Угли</t>
  </si>
  <si>
    <t>Narbek Sarsenov</t>
  </si>
  <si>
    <t>Сарсенов Нарбек Максадович</t>
  </si>
  <si>
    <t>EYYUP CANKARA</t>
  </si>
  <si>
    <t>Khaidarshokh Nazimov</t>
  </si>
  <si>
    <t>Назимов Хайдаршох Хомиджонович</t>
  </si>
  <si>
    <t>Нишонов Давлатёр Файзиддинович</t>
  </si>
  <si>
    <t>Davlatyor Nishonov</t>
  </si>
  <si>
    <t>Saygufron Rajabov</t>
  </si>
  <si>
    <t>Раджабов Сайгуфрон Аюбович</t>
  </si>
  <si>
    <t>Geldimirat Durdiev</t>
  </si>
  <si>
    <t>Дурдиев Гелдимират Байрамович</t>
  </si>
  <si>
    <t>Sobitjon Orzimurodov</t>
  </si>
  <si>
    <t>Urolboy Normurodov</t>
  </si>
  <si>
    <t>Нормуродов Уролбой Шодиёр Угли</t>
  </si>
  <si>
    <t>Zukhriddin Ummatov</t>
  </si>
  <si>
    <t>Умматов Зухриддин Султон Угли</t>
  </si>
  <si>
    <t>GENEL SAHA BILAL KELLECI</t>
  </si>
  <si>
    <t>Shavkat Khalmuratov</t>
  </si>
  <si>
    <t>Халмуратов Шавкат Равшанович</t>
  </si>
  <si>
    <t>DIS GOREV PROSPEKT VERNADKSIY</t>
  </si>
  <si>
    <t>Abror Ghoziev</t>
  </si>
  <si>
    <t>Гозиев Аброр Абдурауфович</t>
  </si>
  <si>
    <t>Ogabek Abdisalomov</t>
  </si>
  <si>
    <t>Абдисаломов Огабек Шукрулла Угли</t>
  </si>
  <si>
    <t>Alikul Djuraev</t>
  </si>
  <si>
    <t>Джураев Аликул Меликулович</t>
  </si>
  <si>
    <t>Otabek Abdisolomov</t>
  </si>
  <si>
    <t>Абдисоломов Отабек Шукурулло Угли</t>
  </si>
  <si>
    <t>Askar Kholikov</t>
  </si>
  <si>
    <t>Холиков Аскар Махмудович</t>
  </si>
  <si>
    <t>Alisher Kalandarov</t>
  </si>
  <si>
    <t>Каландаров Алишер Атаханович</t>
  </si>
  <si>
    <t>Khamra Abdullaev</t>
  </si>
  <si>
    <t>Абдуллаев Хамра Кадамбаевич</t>
  </si>
  <si>
    <t>Eshpulot Olimov</t>
  </si>
  <si>
    <t>Олимов Эшпулот Тудаевич</t>
  </si>
  <si>
    <t>Shavkatjon Mirzaev</t>
  </si>
  <si>
    <t>Мирзаев Шавкатжон Абдукаххорович</t>
  </si>
  <si>
    <t>Islom Usmonov</t>
  </si>
  <si>
    <t>Усмонов Ислом Эшмурод Угли</t>
  </si>
  <si>
    <t>Ostonbek Abdullaev</t>
  </si>
  <si>
    <t>Абдуллаев Остонбек Гаффор Угли</t>
  </si>
  <si>
    <t>Jurabek Khudayberganov</t>
  </si>
  <si>
    <t>Худайберганов Журабек Бахрамович</t>
  </si>
  <si>
    <t>Khasan Khudaynazarov</t>
  </si>
  <si>
    <t>Худайназаров Хасан Туракулович</t>
  </si>
  <si>
    <t>Sodik  Ruzikulov</t>
  </si>
  <si>
    <t>Рузикулов Содик Очилович</t>
  </si>
  <si>
    <t>Dilshod Gulboev</t>
  </si>
  <si>
    <t>Гулбоев Дилшод Абдумоннон Угли</t>
  </si>
  <si>
    <t>Eshmurod Saydillaev</t>
  </si>
  <si>
    <t>Сайдиллаев Элмурод Усмонович</t>
  </si>
  <si>
    <t>Vokhidjon Narmuratov</t>
  </si>
  <si>
    <t>Нармуратов Вохиджон Турсинович</t>
  </si>
  <si>
    <t>Abdullajon Mamadolimov</t>
  </si>
  <si>
    <t>Мамадолимов Абдуллажон Алишер Угли</t>
  </si>
  <si>
    <t>Gayrat Tursunbaev</t>
  </si>
  <si>
    <t>Турсунбоев Гайрат Абдусаттарович</t>
  </si>
  <si>
    <t>Javlonbek Khudayberganov</t>
  </si>
  <si>
    <t>Худайберганов Жавлонбек Бахрамович</t>
  </si>
  <si>
    <t>Olimjon Uzakov</t>
  </si>
  <si>
    <t>Узаков Олимжон Джумакулович</t>
  </si>
  <si>
    <t>Rashidbek Matniyazov</t>
  </si>
  <si>
    <t>Матниязов Рашидбек Болтабоевич</t>
  </si>
  <si>
    <t>Ehson Lolakhonov</t>
  </si>
  <si>
    <t>Лолахонов Эхсон Бахтиёрович</t>
  </si>
  <si>
    <t>Ismoil Nozimov</t>
  </si>
  <si>
    <t>Нозимов Исмоил Курбоналиевич</t>
  </si>
  <si>
    <t>Rakhmatullo Khakimov</t>
  </si>
  <si>
    <t>Хакимов Рахматулло Янгибой Угли</t>
  </si>
  <si>
    <t>Zokhid Nurnazarov</t>
  </si>
  <si>
    <t>Нурназаров Зохид Саибназарович</t>
  </si>
  <si>
    <t>Bakhodir Ergashev</t>
  </si>
  <si>
    <t>Эргашев Баходир Рахматович</t>
  </si>
  <si>
    <t>Bahodur Davlatbekov</t>
  </si>
  <si>
    <t>Давлатбеков Баходур Джуманазарович</t>
  </si>
  <si>
    <t xml:space="preserve">Суюнов Жовохир Суюн Угли </t>
  </si>
  <si>
    <t>Jovokhir Suyunov</t>
  </si>
  <si>
    <t>Sherzod Kenjaev</t>
  </si>
  <si>
    <t>Кенжаев Шерзод Шухрат Угли</t>
  </si>
  <si>
    <t>Asadbek Bobomurodov</t>
  </si>
  <si>
    <t>Бобомуродов Асадбек Зафар Угли</t>
  </si>
  <si>
    <t>Azamat Ismoilov</t>
  </si>
  <si>
    <t>Исмоилов Азамат Уктамбоевич</t>
  </si>
  <si>
    <t>Zafarbek Abdukarimov</t>
  </si>
  <si>
    <t>Абдукаримов Зафарбек Курбонбой Угли</t>
  </si>
  <si>
    <t>Davron Kushatov</t>
  </si>
  <si>
    <t>Кушатов Даврон Жиёнмуротович</t>
  </si>
  <si>
    <t>Khamidjon Rajabov</t>
  </si>
  <si>
    <t>Ражабов Хамиджон Умидбек Угли</t>
  </si>
  <si>
    <t>Khamrokul Toshkaraev</t>
  </si>
  <si>
    <t>Тошкараев Хамрокул Носирович</t>
  </si>
  <si>
    <t>Mukhammadali Abdifattoev</t>
  </si>
  <si>
    <t>Абдифаттоев Мухаммадали Зиёдулло Угли</t>
  </si>
  <si>
    <t>Atkham Botirov</t>
  </si>
  <si>
    <t>Ботиров Атхам</t>
  </si>
  <si>
    <t>Yagshigeldi Nazarov</t>
  </si>
  <si>
    <t>Назаров Ягшигелди Язмухаммедович</t>
  </si>
  <si>
    <t>DEMIRCI FORMENI</t>
  </si>
  <si>
    <t>Guychmat Taganmuratov</t>
  </si>
  <si>
    <t>Таганмуратов Гуйчмат Байраммуратович</t>
  </si>
  <si>
    <t>Nadirbek Patullaev</t>
  </si>
  <si>
    <t>Патуллаев Надирбек Наримбетович</t>
  </si>
  <si>
    <t>Sherali Ibragimov</t>
  </si>
  <si>
    <t>Ибрагимов Шерали Максудович</t>
  </si>
  <si>
    <t>Gudrat Taganmuratov</t>
  </si>
  <si>
    <t>Таганмуратов Гудрад Байраммуратович</t>
  </si>
  <si>
    <t>Azizbek Karimbaev</t>
  </si>
  <si>
    <t>Каримбаев Азизбек Садуллаевич</t>
  </si>
  <si>
    <t>Nepes Allanazarov</t>
  </si>
  <si>
    <t>Алланазаров Непес Бахтияр Угли</t>
  </si>
  <si>
    <t>Rasulbek Ramatov</t>
  </si>
  <si>
    <t>Раматов Расулбек Сабуржанович</t>
  </si>
  <si>
    <t>Jamshid Ismaylov</t>
  </si>
  <si>
    <t>Исмайлов Жамшид Халбаевич</t>
  </si>
  <si>
    <t>Umidbek Khajiev</t>
  </si>
  <si>
    <t>Хажиев Умидбек Умирбек Угли</t>
  </si>
  <si>
    <t>Rustamdjan Yusupov</t>
  </si>
  <si>
    <t>Юсупов Рустамджан Алимбаевич</t>
  </si>
  <si>
    <t>Pulat Kurbanov</t>
  </si>
  <si>
    <t>Курбанов Пулат Исмаилович</t>
  </si>
  <si>
    <t>Gulomjon Ashirov</t>
  </si>
  <si>
    <t>Аширов Гуломжон Якуббаевич</t>
  </si>
  <si>
    <t>Javohir Karimov</t>
  </si>
  <si>
    <t>Каримов Жавохир Азимбай Угли</t>
  </si>
  <si>
    <t>Makhsud Djumaniyazov</t>
  </si>
  <si>
    <t>Джуманиязов Махсуд Сатимович</t>
  </si>
  <si>
    <t>Khasanboy Sobirov</t>
  </si>
  <si>
    <t>Собиров Хасанбой Садуллаевич</t>
  </si>
  <si>
    <t>Hasanboy Islamov</t>
  </si>
  <si>
    <t>Исламов Хасанбой Абдурахмонович</t>
  </si>
  <si>
    <t>Makhmudjon Mamadaliev</t>
  </si>
  <si>
    <t>Мамадалиев Махмуджон Абдурахмонович</t>
  </si>
  <si>
    <t>Zukhriddin Abdurakhmonov</t>
  </si>
  <si>
    <t>Абдурахманов Зухриддин Абдусаттор Угли</t>
  </si>
  <si>
    <t>Islombek Tukhtaboev</t>
  </si>
  <si>
    <t>Тухтабоев Исломбек Зафар Угли</t>
  </si>
  <si>
    <t>Shodibek Urazbaev</t>
  </si>
  <si>
    <t>Уразбаев Шодибек Рашидович</t>
  </si>
  <si>
    <t>Ortik Boymirzaev</t>
  </si>
  <si>
    <t>Боймирзаев Ортик Элмурадович</t>
  </si>
  <si>
    <t>Ozodjon Olmasov</t>
  </si>
  <si>
    <t>Олмасов Озоджон Бекмурадович</t>
  </si>
  <si>
    <t>Sirojiddin Nashmanov</t>
  </si>
  <si>
    <t>Нашманов Сирожиддин Чориёрович</t>
  </si>
  <si>
    <t>Sultonboy Sultonov</t>
  </si>
  <si>
    <t>Султонов Султонбой Худайберган Угли</t>
  </si>
  <si>
    <t>Zayniddin Turapov</t>
  </si>
  <si>
    <t>Турапов Зайниддин Мухиддин Угли</t>
  </si>
  <si>
    <t>Shavkat Mansurov</t>
  </si>
  <si>
    <t>Мансуров Шавкат Хайитбоевич</t>
  </si>
  <si>
    <t>Shohruh Turgunboev</t>
  </si>
  <si>
    <t>Тургунбоев Шохрух Даврон Угли</t>
  </si>
  <si>
    <t>Hayitboy Gulboev</t>
  </si>
  <si>
    <t>Гулбоев Хайитбой Гофур Угли</t>
  </si>
  <si>
    <t>ALCI BOYACI</t>
  </si>
  <si>
    <t>Bobirbek Otaboev</t>
  </si>
  <si>
    <t>Отабоев Бобирбек Бахтиёр Угли</t>
  </si>
  <si>
    <t>Nurbek Norkuziev</t>
  </si>
  <si>
    <t>Норкузиев Нурбек Шокиржон Угли</t>
  </si>
  <si>
    <t>Abdusalom Mamatkulov</t>
  </si>
  <si>
    <t>Маматкулов Абдусалом Муминович</t>
  </si>
  <si>
    <t>Jakhongir Rasulov</t>
  </si>
  <si>
    <t>Расулов Жахонгир Абдухоликович</t>
  </si>
  <si>
    <t>Sherzod Norboev</t>
  </si>
  <si>
    <t>Норбоев Шерзод Абдуразок Угли</t>
  </si>
  <si>
    <t>Ozodbek Eshonkulov</t>
  </si>
  <si>
    <t>Эшонкулов Озодбек Баходир Угли</t>
  </si>
  <si>
    <t>Murodjon Hakimov</t>
  </si>
  <si>
    <t>Хакимов Муроджон Юлдош Угли</t>
  </si>
  <si>
    <t>Gulomjon Yakupov</t>
  </si>
  <si>
    <t>Якупов Гуломжон Аралбаевич</t>
  </si>
  <si>
    <t>Murod Sodikov</t>
  </si>
  <si>
    <t>Содиков Мурод Бобоназарович</t>
  </si>
  <si>
    <t>Shukhrat Khadjimuratov</t>
  </si>
  <si>
    <t>Хаджимуратов Шухрат Сулайманович</t>
  </si>
  <si>
    <t>Umidjon Namuradov</t>
  </si>
  <si>
    <t>Намурадов Умиджон Лапасович</t>
  </si>
  <si>
    <t>Dilshod Shermatov</t>
  </si>
  <si>
    <t>Шерматов Дилшод Гайрат Угли</t>
  </si>
  <si>
    <t>Sattorbek Babaev</t>
  </si>
  <si>
    <t>Бабаев Сатторбек Мамбетсабурович</t>
  </si>
  <si>
    <t>Umrbek Davlatboev</t>
  </si>
  <si>
    <t>Давлатбоев Умрбек Шодёрбек Угли</t>
  </si>
  <si>
    <t>Javlonbek Kozibaev</t>
  </si>
  <si>
    <t>Козибаев Жавлонбек Батирбек Угли</t>
  </si>
  <si>
    <t>Atabek Ataniyazov</t>
  </si>
  <si>
    <t>Атаниязов Атабек Зарипбай Угли</t>
  </si>
  <si>
    <t>Jakhongir Nurboev</t>
  </si>
  <si>
    <t>Нурбоев Жахонгир Тохир Угли</t>
  </si>
  <si>
    <t>Musobek Eshniyazov</t>
  </si>
  <si>
    <t>Эшниязов Мусобек Аминбаевич</t>
  </si>
  <si>
    <t>Zokirjon Abdullaev</t>
  </si>
  <si>
    <t>Абдуллаев Зокиржон Римберганович</t>
  </si>
  <si>
    <t>Redjep Redjepov</t>
  </si>
  <si>
    <t>Реджепов Реджеп Аразмуратович</t>
  </si>
  <si>
    <t>Khamdam Yuldashev</t>
  </si>
  <si>
    <t>Юлдашев Хамдам Артикович</t>
  </si>
  <si>
    <t xml:space="preserve"> </t>
  </si>
  <si>
    <t>Doston Turdiboev</t>
  </si>
  <si>
    <t>Турдибоев Достон Нурали Угли</t>
  </si>
  <si>
    <t>Akhmatjon Kholmatov</t>
  </si>
  <si>
    <t>Холматов Ахмаджон Абдухалилович</t>
  </si>
  <si>
    <t>Giyos Khodjamurotov</t>
  </si>
  <si>
    <t>Ходжамуротов Гиёс Эргашалиевич</t>
  </si>
  <si>
    <t xml:space="preserve">Ganisher Ravshanov </t>
  </si>
  <si>
    <t>Равшанов Ганишер Алишер Угли</t>
  </si>
  <si>
    <t>Shodiyor Erdanov</t>
  </si>
  <si>
    <t>Эрданов Шодиёр Равшанович</t>
  </si>
  <si>
    <t>Kodir Goziev</t>
  </si>
  <si>
    <t>Гозиев Кодир Одилжанович</t>
  </si>
  <si>
    <t>Farrukh Burkhonov</t>
  </si>
  <si>
    <t>Бурхонов Фаррух Ёкуб Угли</t>
  </si>
  <si>
    <t>Fakhriddin Makhkambaev</t>
  </si>
  <si>
    <t>Махкамбаев Фахриддин Фарходович</t>
  </si>
  <si>
    <t>Mukhammadsayyid Zaynobiddinov</t>
  </si>
  <si>
    <t>Зайнобиддинов Мухаммадсаййид Худоберди Угли</t>
  </si>
  <si>
    <t>Shohjahon Egamjonov</t>
  </si>
  <si>
    <t>Эгамжонов Шохжахон Элмуроджон Угли</t>
  </si>
  <si>
    <t>Dilyorbek Juraboev</t>
  </si>
  <si>
    <t>Журабоев Дилёрбек Илёсбек Угли</t>
  </si>
  <si>
    <t>Gayrat Khalikulov</t>
  </si>
  <si>
    <t>Халикулов Гайрат Урозбоевич</t>
  </si>
  <si>
    <t>Dilshodbek Yunusov</t>
  </si>
  <si>
    <t>Юнусов Дилшодбек Мирзали Угли</t>
  </si>
  <si>
    <t>Bekzod Khushvaktov</t>
  </si>
  <si>
    <t>Хушвактов Бекзод Немат Угли</t>
  </si>
  <si>
    <t>Shokhrukhbek Rasulov</t>
  </si>
  <si>
    <t>Расулов Шохрухбек Турсунбой Угли</t>
  </si>
  <si>
    <t>Jobirkhon Yokubjonov</t>
  </si>
  <si>
    <t>Ёкубжонов Жобирхон Ёлкинжон Угли</t>
  </si>
  <si>
    <t>Lochinbek Elmuradov</t>
  </si>
  <si>
    <t>Элмурадов Лочинбек Абдибанобович</t>
  </si>
  <si>
    <t>Ikboljon Mamurov</t>
  </si>
  <si>
    <t>Мамуров Икболжон Илхомович</t>
  </si>
  <si>
    <t>Ikboljon Karimov</t>
  </si>
  <si>
    <t>Каримов Икболжон Парпибойевич</t>
  </si>
  <si>
    <t>Akmaljon Anvarov</t>
  </si>
  <si>
    <t>Анваров Акмалжон Рахматжон Угли</t>
  </si>
  <si>
    <t>Mardonbek Mahammadjonov</t>
  </si>
  <si>
    <t>Махаммаджонов Мардонбек Махмуджон Угли</t>
  </si>
  <si>
    <t>Javlonbek Abdumalikov</t>
  </si>
  <si>
    <t>Абдумаликов Жавлонбек Шерзод Угли</t>
  </si>
  <si>
    <t>Muhammadokhun Olimjonov</t>
  </si>
  <si>
    <t>Олимжонов Мухаммадохун Икбол Угли</t>
  </si>
  <si>
    <t>Asilbek Karimjonov</t>
  </si>
  <si>
    <t>Каримжонов Асилбек Азамжон Угли</t>
  </si>
  <si>
    <t>Azizbek Mirzaliev</t>
  </si>
  <si>
    <t>Мирзалиев Азизбек Рахматуллаевич</t>
  </si>
  <si>
    <t>Nusrat Ruziev</t>
  </si>
  <si>
    <t>Рузиев Нусрат Нодирович</t>
  </si>
  <si>
    <t>Azamat Muratov</t>
  </si>
  <si>
    <t>Муратов Азамат Пердебаевич</t>
  </si>
  <si>
    <t>Kemaleddin Khalilov</t>
  </si>
  <si>
    <t>Халилов Кемаледдин Амангелдиевич</t>
  </si>
  <si>
    <t>Sherzod Makhmudov</t>
  </si>
  <si>
    <t>Махмудов Шерзод Худаяр Угли</t>
  </si>
  <si>
    <t>Mukhtor Mukhtarov</t>
  </si>
  <si>
    <t>Мухтаров Мухтор Базарбай Угли</t>
  </si>
  <si>
    <t>Bakhtiyar Kalmuratov</t>
  </si>
  <si>
    <t>Калмуратов Бахтияр Аметович</t>
  </si>
  <si>
    <t>Sardor Yusupov</t>
  </si>
  <si>
    <t>Юсупов Сардор Илхам Угли</t>
  </si>
  <si>
    <t>Zukhriddin Jumanazarov</t>
  </si>
  <si>
    <t>Жуманазаров Зухриддин Холмурод Угли</t>
  </si>
  <si>
    <t>Khusniddin Khujaev</t>
  </si>
  <si>
    <t>Хужаев Хусниддин Холмурод Угли</t>
  </si>
  <si>
    <t>Umid Egamkulov</t>
  </si>
  <si>
    <t>Эгамкулов Умид Улугбек Угли</t>
  </si>
  <si>
    <t>Zayniddin Ravshanov</t>
  </si>
  <si>
    <t>Равшанов Зайниддин Шокиржон Угли</t>
  </si>
  <si>
    <t>Kasimbay Babajanov</t>
  </si>
  <si>
    <t>Бабажанов Касимбай Базарбаевич</t>
  </si>
  <si>
    <t>Khikmatulla Khudaybergenov</t>
  </si>
  <si>
    <t>Худайбергенов Хикматулла Давлатович</t>
  </si>
  <si>
    <t>Farkhod Ibrahimov</t>
  </si>
  <si>
    <t>Ибрахимов Фарход Рахимбердиевич</t>
  </si>
  <si>
    <t>Khasan Abdullaev</t>
  </si>
  <si>
    <t>Абдуллаев Хасан Хайруллаевич</t>
  </si>
  <si>
    <t>Kamronbek Davlatov</t>
  </si>
  <si>
    <t>Давлатов Камронбек Абдулла Угли</t>
  </si>
  <si>
    <t>Dilshod Burkhonov</t>
  </si>
  <si>
    <t>Бурхонов Дилшод Бахтиёр Угли</t>
  </si>
  <si>
    <t xml:space="preserve">Farrukh Burkhonov </t>
  </si>
  <si>
    <t>Бурхонов Фаррух Бахтиёр Угли</t>
  </si>
  <si>
    <t>Azizbek Matsapaev</t>
  </si>
  <si>
    <t>Матсапаев Азизбек Анвар Угли</t>
  </si>
  <si>
    <t>Kuvandik Khalmuratov</t>
  </si>
  <si>
    <t>Халмуратов Кувандик Джангабаевич</t>
  </si>
  <si>
    <t>Gofur Samatov</t>
  </si>
  <si>
    <t>Саматов Гофур Кенгашевич</t>
  </si>
  <si>
    <t>Javlonbek Matkarimov</t>
  </si>
  <si>
    <t>Маткаримов Жавлонбек Шомуродович</t>
  </si>
  <si>
    <t>Adhambek Bakhtiyorov</t>
  </si>
  <si>
    <t>Бахтиёров Адхамбек Ойбек Угли</t>
  </si>
  <si>
    <t>Azamat Niyazov</t>
  </si>
  <si>
    <t>Ниязов Азамат Курбангелдиевич</t>
  </si>
  <si>
    <t>Solijon Mirzaev</t>
  </si>
  <si>
    <t>Мирзаев Солижон Эргашевич</t>
  </si>
  <si>
    <t>Dilshod Khalillaev</t>
  </si>
  <si>
    <t>Халиллаев Дилшод Казакбаевич</t>
  </si>
  <si>
    <t>Fayzulla Djumashov</t>
  </si>
  <si>
    <t>Джумашов Файзулла Исмаилович</t>
  </si>
  <si>
    <t>Utkirbek Iskandarov</t>
  </si>
  <si>
    <t>Искандаров Уткирбек Куранбой Угли</t>
  </si>
  <si>
    <t>Abrorbek Utaganov</t>
  </si>
  <si>
    <t>Утаганов Аброрбек Аллаёрович</t>
  </si>
  <si>
    <t>Sunnatjon Barakulov</t>
  </si>
  <si>
    <t>Баракулов Суннатжон Олим Угли</t>
  </si>
  <si>
    <t>Mansurbek Isakov</t>
  </si>
  <si>
    <t>Исаков Мансурбек Мамурович</t>
  </si>
  <si>
    <t>Bakhtiyor Safarov</t>
  </si>
  <si>
    <t>Сафаров Бахтиёр Эркин Угли</t>
  </si>
  <si>
    <t>Asiljon Muydinov</t>
  </si>
  <si>
    <t>Муйдинов Асилжон Абдуганиевич</t>
  </si>
  <si>
    <t>Khurshidbek Botirov</t>
  </si>
  <si>
    <t>Ботиров Хуршидбек Гайрат Угли</t>
  </si>
  <si>
    <t>Норбоев Сардор Вахоб Угли</t>
  </si>
  <si>
    <t>Hayitboy Rakhmatov</t>
  </si>
  <si>
    <t>Рахматов Хайитбой Махмуд Угли</t>
  </si>
  <si>
    <t>Jasurbek Jangalov</t>
  </si>
  <si>
    <t>Жангалов Жасурбек Насриддин Угли</t>
  </si>
  <si>
    <t>Furkat Utkirov</t>
  </si>
  <si>
    <t>Уткиров Фуркат Зоирович</t>
  </si>
  <si>
    <t>Ramazon Mukumov</t>
  </si>
  <si>
    <t>Мукумов Рамазон Бунёд Угли</t>
  </si>
  <si>
    <t>Jobir Zaripov</t>
  </si>
  <si>
    <t>Зарипов Жобир Кобилович</t>
  </si>
  <si>
    <t>Botirjon Komilov</t>
  </si>
  <si>
    <t>Комилов Ботиржон Исмоилович</t>
  </si>
  <si>
    <t>Boburjon Ismoiljonov</t>
  </si>
  <si>
    <t>Исмоилжонов Бобуржон Ботиржон Угли</t>
  </si>
  <si>
    <t>Kobil Azizmurodov</t>
  </si>
  <si>
    <t>Азизмуродов Кобил Итолович</t>
  </si>
  <si>
    <t>Ibrat Itolov</t>
  </si>
  <si>
    <t>Итолов Ибрат Олимжон Угли</t>
  </si>
  <si>
    <t>DIS GOREV METROPOLIS</t>
  </si>
  <si>
    <t>Doniyor Sadullaev</t>
  </si>
  <si>
    <t>HASTA RAPORLU (06-07-08-09-10)</t>
  </si>
  <si>
    <t>Bekzod Yuldashev</t>
  </si>
  <si>
    <t>Юлдашев Бекзод Рашид Угли</t>
  </si>
  <si>
    <t>Tozhiddin Makhmurodov</t>
  </si>
  <si>
    <t>Махмуродов Тожиддин Шералиевич</t>
  </si>
  <si>
    <t>Kamolidin Mukhudinov</t>
  </si>
  <si>
    <t>Мухудинов Камолидин Ашрафидинович</t>
  </si>
  <si>
    <t>Amrıkhudo Davlatzoda</t>
  </si>
  <si>
    <t>Давлатзода Амрихудо Сухроб</t>
  </si>
  <si>
    <t>Muhammadsharip Aloev</t>
  </si>
  <si>
    <t>Алоев Мухаммадшариф Пирназарович</t>
  </si>
  <si>
    <t xml:space="preserve">Emomali Kuganov </t>
  </si>
  <si>
    <t xml:space="preserve">Куганов Эмомали Рамазонович </t>
  </si>
  <si>
    <t>Саидахмедов Аминджон Амиралиевич</t>
  </si>
  <si>
    <t>Amindjon Saidakhmedov</t>
  </si>
  <si>
    <t>Rakhmatullo Qodirov</t>
  </si>
  <si>
    <t>Кодиров Рахматулло Сунатуллоевич</t>
  </si>
  <si>
    <t>Kurbonali Mahmedov</t>
  </si>
  <si>
    <t xml:space="preserve">Махмедов Курбонали Эраджович </t>
  </si>
  <si>
    <t>Alisher Sulaymonov</t>
  </si>
  <si>
    <t>Сулаймонов Алишер Файзидинович</t>
  </si>
  <si>
    <t>Feruzbek Hamraev</t>
  </si>
  <si>
    <t>Хамраев Ферузбек Абдурашид Угли</t>
  </si>
  <si>
    <t>Mansur Jumaev</t>
  </si>
  <si>
    <t>Жумаев Мансур Хонгелди Угли</t>
  </si>
  <si>
    <t>Rahmonali Mirov</t>
  </si>
  <si>
    <t>Миров Рахмонали Хасанович</t>
  </si>
  <si>
    <t>Shavkat Borotboev</t>
  </si>
  <si>
    <t>Боротбоев Шавкат Гуломжонович</t>
  </si>
  <si>
    <t>Yulchi Geldiyorov</t>
  </si>
  <si>
    <t>Гелдиёров Юлчи Кулдашевич</t>
  </si>
  <si>
    <t>Sharhiddin Kudbidinov</t>
  </si>
  <si>
    <t>Кудбидинов Шархиддин Сироджидинович</t>
  </si>
  <si>
    <t>Firuz Shomurotov</t>
  </si>
  <si>
    <t>Шомуротов Фируз Тухтаназарович</t>
  </si>
  <si>
    <t xml:space="preserve">Ismoil Rahimov </t>
  </si>
  <si>
    <t xml:space="preserve">Рахимов Исмоил Абдурахмонович </t>
  </si>
  <si>
    <t>Dodikhudo Saidov</t>
  </si>
  <si>
    <t xml:space="preserve">Саидов Додихудо Мирзорахимович </t>
  </si>
  <si>
    <t>Saivali Zikiryaev</t>
  </si>
  <si>
    <t>Зикиряев Сайвали Сайхуджаевич</t>
  </si>
  <si>
    <t>Нурмаматов Мухтор Урол Угли</t>
  </si>
  <si>
    <t>Mukhtor Nurmamatov</t>
  </si>
  <si>
    <t>Zikrulloh Muhudinov</t>
  </si>
  <si>
    <t>Мухудинов Зикруллох Шарифбекович</t>
  </si>
  <si>
    <t>Akbar Kuziev</t>
  </si>
  <si>
    <t>Кузиев Акбар Юсупович</t>
  </si>
  <si>
    <t>Akobir Ashurov</t>
  </si>
  <si>
    <t>Ашуров Акобир Шавкат Угли</t>
  </si>
  <si>
    <t>Akram Yuldashev</t>
  </si>
  <si>
    <t>Юлдашев Акрам Хатамович</t>
  </si>
  <si>
    <t>Aral Saparbaev</t>
  </si>
  <si>
    <t>Сапарбаев Арал Муратович</t>
  </si>
  <si>
    <t>Askar Elmurzaev</t>
  </si>
  <si>
    <t>Элмурзаев Аскар Олим Угли</t>
  </si>
  <si>
    <t>Bunyod Khujamberdiev</t>
  </si>
  <si>
    <t>Хужамбердиев Бунёд Бахтиёр Угли</t>
  </si>
  <si>
    <t>Davronbek Babadjanov</t>
  </si>
  <si>
    <t>Бабаджанов Давранбек Юлдашевич</t>
  </si>
  <si>
    <t>Demir Begmurodov</t>
  </si>
  <si>
    <t>Бегмуродов Демир Хайрулло Угли</t>
  </si>
  <si>
    <t>Dilshod Narkuziev</t>
  </si>
  <si>
    <t>Наркузиев Дилшод Жалолович</t>
  </si>
  <si>
    <t>Diyorbek Erkaboev</t>
  </si>
  <si>
    <t>Рахимбоев Достонбек Муминжон Угли</t>
  </si>
  <si>
    <t>Diyorbek Kurbonboev</t>
  </si>
  <si>
    <t>Курбонбоев Диёрбек Бозорбой Угли</t>
  </si>
  <si>
    <t>Dostonbek Rakhimboev</t>
  </si>
  <si>
    <t>Эркабоев Диёрбек Муминжон Угли</t>
  </si>
  <si>
    <t>Farrukh Oltinboev</t>
  </si>
  <si>
    <t>Олтинбоев Фаррух Абдували Угли</t>
  </si>
  <si>
    <t>Fatkhiddin Akhmedov</t>
  </si>
  <si>
    <t>Ахмедов Фатхиддин Ибрагимжон Угли</t>
  </si>
  <si>
    <t>Fazliddin Boltaev</t>
  </si>
  <si>
    <t>Болтаев Фазлиддин Фахриддин Угли</t>
  </si>
  <si>
    <t>Ibrokhim Ismoilov</t>
  </si>
  <si>
    <t>Исмоилов Иброхим Абдуразак Угли</t>
  </si>
  <si>
    <t>Ilkhom Abdullaev</t>
  </si>
  <si>
    <t>Абдуллаев Илхом Бокирович</t>
  </si>
  <si>
    <t>Kurmangazi Abdukarimov</t>
  </si>
  <si>
    <t>Абдукаримов Курмангази Дуктарбаевич</t>
  </si>
  <si>
    <t>Makhsut Yusupov</t>
  </si>
  <si>
    <t>Юсупов Махсут Урынбаевич</t>
  </si>
  <si>
    <t>Mardon Oytuvganov</t>
  </si>
  <si>
    <t>Ойтувганов Мардон Абдуллаевич</t>
  </si>
  <si>
    <t>Muminjon Abdalov</t>
  </si>
  <si>
    <t>Абдалов Муминжон Раимбаевич</t>
  </si>
  <si>
    <t>Murodjon Nematov</t>
  </si>
  <si>
    <t>Нематов Муроджон Толибжонович</t>
  </si>
  <si>
    <t>Murtazoali Isakov</t>
  </si>
  <si>
    <t>Исаков Муртазоали Эрали Угли</t>
  </si>
  <si>
    <t>Obidjon Esanboev</t>
  </si>
  <si>
    <t>Эсанбоев Обиджон Номоз Угли</t>
  </si>
  <si>
    <t>Ogabek Makhmaev</t>
  </si>
  <si>
    <t>Махмаев Огабек Икром Угли</t>
  </si>
  <si>
    <t>Ogabek Ollaberganov</t>
  </si>
  <si>
    <t>Оллаберганов Огабек Гайрат Угли</t>
  </si>
  <si>
    <t>Oybek Chuliev</t>
  </si>
  <si>
    <t>Чулиев Ойбек Бобожонович</t>
  </si>
  <si>
    <t>Ozodbek Jumanov</t>
  </si>
  <si>
    <t>Жуманов Озодбек Илхом Угли</t>
  </si>
  <si>
    <t>Ravshanbek Khajiev</t>
  </si>
  <si>
    <t>Хажиев Равшанбек Ачилович</t>
  </si>
  <si>
    <t>Sailkhon Shermeov</t>
  </si>
  <si>
    <t>Шерметов Саилхон Шомурот Угли</t>
  </si>
  <si>
    <t>Shakhriddin Makhmaev</t>
  </si>
  <si>
    <t>Махмаев Шахриддин Фахриддин Угли</t>
  </si>
  <si>
    <t>Sherzod Sindarov</t>
  </si>
  <si>
    <t>Синдаров Шерзод Юлчи Угли</t>
  </si>
  <si>
    <t>Sulton Chulliev</t>
  </si>
  <si>
    <t>Чуллиев Султон Бобожонович</t>
  </si>
  <si>
    <t>Sunnat Temirov</t>
  </si>
  <si>
    <t>Темиров Суннат Жумаёрович</t>
  </si>
  <si>
    <t>Temur Otaboev</t>
  </si>
  <si>
    <t>Отабоев Темур Рузмат Угли</t>
  </si>
  <si>
    <t>Tulkin Rahmonov</t>
  </si>
  <si>
    <t>Рахмонов Тулкин Баходир Угли</t>
  </si>
  <si>
    <t>Umar Sharipov</t>
  </si>
  <si>
    <t>Шарипов Умар Исламович</t>
  </si>
  <si>
    <t>Yoqubali Berdiev</t>
  </si>
  <si>
    <t>Бердиев Ёкубали Джуракулович</t>
  </si>
  <si>
    <t>Inomjon Ismailov</t>
  </si>
  <si>
    <t>Исмайлов Иномжон Бегмуратович</t>
  </si>
  <si>
    <t>Furkatjon Marasulov</t>
  </si>
  <si>
    <t>Марасулов Фуркатжон Мамаюсупович</t>
  </si>
  <si>
    <t>Khursandbek Rametov</t>
  </si>
  <si>
    <t>Раметов Хурсандбек Илхамбаевич</t>
  </si>
  <si>
    <t>DIS GOREV NIJNIY NOVGORODDEN GELDI</t>
  </si>
  <si>
    <t>Bogbek Kadirov</t>
  </si>
  <si>
    <t>Кадиров Богбек Мадияр Угли</t>
  </si>
  <si>
    <t>Khairandeh Davlatov</t>
  </si>
  <si>
    <t>Давлатов Хайрандеш Ятимович</t>
  </si>
  <si>
    <t>Дурдиев Диёрбек Шокир Угли</t>
  </si>
  <si>
    <t>Sultonbek Jurabaev</t>
  </si>
  <si>
    <t>Журабаев Султонбек Ахадхон Угли</t>
  </si>
  <si>
    <t>Rustam Turmamatov</t>
  </si>
  <si>
    <t>Турмаматов Рустам Туракулович</t>
  </si>
  <si>
    <t>Mukhammadi Kenzhaev</t>
  </si>
  <si>
    <t>Кенжаев Мухаммади Абдуллоевич</t>
  </si>
  <si>
    <t>Khurshid Azimov</t>
  </si>
  <si>
    <t>Азимов Хуршид Хусанович</t>
  </si>
  <si>
    <t>Muhammadjon Salimov</t>
  </si>
  <si>
    <t>Салимов Мухаммаджон Лоикович</t>
  </si>
  <si>
    <t>Talabsho Farkhodzoda</t>
  </si>
  <si>
    <t>Фарходзода Талабшо Фарход</t>
  </si>
  <si>
    <t>Holmurod Boymirzaev</t>
  </si>
  <si>
    <t>Боймирзаев Холмурод Эшмуродович</t>
  </si>
  <si>
    <t>Javokhirbek Bozorov</t>
  </si>
  <si>
    <t>Бозоров Жавохирбек Мурод Угли</t>
  </si>
  <si>
    <t>Dastonbek Soporboev</t>
  </si>
  <si>
    <t>Сопорбоев Дастонбек Давронбекович</t>
  </si>
  <si>
    <t>Sardorbek Rakhmanov</t>
  </si>
  <si>
    <t>Рахманов Сардорбек Гулимбаевич</t>
  </si>
  <si>
    <t>Javlonbek Azatbaev</t>
  </si>
  <si>
    <t>Азатбаев Жавлонбек Мансурбек Угли</t>
  </si>
  <si>
    <t>Sirojbek Sheripbaev</t>
  </si>
  <si>
    <t>Шерипбаев Сирожбек Алишер Угли</t>
  </si>
  <si>
    <t>Akhror Burkhonov</t>
  </si>
  <si>
    <t>Бурхонов Ахрор Кахрамон Угли</t>
  </si>
  <si>
    <t>Komil Norkizilov</t>
  </si>
  <si>
    <t>Норкизилов Комил Суюн Угли</t>
  </si>
  <si>
    <t>Bozor Abdullaev</t>
  </si>
  <si>
    <t>Абдуллаев Бозор Абдихакимович</t>
  </si>
  <si>
    <t>Ilkhom Aliev</t>
  </si>
  <si>
    <t>Алиев Илхом Уролович</t>
  </si>
  <si>
    <t>Mukhammadjon Kholmirzaev</t>
  </si>
  <si>
    <t>Холмирзаев Мухаммаджон Нурмухаммад Угли</t>
  </si>
  <si>
    <t>Maksudbek Abduvahobov</t>
  </si>
  <si>
    <t>Абдувахобов Максудбек Содикжон Угли</t>
  </si>
  <si>
    <t>Hamro Rakhimov</t>
  </si>
  <si>
    <t>Рахимов Хамро Эгамбердиевич</t>
  </si>
  <si>
    <t>Odilbek Nurillaev</t>
  </si>
  <si>
    <t>Нуриллаев Одилбек Комилович</t>
  </si>
  <si>
    <t>Marat Namazov</t>
  </si>
  <si>
    <t>Намазов Марат Ганиевич</t>
  </si>
  <si>
    <t>Мухаммадов Худойназар Исмоил Угли</t>
  </si>
  <si>
    <t>Daniyar Urunov</t>
  </si>
  <si>
    <t>Урунов Даниёр Савиндик Угли</t>
  </si>
  <si>
    <t>Ergash Allabergenov</t>
  </si>
  <si>
    <t>Аллабергенов Ергаш Тохтабаевич</t>
  </si>
  <si>
    <t>Sokhibjon Saparboev</t>
  </si>
  <si>
    <t>Сапарбоев Сохибжон Негматжон Угли</t>
  </si>
  <si>
    <t>Bakhramjon Abdullaev</t>
  </si>
  <si>
    <t>Абдуллаев Бахрамжон Баходир Угли</t>
  </si>
  <si>
    <t>Firuz Sangov</t>
  </si>
  <si>
    <t>Сангов Фируз Рустамшоевич</t>
  </si>
  <si>
    <t>Rakhmonjan Rakhmanberdiev</t>
  </si>
  <si>
    <t>Рахманбердиев Рахмонжан Шухрат Угли</t>
  </si>
  <si>
    <t>Ogabek Reymbergenov</t>
  </si>
  <si>
    <t>Реймбергенов Огабек Улугбек Угли</t>
  </si>
  <si>
    <t>Shokhjakhon Zaripov</t>
  </si>
  <si>
    <t>Зарипов Шохжахон Отабек Угли</t>
  </si>
  <si>
    <t>Obid Karabaev</t>
  </si>
  <si>
    <t>Карабаев Обид Тиркашевич</t>
  </si>
  <si>
    <t>Khamid Matkarimov</t>
  </si>
  <si>
    <t>Маткаримов Хамид Рустамович</t>
  </si>
  <si>
    <t>Arslanbek Ramanov</t>
  </si>
  <si>
    <t>Раманов Арсланбек Мирзабекович</t>
  </si>
  <si>
    <t>Mardon Avezov</t>
  </si>
  <si>
    <t>Авезов Мардон Аманбаевич</t>
  </si>
  <si>
    <t>Sobitmirzo Ishmurodov</t>
  </si>
  <si>
    <t>Ишмуродов Собитмирзо Шомирзо Угли</t>
  </si>
  <si>
    <t>Nuriddin Sidikov</t>
  </si>
  <si>
    <t>Сидиков Нуриддин Абдумажид Угли</t>
  </si>
  <si>
    <t>HASTA RAPORLU (04-05-06-07-08-09-10-11-12-13-14)</t>
  </si>
  <si>
    <t>DIS GOREV LELINGRADSKIY VOKZAL</t>
  </si>
  <si>
    <t>Zukhriddin Abdurasulov</t>
  </si>
  <si>
    <t>Абдурасулов Зухриддин Хусниддин Угли</t>
  </si>
  <si>
    <t>HASTA RAPORLU (09-10-11-12-13)</t>
  </si>
  <si>
    <t>Khudayshukur Abdireymov</t>
  </si>
  <si>
    <t xml:space="preserve">Абдирейимов Худайшукур Шаммыевич </t>
  </si>
  <si>
    <t>Saydazim Esanov</t>
  </si>
  <si>
    <t>ISE CIKMADI DIS GOREV SKOLKOVODEN GELDI</t>
  </si>
  <si>
    <t>HASTA</t>
  </si>
  <si>
    <t>ISE CIKMADI DIS GOREV ИнтерРАОDEN GELDI</t>
  </si>
  <si>
    <t>ISE CIKMADI DIS GOREV ИнтерРАО GELDI</t>
  </si>
  <si>
    <t>Iskandar Rajapov</t>
  </si>
  <si>
    <t>ISE CIKMADI DIS GOREV NIJNIYNOVGORODDEN GELDI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</si>
</sst>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75">
    <font>
      <sz val="11"/>
      <color theme="1"/>
      <name val="Calibri"/>
      <family val="2"/>
      <scheme val="minor"/>
    </font>
    <font>
      <b/>
      <sz val="36"/>
      <name val="Arial"/>
      <family val="2"/>
      <charset val="204"/>
    </font>
    <font>
      <sz val="18"/>
      <name val="Arial"/>
      <family val="2"/>
      <charset val="204"/>
    </font>
    <font>
      <sz val="18"/>
      <color theme="1"/>
      <name val="Calibri"/>
      <family val="2"/>
      <scheme val="minor"/>
    </font>
    <font>
      <sz val="18"/>
      <color rgb="FFFF0000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24"/>
      <name val="Arial"/>
      <family val="2"/>
    </font>
    <font>
      <b/>
      <i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i/>
      <sz val="18"/>
      <color rgb="FFFF0000"/>
      <name val="Arial"/>
      <family val="2"/>
      <charset val="204"/>
    </font>
    <font>
      <i/>
      <sz val="11"/>
      <color rgb="FFFF0000"/>
      <name val="Arial"/>
      <family val="2"/>
      <charset val="204"/>
    </font>
    <font>
      <sz val="10"/>
      <name val="Arial Cyr"/>
      <charset val="204"/>
    </font>
    <font>
      <b/>
      <sz val="18"/>
      <color rgb="FF00B0F0"/>
      <name val="Arial"/>
      <family val="2"/>
      <charset val="204"/>
    </font>
    <font>
      <sz val="17"/>
      <color theme="1"/>
      <name val="Arial"/>
      <family val="2"/>
      <charset val="204"/>
    </font>
    <font>
      <sz val="14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rgb="FFFF0000"/>
      <name val="Arial"/>
      <family val="2"/>
    </font>
    <font>
      <sz val="18"/>
      <color theme="1"/>
      <name val="Arial"/>
      <family val="2"/>
      <charset val="204"/>
    </font>
    <font>
      <sz val="13"/>
      <name val="Arial"/>
      <family val="2"/>
      <charset val="204"/>
    </font>
    <font>
      <b/>
      <sz val="16"/>
      <color theme="1"/>
      <name val="Arial"/>
      <family val="2"/>
      <charset val="204"/>
    </font>
    <font>
      <b/>
      <i/>
      <sz val="18"/>
      <name val="Arial"/>
      <family val="2"/>
      <charset val="204"/>
    </font>
    <font>
      <u/>
      <sz val="18"/>
      <color rgb="FFFF0000"/>
      <name val="Arial"/>
      <family val="2"/>
      <charset val="204"/>
    </font>
    <font>
      <b/>
      <i/>
      <sz val="14"/>
      <name val="Arial"/>
      <family val="2"/>
    </font>
    <font>
      <b/>
      <i/>
      <sz val="14"/>
      <color theme="1"/>
      <name val="Arial"/>
      <family val="2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</font>
    <font>
      <u/>
      <sz val="16"/>
      <color rgb="FFFF0000"/>
      <name val="Arial"/>
      <family val="2"/>
      <charset val="204"/>
    </font>
    <font>
      <sz val="16"/>
      <color rgb="FFFF0000"/>
      <name val="Arial"/>
      <family val="2"/>
      <charset val="204"/>
    </font>
    <font>
      <sz val="24"/>
      <color rgb="FFFF0000"/>
      <name val="Arial"/>
      <family val="2"/>
      <charset val="204"/>
    </font>
    <font>
      <sz val="26"/>
      <color rgb="FFFF0000"/>
      <name val="Calibri"/>
      <family val="2"/>
      <scheme val="minor"/>
    </font>
    <font>
      <b/>
      <sz val="20"/>
      <name val="Arial"/>
      <family val="2"/>
      <charset val="204"/>
    </font>
    <font>
      <sz val="16"/>
      <name val="Arial"/>
      <family val="2"/>
      <charset val="204"/>
    </font>
    <font>
      <sz val="16"/>
      <color theme="1"/>
      <name val="Calibri"/>
      <family val="2"/>
      <scheme val="minor"/>
    </font>
    <font>
      <sz val="20"/>
      <name val="Arial"/>
      <family val="2"/>
      <charset val="204"/>
    </font>
    <font>
      <b/>
      <u/>
      <sz val="14"/>
      <name val="Arial"/>
      <family val="2"/>
      <charset val="204"/>
    </font>
    <font>
      <b/>
      <u/>
      <sz val="13"/>
      <name val="Arial"/>
      <family val="2"/>
      <charset val="204"/>
    </font>
    <font>
      <b/>
      <i/>
      <sz val="12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26"/>
      <color rgb="FFFF0000"/>
      <name val="Arial"/>
      <family val="2"/>
      <charset val="204"/>
    </font>
    <font>
      <b/>
      <sz val="20"/>
      <name val="Arial"/>
      <family val="2"/>
      <charset val="162"/>
    </font>
    <font>
      <b/>
      <sz val="24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 Tur"/>
      <charset val="204"/>
    </font>
    <font>
      <b/>
      <sz val="16"/>
      <name val="Arial Tur"/>
      <charset val="204"/>
    </font>
    <font>
      <b/>
      <sz val="12"/>
      <name val="Arial Tur"/>
      <charset val="204"/>
    </font>
    <font>
      <sz val="12"/>
      <name val="Arial Tur"/>
      <charset val="204"/>
    </font>
    <font>
      <sz val="12"/>
      <name val="Arial Tur"/>
      <charset val="162"/>
    </font>
    <font>
      <sz val="14"/>
      <color rgb="FFFF0000"/>
      <name val="Arial"/>
      <family val="2"/>
      <charset val="204"/>
    </font>
    <font>
      <b/>
      <sz val="9"/>
      <name val="Arial"/>
      <family val="2"/>
      <charset val="162"/>
    </font>
    <font>
      <b/>
      <sz val="12"/>
      <color theme="1"/>
      <name val="Arial"/>
      <family val="2"/>
      <charset val="204"/>
    </font>
    <font>
      <sz val="26"/>
      <name val="Arial"/>
      <family val="2"/>
      <charset val="204"/>
    </font>
    <font>
      <b/>
      <sz val="16"/>
      <color rgb="FF00B0F0"/>
      <name val="Arial Tur"/>
      <charset val="204"/>
    </font>
    <font>
      <b/>
      <sz val="10"/>
      <color theme="1"/>
      <name val="Arial Tur"/>
      <charset val="204"/>
    </font>
    <font>
      <sz val="25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b/>
      <i/>
      <sz val="13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7"/>
      <name val="Arial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</borders>
  <cellStyleXfs count="4">
    <xf numFmtId="0" fontId="0" fillId="0" borderId="0"/>
    <xf numFmtId="0" fontId="6" fillId="0" borderId="0"/>
    <xf numFmtId="0" fontId="12" fillId="0" borderId="0"/>
    <xf numFmtId="0" fontId="71" fillId="0" borderId="0"/>
  </cellStyleXfs>
  <cellXfs count="27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0" fontId="18" fillId="8" borderId="1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11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vertical="center"/>
    </xf>
    <xf numFmtId="0" fontId="22" fillId="14" borderId="5" xfId="0" applyFont="1" applyFill="1" applyBorder="1" applyAlignment="1">
      <alignment vertical="center"/>
    </xf>
    <xf numFmtId="0" fontId="23" fillId="4" borderId="6" xfId="0" applyFont="1" applyFill="1" applyBorder="1" applyAlignment="1">
      <alignment horizontal="center" vertical="center"/>
    </xf>
    <xf numFmtId="0" fontId="0" fillId="4" borderId="0" xfId="0" applyFill="1"/>
    <xf numFmtId="0" fontId="20" fillId="0" borderId="0" xfId="0" applyFont="1" applyAlignment="1">
      <alignment horizontal="left" vertical="center"/>
    </xf>
    <xf numFmtId="0" fontId="22" fillId="14" borderId="3" xfId="0" applyFont="1" applyFill="1" applyBorder="1" applyAlignment="1">
      <alignment vertical="center"/>
    </xf>
    <xf numFmtId="20" fontId="24" fillId="15" borderId="1" xfId="0" applyNumberFormat="1" applyFont="1" applyFill="1" applyBorder="1" applyAlignment="1">
      <alignment horizontal="left" vertical="center"/>
    </xf>
    <xf numFmtId="20" fontId="25" fillId="0" borderId="1" xfId="0" applyNumberFormat="1" applyFont="1" applyBorder="1" applyAlignment="1">
      <alignment horizontal="left" vertical="center"/>
    </xf>
    <xf numFmtId="20" fontId="2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0" fillId="0" borderId="0" xfId="0" applyFont="1"/>
    <xf numFmtId="0" fontId="26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9" fillId="4" borderId="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4" borderId="0" xfId="0" applyFont="1" applyFill="1" applyAlignment="1">
      <alignment vertical="center"/>
    </xf>
    <xf numFmtId="0" fontId="33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8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0" borderId="7" xfId="0" applyFont="1" applyBorder="1" applyAlignment="1">
      <alignment vertical="center"/>
    </xf>
    <xf numFmtId="14" fontId="39" fillId="14" borderId="8" xfId="0" applyNumberFormat="1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8" xfId="0" applyFont="1" applyFill="1" applyBorder="1" applyAlignment="1">
      <alignment horizontal="center" vertical="center" wrapText="1"/>
    </xf>
    <xf numFmtId="0" fontId="40" fillId="2" borderId="11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left" vertical="center"/>
    </xf>
    <xf numFmtId="0" fontId="42" fillId="0" borderId="8" xfId="0" applyFont="1" applyBorder="1" applyAlignment="1">
      <alignment horizontal="center" vertical="center" wrapText="1"/>
    </xf>
    <xf numFmtId="41" fontId="9" fillId="4" borderId="12" xfId="0" applyNumberFormat="1" applyFont="1" applyFill="1" applyBorder="1" applyAlignment="1">
      <alignment horizontal="right" vertical="center"/>
    </xf>
    <xf numFmtId="41" fontId="9" fillId="0" borderId="13" xfId="0" applyNumberFormat="1" applyFont="1" applyBorder="1" applyAlignment="1">
      <alignment horizontal="right" vertical="center"/>
    </xf>
    <xf numFmtId="41" fontId="9" fillId="4" borderId="1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3" fillId="0" borderId="8" xfId="0" applyFont="1" applyBorder="1" applyAlignment="1">
      <alignment horizontal="left" vertical="center"/>
    </xf>
    <xf numFmtId="41" fontId="9" fillId="4" borderId="13" xfId="0" applyNumberFormat="1" applyFont="1" applyFill="1" applyBorder="1" applyAlignment="1">
      <alignment horizontal="right" vertical="center"/>
    </xf>
    <xf numFmtId="0" fontId="42" fillId="0" borderId="8" xfId="0" applyFont="1" applyBorder="1" applyAlignment="1">
      <alignment horizontal="center" vertical="center"/>
    </xf>
    <xf numFmtId="0" fontId="39" fillId="8" borderId="8" xfId="0" applyFont="1" applyFill="1" applyBorder="1" applyAlignment="1">
      <alignment horizontal="center" vertical="center"/>
    </xf>
    <xf numFmtId="0" fontId="44" fillId="8" borderId="6" xfId="0" applyFont="1" applyFill="1" applyBorder="1" applyAlignment="1">
      <alignment vertical="center" textRotation="255" wrapText="1"/>
    </xf>
    <xf numFmtId="41" fontId="5" fillId="8" borderId="8" xfId="0" applyNumberFormat="1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41" fontId="9" fillId="0" borderId="13" xfId="0" applyNumberFormat="1" applyFont="1" applyBorder="1" applyAlignment="1">
      <alignment horizontal="center" vertical="center"/>
    </xf>
    <xf numFmtId="41" fontId="5" fillId="8" borderId="16" xfId="0" applyNumberFormat="1" applyFont="1" applyFill="1" applyBorder="1" applyAlignment="1">
      <alignment horizontal="right" vertical="center"/>
    </xf>
    <xf numFmtId="0" fontId="45" fillId="2" borderId="8" xfId="0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horizontal="center" vertical="center"/>
    </xf>
    <xf numFmtId="41" fontId="5" fillId="2" borderId="8" xfId="0" applyNumberFormat="1" applyFont="1" applyFill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1" fontId="0" fillId="0" borderId="20" xfId="0" applyNumberFormat="1" applyBorder="1" applyAlignment="1">
      <alignment horizontal="center" vertical="center"/>
    </xf>
    <xf numFmtId="41" fontId="0" fillId="4" borderId="20" xfId="0" applyNumberFormat="1" applyFill="1" applyBorder="1" applyAlignment="1">
      <alignment horizontal="center" vertical="center"/>
    </xf>
    <xf numFmtId="41" fontId="0" fillId="4" borderId="21" xfId="0" applyNumberFormat="1" applyFill="1" applyBorder="1" applyAlignment="1">
      <alignment horizontal="center" vertical="center"/>
    </xf>
    <xf numFmtId="0" fontId="45" fillId="0" borderId="22" xfId="0" applyFont="1" applyBorder="1" applyAlignment="1">
      <alignment horizontal="left" vertical="center"/>
    </xf>
    <xf numFmtId="41" fontId="42" fillId="0" borderId="20" xfId="0" applyNumberFormat="1" applyFont="1" applyBorder="1" applyAlignment="1">
      <alignment horizontal="right" vertical="center"/>
    </xf>
    <xf numFmtId="41" fontId="42" fillId="0" borderId="13" xfId="0" applyNumberFormat="1" applyFont="1" applyBorder="1" applyAlignment="1">
      <alignment horizontal="right" vertical="center"/>
    </xf>
    <xf numFmtId="41" fontId="42" fillId="4" borderId="14" xfId="0" applyNumberFormat="1" applyFont="1" applyFill="1" applyBorder="1" applyAlignment="1">
      <alignment horizontal="right" vertical="center"/>
    </xf>
    <xf numFmtId="0" fontId="39" fillId="0" borderId="8" xfId="0" applyFont="1" applyBorder="1" applyAlignment="1">
      <alignment horizontal="center" vertical="center"/>
    </xf>
    <xf numFmtId="0" fontId="44" fillId="0" borderId="0" xfId="0" applyFont="1" applyAlignment="1">
      <alignment vertical="center" textRotation="255" wrapText="1"/>
    </xf>
    <xf numFmtId="41" fontId="2" fillId="0" borderId="15" xfId="0" applyNumberFormat="1" applyFont="1" applyBorder="1" applyAlignment="1">
      <alignment horizontal="right" vertical="center"/>
    </xf>
    <xf numFmtId="0" fontId="6" fillId="0" borderId="0" xfId="1" applyAlignment="1">
      <alignment vertical="center"/>
    </xf>
    <xf numFmtId="0" fontId="47" fillId="0" borderId="0" xfId="1" applyFont="1" applyAlignment="1">
      <alignment vertical="center"/>
    </xf>
    <xf numFmtId="0" fontId="47" fillId="0" borderId="0" xfId="1" applyFont="1" applyAlignment="1">
      <alignment horizontal="center" vertical="center"/>
    </xf>
    <xf numFmtId="0" fontId="49" fillId="3" borderId="25" xfId="1" applyFont="1" applyFill="1" applyBorder="1" applyAlignment="1">
      <alignment horizontal="center" vertical="center"/>
    </xf>
    <xf numFmtId="0" fontId="42" fillId="5" borderId="23" xfId="1" applyFont="1" applyFill="1" applyBorder="1" applyAlignment="1">
      <alignment vertical="center"/>
    </xf>
    <xf numFmtId="164" fontId="51" fillId="2" borderId="25" xfId="1" applyNumberFormat="1" applyFont="1" applyFill="1" applyBorder="1" applyAlignment="1">
      <alignment horizontal="center" vertical="center"/>
    </xf>
    <xf numFmtId="0" fontId="52" fillId="5" borderId="8" xfId="1" applyFont="1" applyFill="1" applyBorder="1" applyAlignment="1">
      <alignment horizontal="center" vertical="center" wrapText="1"/>
    </xf>
    <xf numFmtId="0" fontId="53" fillId="5" borderId="26" xfId="1" applyFont="1" applyFill="1" applyBorder="1" applyAlignment="1">
      <alignment horizontal="center" vertical="center"/>
    </xf>
    <xf numFmtId="0" fontId="54" fillId="5" borderId="27" xfId="1" applyFont="1" applyFill="1" applyBorder="1" applyAlignment="1">
      <alignment horizontal="center" vertical="center" wrapText="1"/>
    </xf>
    <xf numFmtId="0" fontId="52" fillId="5" borderId="28" xfId="1" applyFont="1" applyFill="1" applyBorder="1" applyAlignment="1">
      <alignment horizontal="center" vertical="center" wrapText="1"/>
    </xf>
    <xf numFmtId="0" fontId="52" fillId="5" borderId="29" xfId="1" applyFont="1" applyFill="1" applyBorder="1" applyAlignment="1">
      <alignment horizontal="center" vertical="center"/>
    </xf>
    <xf numFmtId="0" fontId="55" fillId="5" borderId="9" xfId="1" applyFont="1" applyFill="1" applyBorder="1" applyAlignment="1">
      <alignment vertical="center"/>
    </xf>
    <xf numFmtId="0" fontId="52" fillId="5" borderId="30" xfId="1" applyFont="1" applyFill="1" applyBorder="1" applyAlignment="1">
      <alignment horizontal="left" vertical="center" wrapText="1"/>
    </xf>
    <xf numFmtId="0" fontId="54" fillId="5" borderId="31" xfId="1" applyFont="1" applyFill="1" applyBorder="1" applyAlignment="1">
      <alignment horizontal="center" vertical="center" wrapText="1"/>
    </xf>
    <xf numFmtId="0" fontId="54" fillId="5" borderId="32" xfId="1" applyFont="1" applyFill="1" applyBorder="1" applyAlignment="1">
      <alignment horizontal="center" vertical="center" wrapText="1"/>
    </xf>
    <xf numFmtId="0" fontId="54" fillId="5" borderId="33" xfId="1" applyFont="1" applyFill="1" applyBorder="1" applyAlignment="1">
      <alignment horizontal="center" vertical="center" wrapText="1"/>
    </xf>
    <xf numFmtId="0" fontId="55" fillId="5" borderId="22" xfId="1" applyFont="1" applyFill="1" applyBorder="1" applyAlignment="1">
      <alignment vertical="center"/>
    </xf>
    <xf numFmtId="0" fontId="56" fillId="0" borderId="34" xfId="1" applyFont="1" applyBorder="1" applyAlignment="1">
      <alignment horizontal="center" vertical="center"/>
    </xf>
    <xf numFmtId="0" fontId="53" fillId="4" borderId="35" xfId="1" applyFont="1" applyFill="1" applyBorder="1" applyAlignment="1">
      <alignment horizontal="left" vertical="center"/>
    </xf>
    <xf numFmtId="41" fontId="57" fillId="0" borderId="34" xfId="1" applyNumberFormat="1" applyFont="1" applyBorder="1" applyAlignment="1">
      <alignment horizontal="right" vertical="center"/>
    </xf>
    <xf numFmtId="41" fontId="57" fillId="4" borderId="34" xfId="1" applyNumberFormat="1" applyFont="1" applyFill="1" applyBorder="1" applyAlignment="1">
      <alignment horizontal="right" vertical="center"/>
    </xf>
    <xf numFmtId="41" fontId="57" fillId="4" borderId="36" xfId="1" applyNumberFormat="1" applyFont="1" applyFill="1" applyBorder="1" applyAlignment="1">
      <alignment horizontal="right" vertical="center"/>
    </xf>
    <xf numFmtId="0" fontId="58" fillId="0" borderId="37" xfId="1" applyFont="1" applyBorder="1" applyAlignment="1">
      <alignment horizontal="left"/>
    </xf>
    <xf numFmtId="0" fontId="53" fillId="4" borderId="34" xfId="1" applyFont="1" applyFill="1" applyBorder="1" applyAlignment="1">
      <alignment horizontal="left" vertical="center" wrapText="1"/>
    </xf>
    <xf numFmtId="0" fontId="59" fillId="0" borderId="36" xfId="1" applyFont="1" applyBorder="1" applyAlignment="1">
      <alignment horizontal="left"/>
    </xf>
    <xf numFmtId="0" fontId="53" fillId="4" borderId="36" xfId="0" applyFont="1" applyFill="1" applyBorder="1" applyAlignment="1">
      <alignment horizontal="left" vertical="center" wrapText="1"/>
    </xf>
    <xf numFmtId="0" fontId="58" fillId="0" borderId="36" xfId="1" applyFont="1" applyBorder="1" applyAlignment="1">
      <alignment horizontal="left"/>
    </xf>
    <xf numFmtId="0" fontId="56" fillId="5" borderId="8" xfId="1" applyFont="1" applyFill="1" applyBorder="1" applyAlignment="1">
      <alignment horizontal="center" vertical="center"/>
    </xf>
    <xf numFmtId="0" fontId="27" fillId="5" borderId="8" xfId="1" applyFont="1" applyFill="1" applyBorder="1" applyAlignment="1">
      <alignment horizontal="left" vertical="center" wrapText="1"/>
    </xf>
    <xf numFmtId="41" fontId="57" fillId="5" borderId="8" xfId="1" applyNumberFormat="1" applyFont="1" applyFill="1" applyBorder="1" applyAlignment="1">
      <alignment horizontal="right" vertical="center"/>
    </xf>
    <xf numFmtId="0" fontId="60" fillId="5" borderId="8" xfId="1" applyFont="1" applyFill="1" applyBorder="1" applyAlignment="1">
      <alignment vertical="center"/>
    </xf>
    <xf numFmtId="0" fontId="62" fillId="5" borderId="31" xfId="1" applyFont="1" applyFill="1" applyBorder="1" applyAlignment="1">
      <alignment horizontal="center" vertical="center" wrapText="1"/>
    </xf>
    <xf numFmtId="0" fontId="62" fillId="5" borderId="32" xfId="1" applyFont="1" applyFill="1" applyBorder="1" applyAlignment="1">
      <alignment horizontal="center" vertical="center" wrapText="1"/>
    </xf>
    <xf numFmtId="0" fontId="62" fillId="5" borderId="33" xfId="1" applyFont="1" applyFill="1" applyBorder="1" applyAlignment="1">
      <alignment horizontal="center" vertical="center" wrapText="1"/>
    </xf>
    <xf numFmtId="0" fontId="53" fillId="0" borderId="38" xfId="1" applyFont="1" applyBorder="1" applyAlignment="1">
      <alignment vertical="center"/>
    </xf>
    <xf numFmtId="0" fontId="57" fillId="4" borderId="34" xfId="1" applyFont="1" applyFill="1" applyBorder="1" applyAlignment="1">
      <alignment horizontal="right" vertical="center"/>
    </xf>
    <xf numFmtId="41" fontId="57" fillId="5" borderId="39" xfId="1" applyNumberFormat="1" applyFont="1" applyFill="1" applyBorder="1" applyAlignment="1">
      <alignment horizontal="right" vertical="center"/>
    </xf>
    <xf numFmtId="0" fontId="27" fillId="0" borderId="38" xfId="1" applyFont="1" applyBorder="1" applyAlignment="1">
      <alignment horizontal="left"/>
    </xf>
    <xf numFmtId="41" fontId="47" fillId="14" borderId="1" xfId="1" applyNumberFormat="1" applyFont="1" applyFill="1" applyBorder="1" applyAlignment="1">
      <alignment vertical="center"/>
    </xf>
    <xf numFmtId="0" fontId="47" fillId="0" borderId="1" xfId="1" applyFont="1" applyBorder="1" applyAlignment="1">
      <alignment horizontal="center" vertical="center"/>
    </xf>
    <xf numFmtId="0" fontId="53" fillId="0" borderId="37" xfId="1" applyFont="1" applyBorder="1" applyAlignment="1">
      <alignment vertical="center"/>
    </xf>
    <xf numFmtId="0" fontId="27" fillId="0" borderId="37" xfId="1" applyFont="1" applyBorder="1" applyAlignment="1">
      <alignment horizontal="left"/>
    </xf>
    <xf numFmtId="0" fontId="53" fillId="0" borderId="34" xfId="1" applyFont="1" applyBorder="1" applyAlignment="1">
      <alignment vertical="center"/>
    </xf>
    <xf numFmtId="0" fontId="27" fillId="0" borderId="34" xfId="1" applyFont="1" applyBorder="1" applyAlignment="1">
      <alignment horizontal="left"/>
    </xf>
    <xf numFmtId="0" fontId="53" fillId="0" borderId="34" xfId="1" applyFont="1" applyBorder="1" applyAlignment="1">
      <alignment horizontal="left" vertical="center" wrapText="1"/>
    </xf>
    <xf numFmtId="0" fontId="63" fillId="4" borderId="40" xfId="0" applyFont="1" applyFill="1" applyBorder="1" applyAlignment="1">
      <alignment horizontal="left" wrapText="1"/>
    </xf>
    <xf numFmtId="0" fontId="53" fillId="0" borderId="34" xfId="0" applyFont="1" applyBorder="1" applyAlignment="1">
      <alignment horizontal="left" vertical="center" wrapText="1"/>
    </xf>
    <xf numFmtId="41" fontId="47" fillId="0" borderId="1" xfId="1" applyNumberFormat="1" applyFont="1" applyBorder="1" applyAlignment="1">
      <alignment horizontal="center" vertical="center"/>
    </xf>
    <xf numFmtId="0" fontId="53" fillId="4" borderId="41" xfId="0" applyFont="1" applyFill="1" applyBorder="1" applyAlignment="1">
      <alignment horizontal="left" vertical="center" wrapText="1"/>
    </xf>
    <xf numFmtId="0" fontId="27" fillId="5" borderId="22" xfId="1" applyFont="1" applyFill="1" applyBorder="1" applyAlignment="1">
      <alignment horizontal="left" vertical="center" wrapText="1"/>
    </xf>
    <xf numFmtId="0" fontId="64" fillId="0" borderId="0" xfId="1" applyFont="1" applyAlignment="1">
      <alignment vertical="center"/>
    </xf>
    <xf numFmtId="0" fontId="64" fillId="0" borderId="0" xfId="1" applyFont="1" applyAlignment="1">
      <alignment horizontal="center" vertical="center"/>
    </xf>
    <xf numFmtId="0" fontId="6" fillId="6" borderId="22" xfId="1" applyFill="1" applyBorder="1" applyAlignment="1">
      <alignment vertical="center"/>
    </xf>
    <xf numFmtId="0" fontId="54" fillId="6" borderId="8" xfId="1" applyFont="1" applyFill="1" applyBorder="1" applyAlignment="1">
      <alignment vertical="center"/>
    </xf>
    <xf numFmtId="41" fontId="65" fillId="6" borderId="8" xfId="1" applyNumberFormat="1" applyFont="1" applyFill="1" applyBorder="1" applyAlignment="1">
      <alignment vertical="center"/>
    </xf>
    <xf numFmtId="0" fontId="6" fillId="6" borderId="8" xfId="1" applyFill="1" applyBorder="1" applyAlignment="1">
      <alignment vertical="center"/>
    </xf>
    <xf numFmtId="0" fontId="53" fillId="4" borderId="37" xfId="1" applyFont="1" applyFill="1" applyBorder="1" applyAlignment="1">
      <alignment horizontal="center" vertical="center" wrapText="1"/>
    </xf>
    <xf numFmtId="41" fontId="57" fillId="4" borderId="34" xfId="1" applyNumberFormat="1" applyFont="1" applyFill="1" applyBorder="1" applyAlignment="1">
      <alignment vertical="center"/>
    </xf>
    <xf numFmtId="41" fontId="66" fillId="4" borderId="34" xfId="1" applyNumberFormat="1" applyFont="1" applyFill="1" applyBorder="1" applyAlignment="1">
      <alignment vertical="center"/>
    </xf>
    <xf numFmtId="41" fontId="55" fillId="5" borderId="34" xfId="1" applyNumberFormat="1" applyFont="1" applyFill="1" applyBorder="1" applyAlignment="1">
      <alignment horizontal="right" vertical="center" wrapText="1"/>
    </xf>
    <xf numFmtId="14" fontId="6" fillId="0" borderId="0" xfId="1" applyNumberFormat="1" applyAlignment="1">
      <alignment vertical="center"/>
    </xf>
    <xf numFmtId="0" fontId="47" fillId="0" borderId="1" xfId="1" quotePrefix="1" applyFont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33" fillId="4" borderId="0" xfId="0" applyFont="1" applyFill="1" applyAlignment="1">
      <alignment vertical="center" wrapText="1"/>
    </xf>
    <xf numFmtId="0" fontId="36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20" fontId="70" fillId="8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20" fontId="24" fillId="0" borderId="3" xfId="0" applyNumberFormat="1" applyFont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41" fontId="0" fillId="0" borderId="0" xfId="0" applyNumberFormat="1"/>
    <xf numFmtId="41" fontId="42" fillId="4" borderId="12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0" fillId="0" borderId="1" xfId="0" applyBorder="1"/>
    <xf numFmtId="0" fontId="19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0" fontId="70" fillId="8" borderId="3" xfId="0" applyNumberFormat="1" applyFont="1" applyFill="1" applyBorder="1" applyAlignment="1">
      <alignment horizontal="left" vertical="center"/>
    </xf>
    <xf numFmtId="0" fontId="23" fillId="4" borderId="0" xfId="0" applyFont="1" applyFill="1" applyAlignment="1">
      <alignment horizontal="center" vertical="center"/>
    </xf>
    <xf numFmtId="0" fontId="72" fillId="0" borderId="1" xfId="0" applyFont="1" applyBorder="1" applyAlignment="1">
      <alignment horizontal="left" vertical="center" wrapText="1"/>
    </xf>
    <xf numFmtId="0" fontId="2" fillId="0" borderId="34" xfId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20" fontId="24" fillId="15" borderId="3" xfId="0" applyNumberFormat="1" applyFont="1" applyFill="1" applyBorder="1" applyAlignment="1">
      <alignment horizontal="left" vertical="center"/>
    </xf>
    <xf numFmtId="0" fontId="19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vertical="center"/>
    </xf>
    <xf numFmtId="0" fontId="17" fillId="0" borderId="1" xfId="2" applyFont="1" applyBorder="1" applyAlignment="1">
      <alignment horizontal="center" vertical="center"/>
    </xf>
    <xf numFmtId="0" fontId="22" fillId="14" borderId="5" xfId="0" applyFont="1" applyFill="1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2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20" fontId="18" fillId="4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20" fontId="25" fillId="0" borderId="3" xfId="0" applyNumberFormat="1" applyFont="1" applyBorder="1" applyAlignment="1">
      <alignment horizontal="left" vertical="center"/>
    </xf>
    <xf numFmtId="20" fontId="18" fillId="8" borderId="3" xfId="0" applyNumberFormat="1" applyFont="1" applyFill="1" applyBorder="1" applyAlignment="1">
      <alignment horizontal="left" vertical="center"/>
    </xf>
    <xf numFmtId="0" fontId="22" fillId="14" borderId="3" xfId="0" applyFont="1" applyFill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/>
    </xf>
    <xf numFmtId="41" fontId="0" fillId="0" borderId="0" xfId="0" applyNumberFormat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14" borderId="4" xfId="0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left" vertical="center"/>
    </xf>
    <xf numFmtId="0" fontId="42" fillId="4" borderId="8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vertical="center"/>
    </xf>
    <xf numFmtId="0" fontId="72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2" fillId="4" borderId="1" xfId="0" applyFont="1" applyFill="1" applyBorder="1" applyAlignment="1">
      <alignment horizontal="left" vertical="center"/>
    </xf>
    <xf numFmtId="0" fontId="74" fillId="0" borderId="22" xfId="0" applyFont="1" applyBorder="1" applyAlignment="1">
      <alignment horizontal="center" vertical="center"/>
    </xf>
    <xf numFmtId="20" fontId="24" fillId="4" borderId="1" xfId="0" applyNumberFormat="1" applyFont="1" applyFill="1" applyBorder="1" applyAlignment="1">
      <alignment horizontal="left" vertical="center"/>
    </xf>
    <xf numFmtId="20" fontId="25" fillId="4" borderId="1" xfId="0" applyNumberFormat="1" applyFont="1" applyFill="1" applyBorder="1" applyAlignment="1">
      <alignment horizontal="left" vertical="center"/>
    </xf>
    <xf numFmtId="20" fontId="18" fillId="0" borderId="3" xfId="0" applyNumberFormat="1" applyFont="1" applyBorder="1" applyAlignment="1">
      <alignment horizontal="left" vertical="center"/>
    </xf>
    <xf numFmtId="20" fontId="18" fillId="4" borderId="3" xfId="0" applyNumberFormat="1" applyFont="1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61" fillId="0" borderId="1" xfId="1" applyFont="1" applyBorder="1" applyAlignment="1">
      <alignment horizontal="center" vertical="center" wrapText="1"/>
    </xf>
    <xf numFmtId="0" fontId="67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48" fillId="5" borderId="23" xfId="1" applyFont="1" applyFill="1" applyBorder="1" applyAlignment="1">
      <alignment horizontal="center" vertical="center"/>
    </xf>
    <xf numFmtId="0" fontId="48" fillId="5" borderId="24" xfId="1" applyFont="1" applyFill="1" applyBorder="1" applyAlignment="1">
      <alignment horizontal="center" vertical="center"/>
    </xf>
    <xf numFmtId="0" fontId="27" fillId="5" borderId="23" xfId="1" applyFont="1" applyFill="1" applyBorder="1" applyAlignment="1">
      <alignment horizontal="center" vertical="center"/>
    </xf>
    <xf numFmtId="0" fontId="27" fillId="5" borderId="17" xfId="1" applyFont="1" applyFill="1" applyBorder="1" applyAlignment="1">
      <alignment horizontal="center" vertical="center"/>
    </xf>
    <xf numFmtId="0" fontId="27" fillId="5" borderId="24" xfId="1" applyFont="1" applyFill="1" applyBorder="1" applyAlignment="1">
      <alignment horizontal="center" vertical="center"/>
    </xf>
    <xf numFmtId="0" fontId="50" fillId="5" borderId="15" xfId="1" applyFont="1" applyFill="1" applyBorder="1" applyAlignment="1">
      <alignment horizontal="center" vertical="center"/>
    </xf>
    <xf numFmtId="0" fontId="50" fillId="5" borderId="17" xfId="1" applyFont="1" applyFill="1" applyBorder="1" applyAlignment="1">
      <alignment horizontal="center" vertical="center"/>
    </xf>
    <xf numFmtId="0" fontId="50" fillId="5" borderId="24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22" fillId="14" borderId="3" xfId="0" applyFont="1" applyFill="1" applyBorder="1" applyAlignment="1">
      <alignment horizontal="right" vertical="center"/>
    </xf>
    <xf numFmtId="0" fontId="22" fillId="14" borderId="4" xfId="0" applyFont="1" applyFill="1" applyBorder="1" applyAlignment="1">
      <alignment horizontal="right" vertical="center"/>
    </xf>
    <xf numFmtId="0" fontId="22" fillId="14" borderId="5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40" fillId="2" borderId="15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20" fontId="70" fillId="4" borderId="1" xfId="0" applyNumberFormat="1" applyFont="1" applyFill="1" applyBorder="1" applyAlignment="1">
      <alignment horizontal="left" vertical="center"/>
    </xf>
  </cellXfs>
  <cellStyles count="4">
    <cellStyle name="Îáû÷íûé_Ëèñò1 (2)_0597BRD" xfId="2" xr:uid="{00000000-0005-0000-0000-000000000000}"/>
    <cellStyle name="Normal 2" xfId="1" xr:uid="{00000000-0005-0000-0000-000001000000}"/>
    <cellStyle name="Обычный" xfId="0" builtinId="0"/>
    <cellStyle name="Обычный 2" xfId="3" xr:uid="{00000000-0005-0000-0000-000003000000}"/>
  </cellStyles>
  <dxfs count="2576"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  <fill>
        <patternFill>
          <f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opLeftCell="A16" workbookViewId="0">
      <selection activeCell="C77" sqref="C77"/>
    </sheetView>
  </sheetViews>
  <sheetFormatPr defaultRowHeight="15"/>
  <cols>
    <col min="1" max="1" width="6.140625" customWidth="1"/>
    <col min="2" max="2" width="32.28515625" bestFit="1" customWidth="1"/>
    <col min="3" max="3" width="11.28515625" customWidth="1"/>
  </cols>
  <sheetData>
    <row r="1" spans="1:5" ht="30">
      <c r="A1" s="178" t="s">
        <v>679</v>
      </c>
      <c r="B1" s="179" t="s">
        <v>9</v>
      </c>
      <c r="C1" s="180" t="s">
        <v>735</v>
      </c>
      <c r="D1" s="180" t="s">
        <v>736</v>
      </c>
      <c r="E1" s="181">
        <f>+C80</f>
        <v>987</v>
      </c>
    </row>
    <row r="2" spans="1:5">
      <c r="A2" s="182">
        <v>1</v>
      </c>
      <c r="B2" s="183" t="s">
        <v>259</v>
      </c>
      <c r="C2" s="182">
        <f>COUNTIF(IPPODROM!E:E,'Meslek Sayi'!B:B)</f>
        <v>43</v>
      </c>
    </row>
    <row r="3" spans="1:5">
      <c r="A3" s="182">
        <v>2</v>
      </c>
      <c r="B3" s="183" t="s">
        <v>260</v>
      </c>
      <c r="C3" s="182">
        <f>COUNTIF(IPPODROM!E:E,'Meslek Sayi'!B:B)</f>
        <v>59</v>
      </c>
    </row>
    <row r="4" spans="1:5">
      <c r="A4" s="182">
        <v>3</v>
      </c>
      <c r="B4" s="183" t="s">
        <v>144</v>
      </c>
      <c r="C4" s="182">
        <f>COUNTIF(IPPODROM!E:E,'Meslek Sayi'!B:B)</f>
        <v>6</v>
      </c>
    </row>
    <row r="5" spans="1:5">
      <c r="A5" s="182">
        <v>4</v>
      </c>
      <c r="B5" s="183" t="s">
        <v>124</v>
      </c>
      <c r="C5" s="182">
        <f>COUNTIF(IPPODROM!E:E,'Meslek Sayi'!B:B)</f>
        <v>1</v>
      </c>
    </row>
    <row r="6" spans="1:5">
      <c r="A6" s="182">
        <v>5</v>
      </c>
      <c r="B6" s="183" t="s">
        <v>126</v>
      </c>
      <c r="C6" s="182">
        <f>COUNTIF(IPPODROM!E:E,'Meslek Sayi'!B:B)</f>
        <v>16</v>
      </c>
    </row>
    <row r="7" spans="1:5">
      <c r="A7" s="182">
        <v>6</v>
      </c>
      <c r="B7" s="183" t="s">
        <v>25</v>
      </c>
      <c r="C7" s="182">
        <f>COUNTIF(IPPODROM!E:E,'Meslek Sayi'!B:B)</f>
        <v>1</v>
      </c>
    </row>
    <row r="8" spans="1:5">
      <c r="A8" s="182">
        <v>7</v>
      </c>
      <c r="B8" s="183" t="s">
        <v>73</v>
      </c>
      <c r="C8" s="182">
        <f>COUNTIF(IPPODROM!E:E,'Meslek Sayi'!B:B)</f>
        <v>0</v>
      </c>
    </row>
    <row r="9" spans="1:5">
      <c r="A9" s="182">
        <v>8</v>
      </c>
      <c r="B9" s="183" t="s">
        <v>49</v>
      </c>
      <c r="C9" s="182">
        <f>COUNTIF(IPPODROM!E:E,'Meslek Sayi'!B:B)</f>
        <v>0</v>
      </c>
    </row>
    <row r="10" spans="1:5">
      <c r="A10" s="182">
        <v>9</v>
      </c>
      <c r="B10" s="183" t="s">
        <v>96</v>
      </c>
      <c r="C10" s="182">
        <f>COUNTIF(IPPODROM!E:E,'Meslek Sayi'!B:B)</f>
        <v>20</v>
      </c>
    </row>
    <row r="11" spans="1:5">
      <c r="A11" s="182">
        <v>10</v>
      </c>
      <c r="B11" s="183" t="s">
        <v>92</v>
      </c>
      <c r="C11" s="182">
        <f>COUNTIF(IPPODROM!E:E,'Meslek Sayi'!B:B)</f>
        <v>3</v>
      </c>
    </row>
    <row r="12" spans="1:5">
      <c r="A12" s="182">
        <v>11</v>
      </c>
      <c r="B12" s="183" t="s">
        <v>589</v>
      </c>
      <c r="C12" s="182">
        <f>COUNTIF(IPPODROM!E:E,'Meslek Sayi'!B:B)</f>
        <v>4</v>
      </c>
    </row>
    <row r="13" spans="1:5">
      <c r="A13" s="182">
        <v>12</v>
      </c>
      <c r="B13" s="183" t="s">
        <v>737</v>
      </c>
      <c r="C13" s="182">
        <f>COUNTIF(IPPODROM!E:E,'Meslek Sayi'!B:B)</f>
        <v>0</v>
      </c>
    </row>
    <row r="14" spans="1:5">
      <c r="A14" s="182">
        <v>13</v>
      </c>
      <c r="B14" s="183" t="s">
        <v>348</v>
      </c>
      <c r="C14" s="182">
        <f>COUNTIF(IPPODROM!E:E,'Meslek Sayi'!B:B)</f>
        <v>24</v>
      </c>
    </row>
    <row r="15" spans="1:5">
      <c r="A15" s="182">
        <v>14</v>
      </c>
      <c r="B15" s="183" t="s">
        <v>505</v>
      </c>
      <c r="C15" s="182">
        <f>COUNTIF(IPPODROM!E:E,'Meslek Sayi'!B:B)</f>
        <v>25</v>
      </c>
    </row>
    <row r="16" spans="1:5">
      <c r="A16" s="182">
        <v>15</v>
      </c>
      <c r="B16" s="183" t="s">
        <v>533</v>
      </c>
      <c r="C16" s="182">
        <f>COUNTIF(IPPODROM!E:E,'Meslek Sayi'!B:B)</f>
        <v>45</v>
      </c>
    </row>
    <row r="17" spans="1:3">
      <c r="A17" s="182">
        <v>16</v>
      </c>
      <c r="B17" s="183" t="s">
        <v>570</v>
      </c>
      <c r="C17" s="182">
        <f>COUNTIF(IPPODROM!E:E,'Meslek Sayi'!B:B)</f>
        <v>0</v>
      </c>
    </row>
    <row r="18" spans="1:3">
      <c r="A18" s="182">
        <v>17</v>
      </c>
      <c r="B18" s="183" t="s">
        <v>586</v>
      </c>
      <c r="C18" s="182">
        <f>COUNTIF(IPPODROM!E:E,'Meslek Sayi'!B:B)</f>
        <v>1</v>
      </c>
    </row>
    <row r="19" spans="1:3">
      <c r="A19" s="182">
        <v>18</v>
      </c>
      <c r="B19" s="183" t="s">
        <v>349</v>
      </c>
      <c r="C19" s="182">
        <f>COUNTIF(IPPODROM!E:E,'Meslek Sayi'!B:B)</f>
        <v>22</v>
      </c>
    </row>
    <row r="20" spans="1:3">
      <c r="A20" s="182">
        <v>19</v>
      </c>
      <c r="B20" s="183" t="s">
        <v>261</v>
      </c>
      <c r="C20" s="182">
        <f>COUNTIF(IPPODROM!E:E,'Meslek Sayi'!B:B)</f>
        <v>80</v>
      </c>
    </row>
    <row r="21" spans="1:3">
      <c r="A21" s="182">
        <v>20</v>
      </c>
      <c r="B21" s="183" t="s">
        <v>165</v>
      </c>
      <c r="C21" s="182">
        <f>COUNTIF(IPPODROM!E:E,'Meslek Sayi'!B:B)</f>
        <v>40</v>
      </c>
    </row>
    <row r="22" spans="1:3">
      <c r="A22" s="182">
        <v>21</v>
      </c>
      <c r="B22" s="183" t="s">
        <v>738</v>
      </c>
      <c r="C22" s="182">
        <f>COUNTIF(IPPODROM!E:E,'Meslek Sayi'!B:B)</f>
        <v>0</v>
      </c>
    </row>
    <row r="23" spans="1:3">
      <c r="A23" s="182">
        <v>22</v>
      </c>
      <c r="B23" s="183" t="s">
        <v>47</v>
      </c>
      <c r="C23" s="182">
        <f>COUNTIF(IPPODROM!E:E,'Meslek Sayi'!B:B)</f>
        <v>3</v>
      </c>
    </row>
    <row r="24" spans="1:3">
      <c r="A24" s="182">
        <v>23</v>
      </c>
      <c r="B24" s="183" t="s">
        <v>175</v>
      </c>
      <c r="C24" s="182">
        <f>COUNTIF(IPPODROM!E:E,'Meslek Sayi'!B:B)</f>
        <v>20</v>
      </c>
    </row>
    <row r="25" spans="1:3">
      <c r="A25" s="182">
        <v>24</v>
      </c>
      <c r="B25" s="183" t="s">
        <v>739</v>
      </c>
      <c r="C25" s="182">
        <f>COUNTIF(IPPODROM!E:E,'Meslek Sayi'!B:B)</f>
        <v>0</v>
      </c>
    </row>
    <row r="26" spans="1:3">
      <c r="A26" s="182">
        <v>25</v>
      </c>
      <c r="B26" s="183" t="s">
        <v>42</v>
      </c>
      <c r="C26" s="182">
        <f>COUNTIF(IPPODROM!E:E,'Meslek Sayi'!B:B)</f>
        <v>1</v>
      </c>
    </row>
    <row r="27" spans="1:3">
      <c r="A27" s="182">
        <v>26</v>
      </c>
      <c r="B27" s="183" t="s">
        <v>46</v>
      </c>
      <c r="C27" s="182">
        <f>COUNTIF(IPPODROM!E:E,'Meslek Sayi'!B:B)</f>
        <v>1</v>
      </c>
    </row>
    <row r="28" spans="1:3">
      <c r="A28" s="182">
        <v>27</v>
      </c>
      <c r="B28" s="183" t="s">
        <v>187</v>
      </c>
      <c r="C28" s="182">
        <f>COUNTIF(IPPODROM!E:E,'Meslek Sayi'!B:B)</f>
        <v>186</v>
      </c>
    </row>
    <row r="29" spans="1:3">
      <c r="A29" s="182">
        <v>28</v>
      </c>
      <c r="B29" s="183" t="s">
        <v>16</v>
      </c>
      <c r="C29" s="182">
        <f>COUNTIF(IPPODROM!E:E,'Meslek Sayi'!B:B)</f>
        <v>0</v>
      </c>
    </row>
    <row r="30" spans="1:3">
      <c r="A30" s="182">
        <v>29</v>
      </c>
      <c r="B30" s="183" t="s">
        <v>510</v>
      </c>
      <c r="C30" s="182">
        <f>COUNTIF(IPPODROM!E:E,'Meslek Sayi'!B:B)</f>
        <v>6</v>
      </c>
    </row>
    <row r="31" spans="1:3">
      <c r="A31" s="182">
        <v>30</v>
      </c>
      <c r="B31" s="183" t="s">
        <v>509</v>
      </c>
      <c r="C31" s="182">
        <f>COUNTIF(IPPODROM!E:E,'Meslek Sayi'!B:B)</f>
        <v>1</v>
      </c>
    </row>
    <row r="32" spans="1:3">
      <c r="A32" s="182">
        <v>31</v>
      </c>
      <c r="B32" s="183" t="s">
        <v>246</v>
      </c>
      <c r="C32" s="182">
        <f>COUNTIF(IPPODROM!E:E,'Meslek Sayi'!B:B)</f>
        <v>58</v>
      </c>
    </row>
    <row r="33" spans="1:3">
      <c r="A33" s="182">
        <v>32</v>
      </c>
      <c r="B33" s="183" t="s">
        <v>113</v>
      </c>
      <c r="C33" s="182">
        <f>COUNTIF(IPPODROM!E:E,'Meslek Sayi'!B:B)</f>
        <v>9</v>
      </c>
    </row>
    <row r="34" spans="1:3">
      <c r="A34" s="182">
        <v>33</v>
      </c>
      <c r="B34" s="183" t="s">
        <v>75</v>
      </c>
      <c r="C34" s="182">
        <f>COUNTIF(IPPODROM!E:E,'Meslek Sayi'!B:B)</f>
        <v>2</v>
      </c>
    </row>
    <row r="35" spans="1:3">
      <c r="A35" s="182">
        <v>34</v>
      </c>
      <c r="B35" s="183" t="s">
        <v>256</v>
      </c>
      <c r="C35" s="182">
        <f>COUNTIF(IPPODROM!E:E,'Meslek Sayi'!B:B)</f>
        <v>16</v>
      </c>
    </row>
    <row r="36" spans="1:3">
      <c r="A36" s="182">
        <v>35</v>
      </c>
      <c r="B36" s="183" t="s">
        <v>254</v>
      </c>
      <c r="C36" s="182">
        <f>COUNTIF(IPPODROM!E:E,'Meslek Sayi'!B:B)</f>
        <v>2</v>
      </c>
    </row>
    <row r="37" spans="1:3">
      <c r="A37" s="182">
        <v>36</v>
      </c>
      <c r="B37" s="183" t="s">
        <v>36</v>
      </c>
      <c r="C37" s="182">
        <f>COUNTIF(IPPODROM!E:E,'Meslek Sayi'!B:B)</f>
        <v>4</v>
      </c>
    </row>
    <row r="38" spans="1:3">
      <c r="A38" s="182">
        <v>37</v>
      </c>
      <c r="B38" s="183" t="s">
        <v>32</v>
      </c>
      <c r="C38" s="182">
        <f>COUNTIF(IPPODROM!E:E,'Meslek Sayi'!B:B)</f>
        <v>1</v>
      </c>
    </row>
    <row r="39" spans="1:3">
      <c r="A39" s="182">
        <v>38</v>
      </c>
      <c r="B39" s="183" t="s">
        <v>160</v>
      </c>
      <c r="C39" s="182">
        <f>COUNTIF(IPPODROM!E:E,'Meslek Sayi'!B:B)</f>
        <v>0</v>
      </c>
    </row>
    <row r="40" spans="1:3">
      <c r="A40" s="182">
        <v>39</v>
      </c>
      <c r="B40" s="183" t="s">
        <v>161</v>
      </c>
      <c r="C40" s="182">
        <f>COUNTIF(IPPODROM!E:E,'Meslek Sayi'!B:B)</f>
        <v>4</v>
      </c>
    </row>
    <row r="41" spans="1:3">
      <c r="A41" s="182">
        <v>40</v>
      </c>
      <c r="B41" s="183" t="s">
        <v>158</v>
      </c>
      <c r="C41" s="182">
        <f>COUNTIF(IPPODROM!E:E,'Meslek Sayi'!B:B)</f>
        <v>1</v>
      </c>
    </row>
    <row r="42" spans="1:3">
      <c r="A42" s="182">
        <v>41</v>
      </c>
      <c r="B42" s="183" t="s">
        <v>159</v>
      </c>
      <c r="C42" s="182">
        <f>COUNTIF(IPPODROM!E:E,'Meslek Sayi'!B:B)</f>
        <v>0</v>
      </c>
    </row>
    <row r="43" spans="1:3">
      <c r="A43" s="182">
        <v>42</v>
      </c>
      <c r="B43" s="183" t="s">
        <v>298</v>
      </c>
      <c r="C43" s="182">
        <f>COUNTIF(IPPODROM!E:E,'Meslek Sayi'!B:B)</f>
        <v>19</v>
      </c>
    </row>
    <row r="44" spans="1:3">
      <c r="A44" s="182">
        <v>43</v>
      </c>
      <c r="B44" s="183" t="s">
        <v>532</v>
      </c>
      <c r="C44" s="182">
        <f>COUNTIF(IPPODROM!E:E,'Meslek Sayi'!B:B)</f>
        <v>23</v>
      </c>
    </row>
    <row r="45" spans="1:3">
      <c r="A45" s="182">
        <v>44</v>
      </c>
      <c r="B45" s="183" t="s">
        <v>567</v>
      </c>
      <c r="C45" s="182">
        <f>COUNTIF(IPPODROM!E:E,'Meslek Sayi'!B:B)</f>
        <v>1</v>
      </c>
    </row>
    <row r="46" spans="1:3">
      <c r="A46" s="182">
        <v>45</v>
      </c>
      <c r="B46" s="183" t="s">
        <v>512</v>
      </c>
      <c r="C46" s="182">
        <f>COUNTIF(IPPODROM!E:E,'Meslek Sayi'!B:B)</f>
        <v>45</v>
      </c>
    </row>
    <row r="47" spans="1:3">
      <c r="A47" s="182">
        <v>46</v>
      </c>
      <c r="B47" s="183" t="s">
        <v>162</v>
      </c>
      <c r="C47" s="182">
        <f>COUNTIF(IPPODROM!E:E,'Meslek Sayi'!B:B)</f>
        <v>44</v>
      </c>
    </row>
    <row r="48" spans="1:3">
      <c r="A48" s="182">
        <v>47</v>
      </c>
      <c r="B48" s="183" t="s">
        <v>48</v>
      </c>
      <c r="C48" s="182">
        <f>COUNTIF(IPPODROM!E:E,'Meslek Sayi'!B:B)</f>
        <v>0</v>
      </c>
    </row>
    <row r="49" spans="1:3">
      <c r="A49" s="182">
        <v>48</v>
      </c>
      <c r="B49" s="183" t="s">
        <v>74</v>
      </c>
      <c r="C49" s="182">
        <f>COUNTIF(IPPODROM!E:E,'Meslek Sayi'!B:B)</f>
        <v>1</v>
      </c>
    </row>
    <row r="50" spans="1:3">
      <c r="A50" s="182">
        <v>49</v>
      </c>
      <c r="B50" s="183" t="s">
        <v>149</v>
      </c>
      <c r="C50" s="182">
        <f>COUNTIF(IPPODROM!E:E,'Meslek Sayi'!B:B)</f>
        <v>1</v>
      </c>
    </row>
    <row r="51" spans="1:3">
      <c r="A51" s="182">
        <v>50</v>
      </c>
      <c r="B51" s="183" t="s">
        <v>108</v>
      </c>
      <c r="C51" s="182">
        <f>COUNTIF(IPPODROM!E:E,'Meslek Sayi'!B:B)</f>
        <v>3</v>
      </c>
    </row>
    <row r="52" spans="1:3">
      <c r="A52" s="182">
        <v>51</v>
      </c>
      <c r="B52" s="183" t="s">
        <v>524</v>
      </c>
      <c r="C52" s="182">
        <f>COUNTIF(IPPODROM!E:E,'Meslek Sayi'!B:B)</f>
        <v>5</v>
      </c>
    </row>
    <row r="53" spans="1:3">
      <c r="A53" s="182">
        <v>52</v>
      </c>
      <c r="B53" s="183" t="s">
        <v>52</v>
      </c>
      <c r="C53" s="182">
        <f>COUNTIF(IPPODROM!E:E,'Meslek Sayi'!B:B)</f>
        <v>7</v>
      </c>
    </row>
    <row r="54" spans="1:3">
      <c r="A54" s="182">
        <v>53</v>
      </c>
      <c r="B54" s="183" t="s">
        <v>55</v>
      </c>
      <c r="C54" s="182">
        <f>COUNTIF(IPPODROM!E:E,'Meslek Sayi'!B:B)</f>
        <v>0</v>
      </c>
    </row>
    <row r="55" spans="1:3">
      <c r="A55" s="182">
        <v>54</v>
      </c>
      <c r="B55" s="183" t="s">
        <v>57</v>
      </c>
      <c r="C55" s="182">
        <f>COUNTIF(IPPODROM!E:E,'Meslek Sayi'!B:B)</f>
        <v>1</v>
      </c>
    </row>
    <row r="56" spans="1:3">
      <c r="A56" s="182">
        <v>55</v>
      </c>
      <c r="B56" s="183" t="s">
        <v>65</v>
      </c>
      <c r="C56" s="182">
        <f>COUNTIF(IPPODROM!E:E,'Meslek Sayi'!B:B)</f>
        <v>2</v>
      </c>
    </row>
    <row r="57" spans="1:3">
      <c r="A57" s="182">
        <v>56</v>
      </c>
      <c r="B57" s="183" t="s">
        <v>56</v>
      </c>
      <c r="C57" s="182">
        <f>COUNTIF(IPPODROM!E:E,'Meslek Sayi'!B:B)</f>
        <v>1</v>
      </c>
    </row>
    <row r="58" spans="1:3">
      <c r="A58" s="182">
        <v>57</v>
      </c>
      <c r="B58" s="183" t="s">
        <v>15</v>
      </c>
      <c r="C58" s="182">
        <f>COUNTIF(IPPODROM!E:E,'Meslek Sayi'!B:B)</f>
        <v>3</v>
      </c>
    </row>
    <row r="59" spans="1:3">
      <c r="A59" s="182">
        <v>58</v>
      </c>
      <c r="B59" s="183" t="s">
        <v>18</v>
      </c>
      <c r="C59" s="182">
        <f>COUNTIF(IPPODROM!E:E,'Meslek Sayi'!B:B)</f>
        <v>0</v>
      </c>
    </row>
    <row r="60" spans="1:3">
      <c r="A60" s="182">
        <v>59</v>
      </c>
      <c r="B60" s="183" t="s">
        <v>50</v>
      </c>
      <c r="C60" s="182">
        <f>COUNTIF(IPPODROM!E:E,'Meslek Sayi'!B:B)</f>
        <v>3</v>
      </c>
    </row>
    <row r="61" spans="1:3">
      <c r="A61" s="182">
        <v>60</v>
      </c>
      <c r="B61" s="183" t="s">
        <v>51</v>
      </c>
      <c r="C61" s="182">
        <f>COUNTIF(IPPODROM!E:E,'Meslek Sayi'!B:B)</f>
        <v>0</v>
      </c>
    </row>
    <row r="62" spans="1:3">
      <c r="A62" s="182">
        <v>61</v>
      </c>
      <c r="B62" s="183" t="s">
        <v>69</v>
      </c>
      <c r="C62" s="182">
        <f>COUNTIF(IPPODROM!E:E,'Meslek Sayi'!B:B)</f>
        <v>1</v>
      </c>
    </row>
    <row r="63" spans="1:3">
      <c r="A63" s="182">
        <v>62</v>
      </c>
      <c r="B63" s="183" t="s">
        <v>521</v>
      </c>
      <c r="C63" s="182">
        <f>COUNTIF(IPPODROM!E:E,'Meslek Sayi'!B:B)</f>
        <v>5</v>
      </c>
    </row>
    <row r="64" spans="1:3">
      <c r="A64" s="182">
        <v>63</v>
      </c>
      <c r="B64" s="183" t="s">
        <v>33</v>
      </c>
      <c r="C64" s="182">
        <f>COUNTIF(IPPODROM!E:E,'Meslek Sayi'!B:B)</f>
        <v>2</v>
      </c>
    </row>
    <row r="65" spans="1:3">
      <c r="A65" s="182">
        <v>64</v>
      </c>
      <c r="B65" s="183" t="s">
        <v>26</v>
      </c>
      <c r="C65" s="182">
        <f>COUNTIF(IPPODROM!E:E,'Meslek Sayi'!B:B)</f>
        <v>1</v>
      </c>
    </row>
    <row r="66" spans="1:3">
      <c r="A66" s="182">
        <v>65</v>
      </c>
      <c r="B66" s="183" t="s">
        <v>71</v>
      </c>
      <c r="C66" s="182">
        <f>COUNTIF(IPPODROM!E:E,'Meslek Sayi'!B:B)</f>
        <v>2</v>
      </c>
    </row>
    <row r="67" spans="1:3">
      <c r="A67" s="182">
        <v>66</v>
      </c>
      <c r="B67" s="183" t="s">
        <v>150</v>
      </c>
      <c r="C67" s="182">
        <f>COUNTIF(IPPODROM!E:E,'Meslek Sayi'!B:B)</f>
        <v>9</v>
      </c>
    </row>
    <row r="68" spans="1:3">
      <c r="A68" s="182">
        <v>67</v>
      </c>
      <c r="B68" s="183" t="s">
        <v>299</v>
      </c>
      <c r="C68" s="182">
        <f>COUNTIF(IPPODROM!E:E,'Meslek Sayi'!B:B)</f>
        <v>11</v>
      </c>
    </row>
    <row r="69" spans="1:3">
      <c r="A69" s="182">
        <v>68</v>
      </c>
      <c r="B69" s="183" t="s">
        <v>311</v>
      </c>
      <c r="C69" s="182">
        <f>COUNTIF(IPPODROM!E:E,'Meslek Sayi'!B:B)</f>
        <v>0</v>
      </c>
    </row>
    <row r="70" spans="1:3">
      <c r="A70" s="182">
        <v>69</v>
      </c>
      <c r="B70" s="183" t="s">
        <v>27</v>
      </c>
      <c r="C70" s="182">
        <f>COUNTIF(IPPODROM!E:E,'Meslek Sayi'!B:B)</f>
        <v>2</v>
      </c>
    </row>
    <row r="71" spans="1:3">
      <c r="A71" s="182">
        <v>70</v>
      </c>
      <c r="B71" s="183" t="s">
        <v>77</v>
      </c>
      <c r="C71" s="182">
        <f>COUNTIF(IPPODROM!E:E,'Meslek Sayi'!B:B)</f>
        <v>9</v>
      </c>
    </row>
    <row r="72" spans="1:3">
      <c r="A72" s="182">
        <v>71</v>
      </c>
      <c r="B72" s="183" t="s">
        <v>536</v>
      </c>
      <c r="C72" s="182">
        <f>COUNTIF(IPPODROM!E:E,'Meslek Sayi'!B:B)</f>
        <v>1</v>
      </c>
    </row>
    <row r="73" spans="1:3">
      <c r="A73" s="182">
        <v>72</v>
      </c>
      <c r="B73" s="183" t="s">
        <v>23</v>
      </c>
      <c r="C73" s="182">
        <f>COUNTIF(IPPODROM!E:E,'Meslek Sayi'!B:B)</f>
        <v>1</v>
      </c>
    </row>
    <row r="74" spans="1:3">
      <c r="A74" s="182">
        <v>73</v>
      </c>
      <c r="B74" s="183" t="s">
        <v>20</v>
      </c>
      <c r="C74" s="182">
        <f>COUNTIF(IPPODROM!E:E,'Meslek Sayi'!B:B)</f>
        <v>1</v>
      </c>
    </row>
    <row r="75" spans="1:3">
      <c r="A75" s="182">
        <v>74</v>
      </c>
      <c r="B75" s="183" t="s">
        <v>224</v>
      </c>
      <c r="C75" s="182">
        <f>COUNTIF(IPPODROM!E:E,'Meslek Sayi'!B:B)</f>
        <v>67</v>
      </c>
    </row>
    <row r="76" spans="1:3">
      <c r="A76" s="182">
        <v>75</v>
      </c>
      <c r="B76" s="183" t="s">
        <v>223</v>
      </c>
      <c r="C76" s="182">
        <f>COUNTIF(IPPODROM!E:E,'Meslek Sayi'!B:B)</f>
        <v>5</v>
      </c>
    </row>
    <row r="77" spans="1:3">
      <c r="A77" s="182">
        <v>76</v>
      </c>
      <c r="B77" s="183" t="s">
        <v>222</v>
      </c>
      <c r="C77" s="182">
        <f>COUNTIF(IPPODROM!E:E,'Meslek Sayi'!B:B)</f>
        <v>0</v>
      </c>
    </row>
    <row r="78" spans="1:3">
      <c r="A78" s="182">
        <v>77</v>
      </c>
      <c r="B78" s="183" t="s">
        <v>139</v>
      </c>
      <c r="C78" s="182">
        <f>COUNTIF(IPPODROM!E:E,'Meslek Sayi'!B:B)</f>
        <v>5</v>
      </c>
    </row>
    <row r="79" spans="1:3">
      <c r="A79" s="182">
        <v>78</v>
      </c>
      <c r="B79" s="183" t="s">
        <v>365</v>
      </c>
      <c r="C79" s="182">
        <f>COUNTIF(IPPODROM!E:E,'Meslek Sayi'!B:B)</f>
        <v>1</v>
      </c>
    </row>
    <row r="80" spans="1:3">
      <c r="A80" s="249" t="s">
        <v>740</v>
      </c>
      <c r="B80" s="249"/>
      <c r="C80" s="184">
        <f>SUM(C2:C79)</f>
        <v>987</v>
      </c>
    </row>
  </sheetData>
  <mergeCells count="1">
    <mergeCell ref="A80:B80"/>
  </mergeCells>
  <conditionalFormatting sqref="A1">
    <cfRule type="duplicateValues" dxfId="2575" priority="6"/>
    <cfRule type="duplicateValues" dxfId="2574" priority="7"/>
  </conditionalFormatting>
  <conditionalFormatting sqref="B1">
    <cfRule type="duplicateValues" dxfId="2573" priority="8"/>
    <cfRule type="duplicateValues" dxfId="2572" priority="9"/>
  </conditionalFormatting>
  <conditionalFormatting sqref="B54">
    <cfRule type="duplicateValues" dxfId="2571" priority="11"/>
    <cfRule type="duplicateValues" dxfId="2570" priority="12"/>
  </conditionalFormatting>
  <conditionalFormatting sqref="B78">
    <cfRule type="duplicateValues" dxfId="2569" priority="1"/>
    <cfRule type="duplicateValues" dxfId="2568" priority="2"/>
    <cfRule type="duplicateValues" dxfId="2567" priority="3"/>
  </conditionalFormatting>
  <conditionalFormatting sqref="B81:B1048576 B2:B53 B55:B77 B79">
    <cfRule type="duplicateValues" dxfId="2566" priority="13"/>
    <cfRule type="duplicateValues" dxfId="2565" priority="14"/>
  </conditionalFormatting>
  <conditionalFormatting sqref="B81:B1048576 B2:B77 B79">
    <cfRule type="duplicateValues" dxfId="2564" priority="10"/>
  </conditionalFormatting>
  <conditionalFormatting sqref="C1:D1">
    <cfRule type="duplicateValues" dxfId="2563" priority="4"/>
    <cfRule type="duplicateValues" dxfId="2562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N69"/>
  <sheetViews>
    <sheetView view="pageBreakPreview" topLeftCell="A31" zoomScale="55" zoomScaleNormal="55" zoomScaleSheetLayoutView="55" workbookViewId="0">
      <selection activeCell="F50" sqref="F50"/>
    </sheetView>
  </sheetViews>
  <sheetFormatPr defaultColWidth="9.140625" defaultRowHeight="33"/>
  <cols>
    <col min="1" max="1" width="2.85546875" style="116" customWidth="1"/>
    <col min="2" max="2" width="8.42578125" style="116" customWidth="1"/>
    <col min="3" max="3" width="91.28515625" style="116" bestFit="1" customWidth="1"/>
    <col min="4" max="4" width="24.140625" style="116" customWidth="1"/>
    <col min="5" max="5" width="19.140625" style="116" customWidth="1"/>
    <col min="6" max="6" width="19.85546875" style="116" customWidth="1"/>
    <col min="7" max="7" width="26.140625" style="116" customWidth="1"/>
    <col min="8" max="8" width="57" style="116" customWidth="1"/>
    <col min="9" max="9" width="8" style="116" customWidth="1"/>
    <col min="10" max="10" width="9.140625" style="116" customWidth="1"/>
    <col min="11" max="11" width="12.7109375" style="166" customWidth="1"/>
    <col min="12" max="14" width="12.7109375" style="167" customWidth="1"/>
    <col min="15" max="20" width="9.140625" style="116" customWidth="1"/>
    <col min="21" max="21" width="10.7109375" style="116" bestFit="1" customWidth="1"/>
    <col min="22" max="16384" width="9.140625" style="116"/>
  </cols>
  <sheetData>
    <row r="1" spans="2:14" ht="30" customHeight="1" thickBot="1">
      <c r="K1" s="117"/>
      <c r="L1" s="118"/>
      <c r="M1" s="118"/>
      <c r="N1" s="118"/>
    </row>
    <row r="2" spans="2:14" ht="30" customHeight="1" thickBot="1">
      <c r="B2" s="253" t="s">
        <v>1212</v>
      </c>
      <c r="C2" s="254"/>
      <c r="D2" s="255"/>
      <c r="E2" s="256"/>
      <c r="F2" s="256"/>
      <c r="G2" s="257"/>
      <c r="H2" s="119" t="str">
        <f>+IPPODROM!I1</f>
        <v>Пятница</v>
      </c>
      <c r="K2" s="117"/>
      <c r="L2" s="118"/>
      <c r="M2" s="118"/>
      <c r="N2" s="118"/>
    </row>
    <row r="3" spans="2:14" ht="30" customHeight="1" thickBot="1">
      <c r="B3" s="120"/>
      <c r="C3" s="258"/>
      <c r="D3" s="259"/>
      <c r="E3" s="259"/>
      <c r="F3" s="259"/>
      <c r="G3" s="260"/>
      <c r="H3" s="121">
        <f>+IPPODROM!I2</f>
        <v>46122</v>
      </c>
      <c r="K3" s="117"/>
      <c r="L3" s="118"/>
      <c r="M3" s="118"/>
      <c r="N3" s="118"/>
    </row>
    <row r="4" spans="2:14" ht="47.25" customHeight="1" thickBot="1">
      <c r="B4" s="122" t="s">
        <v>679</v>
      </c>
      <c r="C4" s="123" t="s">
        <v>680</v>
      </c>
      <c r="D4" s="124" t="s">
        <v>681</v>
      </c>
      <c r="E4" s="125" t="s">
        <v>682</v>
      </c>
      <c r="F4" s="125" t="s">
        <v>683</v>
      </c>
      <c r="G4" s="126" t="s">
        <v>684</v>
      </c>
      <c r="H4" s="127"/>
      <c r="K4" s="117"/>
      <c r="L4" s="118"/>
      <c r="M4" s="118"/>
      <c r="N4" s="118"/>
    </row>
    <row r="5" spans="2:14" ht="43.5" customHeight="1" thickBot="1">
      <c r="B5" s="122" t="s">
        <v>685</v>
      </c>
      <c r="C5" s="128" t="s">
        <v>686</v>
      </c>
      <c r="D5" s="129" t="s">
        <v>687</v>
      </c>
      <c r="E5" s="130" t="s">
        <v>688</v>
      </c>
      <c r="F5" s="130" t="s">
        <v>689</v>
      </c>
      <c r="G5" s="131" t="s">
        <v>690</v>
      </c>
      <c r="H5" s="132"/>
      <c r="K5" s="117"/>
      <c r="L5" s="118"/>
      <c r="M5" s="118"/>
      <c r="N5" s="118"/>
    </row>
    <row r="6" spans="2:14" ht="30" customHeight="1">
      <c r="B6" s="133">
        <v>1</v>
      </c>
      <c r="C6" s="134" t="s">
        <v>691</v>
      </c>
      <c r="D6" s="135">
        <f>'GUNLUK RAPOR'!D3</f>
        <v>19</v>
      </c>
      <c r="E6" s="136">
        <f>'GUNLUK RAPOR'!I3</f>
        <v>4</v>
      </c>
      <c r="F6" s="137">
        <f>'GUNLUK RAPOR'!J3</f>
        <v>1</v>
      </c>
      <c r="G6" s="137">
        <f>D6-E6-F6</f>
        <v>14</v>
      </c>
      <c r="H6" s="138"/>
      <c r="K6" s="117"/>
      <c r="L6" s="118"/>
      <c r="M6" s="118"/>
      <c r="N6" s="118"/>
    </row>
    <row r="7" spans="2:14" ht="30" customHeight="1">
      <c r="B7" s="133">
        <v>2</v>
      </c>
      <c r="C7" s="134" t="s">
        <v>692</v>
      </c>
      <c r="D7" s="135">
        <f>'GUNLUK RAPOR'!D4</f>
        <v>215</v>
      </c>
      <c r="E7" s="136">
        <f>'GUNLUK RAPOR'!I4</f>
        <v>19</v>
      </c>
      <c r="F7" s="137">
        <f>'GUNLUK RAPOR'!J4</f>
        <v>16</v>
      </c>
      <c r="G7" s="137">
        <f t="shared" ref="G7:G28" si="0">D7-E7-F7</f>
        <v>180</v>
      </c>
      <c r="H7" s="138"/>
      <c r="K7" s="117"/>
      <c r="L7" s="118"/>
      <c r="M7" s="118"/>
      <c r="N7" s="118"/>
    </row>
    <row r="8" spans="2:14" ht="30" customHeight="1">
      <c r="B8" s="133">
        <v>3</v>
      </c>
      <c r="C8" s="134" t="s">
        <v>693</v>
      </c>
      <c r="D8" s="135">
        <f>'GUNLUK RAPOR'!D5</f>
        <v>79</v>
      </c>
      <c r="E8" s="136">
        <f>'GUNLUK RAPOR'!I5</f>
        <v>5</v>
      </c>
      <c r="F8" s="137">
        <f>'GUNLUK RAPOR'!J5</f>
        <v>4</v>
      </c>
      <c r="G8" s="137">
        <f t="shared" si="0"/>
        <v>70</v>
      </c>
      <c r="H8" s="138"/>
      <c r="K8" s="117"/>
      <c r="L8" s="118"/>
      <c r="M8" s="118"/>
      <c r="N8" s="118"/>
    </row>
    <row r="9" spans="2:14" ht="30" customHeight="1">
      <c r="B9" s="133">
        <v>4</v>
      </c>
      <c r="C9" s="134" t="s">
        <v>694</v>
      </c>
      <c r="D9" s="135">
        <f>'GUNLUK RAPOR'!D6</f>
        <v>64</v>
      </c>
      <c r="E9" s="136">
        <f>'GUNLUK RAPOR'!I6</f>
        <v>4</v>
      </c>
      <c r="F9" s="137">
        <f>'GUNLUK RAPOR'!J6</f>
        <v>20</v>
      </c>
      <c r="G9" s="137">
        <f t="shared" si="0"/>
        <v>40</v>
      </c>
      <c r="H9" s="138"/>
      <c r="K9" s="117"/>
      <c r="L9" s="118"/>
      <c r="M9" s="118"/>
      <c r="N9" s="118"/>
    </row>
    <row r="10" spans="2:14" ht="30" customHeight="1">
      <c r="B10" s="133">
        <v>5</v>
      </c>
      <c r="C10" s="139" t="s">
        <v>695</v>
      </c>
      <c r="D10" s="135">
        <f>'GUNLUK RAPOR'!D7</f>
        <v>124</v>
      </c>
      <c r="E10" s="136">
        <f>'GUNLUK RAPOR'!I7</f>
        <v>6</v>
      </c>
      <c r="F10" s="137">
        <f>'GUNLUK RAPOR'!J7</f>
        <v>12</v>
      </c>
      <c r="G10" s="137">
        <f t="shared" si="0"/>
        <v>106</v>
      </c>
      <c r="H10" s="140"/>
      <c r="K10" s="117"/>
      <c r="L10" s="118"/>
      <c r="M10" s="118"/>
      <c r="N10" s="118"/>
    </row>
    <row r="11" spans="2:14" ht="30" customHeight="1">
      <c r="B11" s="133">
        <v>6</v>
      </c>
      <c r="C11" s="139" t="s">
        <v>650</v>
      </c>
      <c r="D11" s="135">
        <f>'GUNLUK RAPOR'!D8</f>
        <v>47</v>
      </c>
      <c r="E11" s="136">
        <f>'GUNLUK RAPOR'!I8</f>
        <v>5</v>
      </c>
      <c r="F11" s="137">
        <f>'GUNLUK RAPOR'!J8</f>
        <v>21</v>
      </c>
      <c r="G11" s="137">
        <f t="shared" si="0"/>
        <v>21</v>
      </c>
      <c r="H11" s="140"/>
      <c r="K11" s="117"/>
      <c r="L11" s="118"/>
      <c r="M11" s="118"/>
      <c r="N11" s="118"/>
    </row>
    <row r="12" spans="2:14" ht="30" customHeight="1">
      <c r="B12" s="133">
        <v>7</v>
      </c>
      <c r="C12" s="139" t="s">
        <v>652</v>
      </c>
      <c r="D12" s="135">
        <f>'GUNLUK RAPOR'!D9</f>
        <v>7</v>
      </c>
      <c r="E12" s="136">
        <f>'GUNLUK RAPOR'!I9</f>
        <v>0</v>
      </c>
      <c r="F12" s="137">
        <f>'GUNLUK RAPOR'!J9</f>
        <v>7</v>
      </c>
      <c r="G12" s="137">
        <f t="shared" si="0"/>
        <v>0</v>
      </c>
      <c r="H12" s="140"/>
      <c r="K12" s="117"/>
      <c r="L12" s="118"/>
      <c r="M12" s="118"/>
      <c r="N12" s="118"/>
    </row>
    <row r="13" spans="2:14" ht="30" customHeight="1">
      <c r="B13" s="133">
        <v>8</v>
      </c>
      <c r="C13" s="139" t="s">
        <v>1680</v>
      </c>
      <c r="D13" s="135">
        <f>'GUNLUK RAPOR'!D10</f>
        <v>50</v>
      </c>
      <c r="E13" s="136">
        <f>'GUNLUK RAPOR'!I10</f>
        <v>7</v>
      </c>
      <c r="F13" s="137">
        <f>'GUNLUK RAPOR'!J10</f>
        <v>0</v>
      </c>
      <c r="G13" s="137">
        <f t="shared" si="0"/>
        <v>43</v>
      </c>
      <c r="H13" s="140"/>
      <c r="K13" s="117"/>
      <c r="L13" s="118"/>
      <c r="M13" s="118"/>
      <c r="N13" s="118"/>
    </row>
    <row r="14" spans="2:14" ht="30" customHeight="1">
      <c r="B14" s="133">
        <v>9</v>
      </c>
      <c r="C14" s="139" t="s">
        <v>696</v>
      </c>
      <c r="D14" s="135">
        <f>'GUNLUK RAPOR'!D11</f>
        <v>120</v>
      </c>
      <c r="E14" s="136">
        <f>'GUNLUK RAPOR'!I11</f>
        <v>6</v>
      </c>
      <c r="F14" s="137">
        <f>'GUNLUK RAPOR'!J11</f>
        <v>6</v>
      </c>
      <c r="G14" s="137">
        <f t="shared" si="0"/>
        <v>108</v>
      </c>
      <c r="H14" s="140"/>
      <c r="K14" s="117"/>
      <c r="L14" s="118"/>
      <c r="M14" s="118"/>
      <c r="N14" s="118"/>
    </row>
    <row r="15" spans="2:14" ht="30" customHeight="1">
      <c r="B15" s="133">
        <v>10</v>
      </c>
      <c r="C15" s="139" t="s">
        <v>453</v>
      </c>
      <c r="D15" s="135">
        <f>'GUNLUK RAPOR'!D12</f>
        <v>30</v>
      </c>
      <c r="E15" s="136">
        <f>'GUNLUK RAPOR'!I12</f>
        <v>4</v>
      </c>
      <c r="F15" s="137">
        <f>'GUNLUK RAPOR'!J12</f>
        <v>0</v>
      </c>
      <c r="G15" s="137">
        <f t="shared" si="0"/>
        <v>26</v>
      </c>
      <c r="H15" s="140"/>
      <c r="K15" s="117"/>
      <c r="L15" s="118"/>
      <c r="M15" s="118"/>
      <c r="N15" s="118"/>
    </row>
    <row r="16" spans="2:14" ht="30" customHeight="1">
      <c r="B16" s="133">
        <v>11</v>
      </c>
      <c r="C16" s="139" t="s">
        <v>697</v>
      </c>
      <c r="D16" s="135">
        <f>'GUNLUK RAPOR'!D13</f>
        <v>81</v>
      </c>
      <c r="E16" s="136">
        <f>'GUNLUK RAPOR'!I13</f>
        <v>10</v>
      </c>
      <c r="F16" s="137">
        <f>'GUNLUK RAPOR'!J13</f>
        <v>1</v>
      </c>
      <c r="G16" s="137">
        <f t="shared" si="0"/>
        <v>70</v>
      </c>
      <c r="H16" s="140"/>
      <c r="K16" s="117"/>
      <c r="L16" s="118"/>
      <c r="M16" s="118"/>
      <c r="N16" s="118"/>
    </row>
    <row r="17" spans="2:14" ht="30" customHeight="1">
      <c r="B17" s="133">
        <v>12</v>
      </c>
      <c r="C17" s="139" t="s">
        <v>3040</v>
      </c>
      <c r="D17" s="135">
        <f>'GUNLUK RAPOR'!D14</f>
        <v>18</v>
      </c>
      <c r="E17" s="136">
        <f>'GUNLUK RAPOR'!I14</f>
        <v>1</v>
      </c>
      <c r="F17" s="137">
        <f>'GUNLUK RAPOR'!J14</f>
        <v>0</v>
      </c>
      <c r="G17" s="137">
        <f t="shared" ref="G17" si="1">D17-E17-F17</f>
        <v>17</v>
      </c>
      <c r="H17" s="140"/>
      <c r="K17" s="117"/>
      <c r="L17" s="118"/>
      <c r="M17" s="118"/>
      <c r="N17" s="118"/>
    </row>
    <row r="18" spans="2:14" ht="30" customHeight="1">
      <c r="B18" s="133">
        <v>13</v>
      </c>
      <c r="C18" s="139" t="str">
        <f>+'GUNLUK RAPOR'!B15</f>
        <v>INCE ISLER ISMOIL KHUDOYBERGANOV</v>
      </c>
      <c r="D18" s="135">
        <f>'GUNLUK RAPOR'!D15</f>
        <v>52</v>
      </c>
      <c r="E18" s="136">
        <f>'GUNLUK RAPOR'!I15</f>
        <v>7</v>
      </c>
      <c r="F18" s="137">
        <f>'GUNLUK RAPOR'!J15</f>
        <v>0</v>
      </c>
      <c r="G18" s="137">
        <f t="shared" ref="G18" si="2">D18-E18-F18</f>
        <v>45</v>
      </c>
      <c r="H18" s="140"/>
      <c r="K18" s="117"/>
      <c r="L18" s="118"/>
      <c r="M18" s="118"/>
      <c r="N18" s="118"/>
    </row>
    <row r="19" spans="2:14" ht="30" customHeight="1">
      <c r="B19" s="133">
        <v>14</v>
      </c>
      <c r="C19" s="139" t="str">
        <f>+'GUNLUK RAPOR'!B16</f>
        <v>INCE ISLER RUSLAN RUZMETOV</v>
      </c>
      <c r="D19" s="135">
        <f>'GUNLUK RAPOR'!D16</f>
        <v>10</v>
      </c>
      <c r="E19" s="136">
        <f>'GUNLUK RAPOR'!I16</f>
        <v>0</v>
      </c>
      <c r="F19" s="137">
        <f>'GUNLUK RAPOR'!J16</f>
        <v>0</v>
      </c>
      <c r="G19" s="137">
        <f t="shared" ref="G19" si="3">D19-E19-F19</f>
        <v>10</v>
      </c>
      <c r="H19" s="140"/>
      <c r="K19" s="117"/>
      <c r="L19" s="118"/>
      <c r="M19" s="118"/>
      <c r="N19" s="118"/>
    </row>
    <row r="20" spans="2:14" ht="30" customHeight="1">
      <c r="B20" s="133">
        <v>15</v>
      </c>
      <c r="C20" s="139" t="str">
        <f>+'GUNLUK RAPOR'!B17</f>
        <v>INCE ISLER SARDOR KOCHKAROV</v>
      </c>
      <c r="D20" s="135">
        <f>'GUNLUK RAPOR'!D17</f>
        <v>47</v>
      </c>
      <c r="E20" s="136">
        <f>'GUNLUK RAPOR'!I17</f>
        <v>4</v>
      </c>
      <c r="F20" s="137">
        <f>'GUNLUK RAPOR'!J17</f>
        <v>0</v>
      </c>
      <c r="G20" s="137">
        <f t="shared" si="0"/>
        <v>43</v>
      </c>
      <c r="H20" s="140"/>
      <c r="K20" s="117"/>
      <c r="L20" s="118"/>
      <c r="M20" s="118"/>
      <c r="N20" s="118"/>
    </row>
    <row r="21" spans="2:14" ht="30" customHeight="1">
      <c r="B21" s="133">
        <v>16</v>
      </c>
      <c r="C21" s="134" t="s">
        <v>658</v>
      </c>
      <c r="D21" s="135">
        <f>'GUNLUK RAPOR'!D18</f>
        <v>49</v>
      </c>
      <c r="E21" s="136">
        <f>'GUNLUK RAPOR'!I18</f>
        <v>0</v>
      </c>
      <c r="F21" s="137">
        <f>'GUNLUK RAPOR'!J18</f>
        <v>5</v>
      </c>
      <c r="G21" s="137">
        <f t="shared" si="0"/>
        <v>44</v>
      </c>
      <c r="H21" s="138"/>
      <c r="K21" s="117"/>
      <c r="L21" s="118"/>
      <c r="M21" s="118"/>
      <c r="N21" s="118"/>
    </row>
    <row r="22" spans="2:14" ht="30" customHeight="1">
      <c r="B22" s="133">
        <v>17</v>
      </c>
      <c r="C22" s="139" t="s">
        <v>698</v>
      </c>
      <c r="D22" s="135">
        <f>'GUNLUK RAPOR'!D19</f>
        <v>42</v>
      </c>
      <c r="E22" s="136">
        <f>'GUNLUK RAPOR'!I19</f>
        <v>0</v>
      </c>
      <c r="F22" s="137">
        <f>'GUNLUK RAPOR'!J19</f>
        <v>0</v>
      </c>
      <c r="G22" s="137">
        <f t="shared" si="0"/>
        <v>42</v>
      </c>
      <c r="H22" s="140"/>
      <c r="K22" s="117"/>
      <c r="L22" s="118"/>
      <c r="M22" s="118"/>
      <c r="N22" s="118"/>
    </row>
    <row r="23" spans="2:14" ht="30" customHeight="1">
      <c r="B23" s="133">
        <v>18</v>
      </c>
      <c r="C23" s="139" t="s">
        <v>699</v>
      </c>
      <c r="D23" s="135">
        <f>'GUNLUK RAPOR'!D20</f>
        <v>26</v>
      </c>
      <c r="E23" s="136">
        <f>'GUNLUK RAPOR'!I20</f>
        <v>2</v>
      </c>
      <c r="F23" s="137">
        <f>'GUNLUK RAPOR'!J20</f>
        <v>0</v>
      </c>
      <c r="G23" s="137">
        <f t="shared" si="0"/>
        <v>24</v>
      </c>
      <c r="H23" s="140"/>
      <c r="K23" s="117"/>
      <c r="L23" s="118"/>
      <c r="M23" s="118"/>
      <c r="N23" s="118"/>
    </row>
    <row r="24" spans="2:14" ht="30" customHeight="1">
      <c r="B24" s="133">
        <v>19</v>
      </c>
      <c r="C24" s="139" t="s">
        <v>700</v>
      </c>
      <c r="D24" s="135">
        <f>'GUNLUK RAPOR'!D21</f>
        <v>44</v>
      </c>
      <c r="E24" s="136">
        <f>'GUNLUK RAPOR'!I21</f>
        <v>1</v>
      </c>
      <c r="F24" s="137">
        <f>'GUNLUK RAPOR'!J21</f>
        <v>0</v>
      </c>
      <c r="G24" s="137">
        <f t="shared" si="0"/>
        <v>43</v>
      </c>
      <c r="H24" s="140"/>
      <c r="K24" s="117"/>
      <c r="L24" s="118"/>
      <c r="M24" s="118"/>
      <c r="N24" s="118"/>
    </row>
    <row r="25" spans="2:14" ht="30" customHeight="1">
      <c r="B25" s="133">
        <v>20</v>
      </c>
      <c r="C25" s="139" t="s">
        <v>2714</v>
      </c>
      <c r="D25" s="135">
        <f>'GUNLUK RAPOR'!D22</f>
        <v>43</v>
      </c>
      <c r="E25" s="136">
        <f>'GUNLUK RAPOR'!I22</f>
        <v>2</v>
      </c>
      <c r="F25" s="137">
        <f>'GUNLUK RAPOR'!J22</f>
        <v>0</v>
      </c>
      <c r="G25" s="137">
        <f t="shared" ref="G25" si="4">D25-E25-F25</f>
        <v>41</v>
      </c>
      <c r="H25" s="140"/>
      <c r="K25" s="117"/>
      <c r="L25" s="118"/>
      <c r="M25" s="118"/>
      <c r="N25" s="118"/>
    </row>
    <row r="26" spans="2:14" ht="30" customHeight="1">
      <c r="B26" s="133">
        <v>21</v>
      </c>
      <c r="C26" s="139" t="s">
        <v>701</v>
      </c>
      <c r="D26" s="135">
        <f>'GUNLUK RAPOR'!D23</f>
        <v>28</v>
      </c>
      <c r="E26" s="136">
        <f>'GUNLUK RAPOR'!I23</f>
        <v>1</v>
      </c>
      <c r="F26" s="137">
        <f>'GUNLUK RAPOR'!J23</f>
        <v>0</v>
      </c>
      <c r="G26" s="137">
        <f t="shared" si="0"/>
        <v>27</v>
      </c>
      <c r="H26" s="140"/>
      <c r="K26" s="117"/>
      <c r="L26" s="118"/>
      <c r="M26" s="118"/>
      <c r="N26" s="118"/>
    </row>
    <row r="27" spans="2:14" ht="30" customHeight="1">
      <c r="B27" s="133">
        <v>22</v>
      </c>
      <c r="C27" s="141" t="s">
        <v>702</v>
      </c>
      <c r="D27" s="135">
        <f>'GUNLUK RAPOR'!D24</f>
        <v>57</v>
      </c>
      <c r="E27" s="136">
        <f>'GUNLUK RAPOR'!I24</f>
        <v>5</v>
      </c>
      <c r="F27" s="137">
        <f>'GUNLUK RAPOR'!J24</f>
        <v>0</v>
      </c>
      <c r="G27" s="137">
        <f t="shared" si="0"/>
        <v>52</v>
      </c>
      <c r="H27" s="142"/>
      <c r="K27" s="117"/>
      <c r="L27" s="118"/>
      <c r="M27" s="118"/>
      <c r="N27" s="118"/>
    </row>
    <row r="28" spans="2:14" ht="30" customHeight="1" thickBot="1">
      <c r="B28" s="133">
        <v>23</v>
      </c>
      <c r="C28" s="141" t="s">
        <v>703</v>
      </c>
      <c r="D28" s="135">
        <f>'GUNLUK RAPOR'!D25</f>
        <v>204</v>
      </c>
      <c r="E28" s="136">
        <f>'GUNLUK RAPOR'!I25</f>
        <v>8</v>
      </c>
      <c r="F28" s="137">
        <f>'GUNLUK RAPOR'!J25</f>
        <v>18</v>
      </c>
      <c r="G28" s="137">
        <f t="shared" si="0"/>
        <v>178</v>
      </c>
      <c r="H28" s="140"/>
      <c r="K28" s="117"/>
      <c r="L28" s="118"/>
      <c r="M28" s="118"/>
      <c r="N28" s="118"/>
    </row>
    <row r="29" spans="2:14" ht="30" customHeight="1" thickBot="1">
      <c r="B29" s="143"/>
      <c r="C29" s="144" t="s">
        <v>704</v>
      </c>
      <c r="D29" s="145">
        <f>SUM(D6:D28)</f>
        <v>1456</v>
      </c>
      <c r="E29" s="145">
        <f>SUM(E6:E28)</f>
        <v>101</v>
      </c>
      <c r="F29" s="145">
        <f>SUM(F6:F28)</f>
        <v>111</v>
      </c>
      <c r="G29" s="145">
        <f>SUM(G6:G28)</f>
        <v>1244</v>
      </c>
      <c r="H29" s="146"/>
      <c r="K29" s="250" t="s">
        <v>705</v>
      </c>
      <c r="L29" s="250" t="s">
        <v>706</v>
      </c>
      <c r="M29" s="250" t="s">
        <v>707</v>
      </c>
      <c r="N29" s="250" t="s">
        <v>708</v>
      </c>
    </row>
    <row r="30" spans="2:14" ht="30" customHeight="1" thickBot="1">
      <c r="B30" s="122" t="s">
        <v>709</v>
      </c>
      <c r="C30" s="128" t="s">
        <v>710</v>
      </c>
      <c r="D30" s="147" t="s">
        <v>687</v>
      </c>
      <c r="E30" s="148" t="s">
        <v>688</v>
      </c>
      <c r="F30" s="148" t="s">
        <v>689</v>
      </c>
      <c r="G30" s="149" t="s">
        <v>690</v>
      </c>
      <c r="H30" s="132"/>
      <c r="K30" s="250"/>
      <c r="L30" s="250"/>
      <c r="M30" s="250"/>
      <c r="N30" s="250"/>
    </row>
    <row r="31" spans="2:14" ht="30" customHeight="1">
      <c r="B31" s="133">
        <v>1</v>
      </c>
      <c r="C31" s="150" t="s">
        <v>711</v>
      </c>
      <c r="D31" s="151">
        <f t="shared" ref="D31:D45" si="5">+N31</f>
        <v>3</v>
      </c>
      <c r="E31" s="135">
        <f>L31</f>
        <v>0</v>
      </c>
      <c r="F31" s="135">
        <f>M31</f>
        <v>0</v>
      </c>
      <c r="G31" s="152">
        <f t="shared" ref="G31:G39" si="6">D31-E31-F31</f>
        <v>3</v>
      </c>
      <c r="H31" s="153"/>
      <c r="K31" s="154">
        <f>+G31</f>
        <v>3</v>
      </c>
      <c r="L31" s="155">
        <f>+IPPODROM!J3+IPPODROM!J4+IPPODROM!J5</f>
        <v>0</v>
      </c>
      <c r="M31" s="155">
        <f>+IPPODROM!M3+IPPODROM!M4+IPPODROM!M5</f>
        <v>0</v>
      </c>
      <c r="N31" s="155">
        <f>+IPPODROM!N3+IPPODROM!N4+IPPODROM!N5</f>
        <v>3</v>
      </c>
    </row>
    <row r="32" spans="2:14" ht="30" customHeight="1">
      <c r="B32" s="133">
        <v>2</v>
      </c>
      <c r="C32" s="156" t="s">
        <v>712</v>
      </c>
      <c r="D32" s="151">
        <f t="shared" si="5"/>
        <v>0</v>
      </c>
      <c r="E32" s="135">
        <f t="shared" ref="E32:F45" si="7">L32</f>
        <v>0</v>
      </c>
      <c r="F32" s="135">
        <f t="shared" si="7"/>
        <v>0</v>
      </c>
      <c r="G32" s="152">
        <f t="shared" si="6"/>
        <v>0</v>
      </c>
      <c r="H32" s="157"/>
      <c r="K32" s="154">
        <f t="shared" ref="K32:K45" si="8">+G32</f>
        <v>0</v>
      </c>
      <c r="L32" s="155"/>
      <c r="M32" s="155"/>
      <c r="N32" s="155"/>
    </row>
    <row r="33" spans="2:14" ht="30" customHeight="1">
      <c r="B33" s="133">
        <v>3</v>
      </c>
      <c r="C33" s="158" t="s">
        <v>713</v>
      </c>
      <c r="D33" s="151">
        <f t="shared" si="5"/>
        <v>1</v>
      </c>
      <c r="E33" s="135">
        <f t="shared" si="7"/>
        <v>0</v>
      </c>
      <c r="F33" s="135">
        <f t="shared" si="7"/>
        <v>1</v>
      </c>
      <c r="G33" s="152">
        <f>D33-E33-F33</f>
        <v>0</v>
      </c>
      <c r="H33" s="159"/>
      <c r="K33" s="154">
        <f t="shared" si="8"/>
        <v>0</v>
      </c>
      <c r="L33" s="155">
        <f>+IPPODROM!J6</f>
        <v>0</v>
      </c>
      <c r="M33" s="155">
        <f>+IPPODROM!M6</f>
        <v>1</v>
      </c>
      <c r="N33" s="155">
        <f>+IPPODROM!N6</f>
        <v>1</v>
      </c>
    </row>
    <row r="34" spans="2:14" ht="30" customHeight="1">
      <c r="B34" s="133">
        <v>4</v>
      </c>
      <c r="C34" s="160" t="s">
        <v>714</v>
      </c>
      <c r="D34" s="151">
        <f t="shared" si="5"/>
        <v>2</v>
      </c>
      <c r="E34" s="135">
        <f t="shared" si="7"/>
        <v>0</v>
      </c>
      <c r="F34" s="135">
        <f t="shared" si="7"/>
        <v>0</v>
      </c>
      <c r="G34" s="152">
        <f>D34-E34-F34</f>
        <v>2</v>
      </c>
      <c r="H34" s="159"/>
      <c r="K34" s="154">
        <f>+G34</f>
        <v>2</v>
      </c>
      <c r="L34" s="155">
        <f>+IPPODROM!J7+IPPODROM!J8</f>
        <v>0</v>
      </c>
      <c r="M34" s="155">
        <f>+IPPODROM!M7+IPPODROM!M8</f>
        <v>0</v>
      </c>
      <c r="N34" s="155">
        <f>+IPPODROM!N7+IPPODROM!N8</f>
        <v>2</v>
      </c>
    </row>
    <row r="35" spans="2:14" ht="30" customHeight="1">
      <c r="B35" s="133">
        <v>5</v>
      </c>
      <c r="C35" s="158" t="s">
        <v>715</v>
      </c>
      <c r="D35" s="151">
        <f t="shared" si="5"/>
        <v>1</v>
      </c>
      <c r="E35" s="135">
        <f t="shared" si="7"/>
        <v>0</v>
      </c>
      <c r="F35" s="135">
        <f t="shared" si="7"/>
        <v>0</v>
      </c>
      <c r="G35" s="152">
        <f t="shared" si="6"/>
        <v>1</v>
      </c>
      <c r="H35" s="161"/>
      <c r="K35" s="154">
        <f t="shared" si="8"/>
        <v>1</v>
      </c>
      <c r="L35" s="155">
        <f>+IPPODROM!J9</f>
        <v>0</v>
      </c>
      <c r="M35" s="155">
        <f>+IPPODROM!M9</f>
        <v>0</v>
      </c>
      <c r="N35" s="155">
        <f>+IPPODROM!N9</f>
        <v>1</v>
      </c>
    </row>
    <row r="36" spans="2:14" ht="30" customHeight="1">
      <c r="B36" s="133">
        <v>6</v>
      </c>
      <c r="C36" s="158" t="s">
        <v>717</v>
      </c>
      <c r="D36" s="151">
        <f>+N36</f>
        <v>2</v>
      </c>
      <c r="E36" s="135">
        <f>L36</f>
        <v>0</v>
      </c>
      <c r="F36" s="135">
        <f>M36</f>
        <v>0</v>
      </c>
      <c r="G36" s="152">
        <f>D36-E36-F36</f>
        <v>2</v>
      </c>
      <c r="H36" s="159"/>
      <c r="K36" s="154">
        <f>+G36</f>
        <v>2</v>
      </c>
      <c r="L36" s="155">
        <f>+IPPODROM!J10+IPPODROM!J11</f>
        <v>0</v>
      </c>
      <c r="M36" s="155">
        <f>+IPPODROM!M10+IPPODROM!M11</f>
        <v>0</v>
      </c>
      <c r="N36" s="155">
        <f>+IPPODROM!N10+IPPODROM!N11</f>
        <v>2</v>
      </c>
    </row>
    <row r="37" spans="2:14" ht="30" customHeight="1">
      <c r="B37" s="133">
        <v>7</v>
      </c>
      <c r="C37" s="158" t="s">
        <v>716</v>
      </c>
      <c r="D37" s="151">
        <f>+N37</f>
        <v>8</v>
      </c>
      <c r="E37" s="135">
        <f>L37</f>
        <v>0</v>
      </c>
      <c r="F37" s="135">
        <f>M37</f>
        <v>0</v>
      </c>
      <c r="G37" s="152">
        <f>D37-E37-F37</f>
        <v>8</v>
      </c>
      <c r="H37" s="159"/>
      <c r="K37" s="154">
        <f>+G37</f>
        <v>8</v>
      </c>
      <c r="L37" s="177">
        <f>+IPPODROM!J12++IPPODROM!J13+IPPODROM!J15+IPPODROM!J16+IPPODROM!J17+IPPODROM!J14+IPPODROM!J25+IPPODROM!J18+IPPODROM!J19</f>
        <v>0</v>
      </c>
      <c r="M37" s="155">
        <f>+IPPODROM!M12++IPPODROM!M13+IPPODROM!M15+IPPODROM!M16+IPPODROM!M17+IPPODROM!M14+IPPODROM!M18+IPPODROM!M19</f>
        <v>0</v>
      </c>
      <c r="N37" s="155">
        <f>+IPPODROM!N12+IPPODROM!N13+IPPODROM!N15+IPPODROM!N16+IPPODROM!N17+IPPODROM!N14+IPPODROM!N18+IPPODROM!N19</f>
        <v>8</v>
      </c>
    </row>
    <row r="38" spans="2:14" ht="30" customHeight="1">
      <c r="B38" s="133">
        <v>8</v>
      </c>
      <c r="C38" s="158" t="s">
        <v>718</v>
      </c>
      <c r="D38" s="151">
        <f t="shared" si="5"/>
        <v>6</v>
      </c>
      <c r="E38" s="135">
        <f t="shared" si="7"/>
        <v>0</v>
      </c>
      <c r="F38" s="135">
        <f t="shared" si="7"/>
        <v>0</v>
      </c>
      <c r="G38" s="152">
        <f t="shared" si="6"/>
        <v>6</v>
      </c>
      <c r="H38" s="159"/>
      <c r="K38" s="154">
        <f>+G38</f>
        <v>6</v>
      </c>
      <c r="L38" s="155">
        <f>+IPPODROM!J20+IPPODROM!J21+IPPODROM!J22+IPPODROM!J23+IPPODROM!J25</f>
        <v>0</v>
      </c>
      <c r="M38" s="155">
        <f>+IPPODROM!M20+IPPODROM!M21+IPPODROM!M22+IPPODROM!M23+IPPODROM!M25</f>
        <v>0</v>
      </c>
      <c r="N38" s="155">
        <f>+IPPODROM!N20+IPPODROM!N21+IPPODROM!N22+IPPODROM!N23+IPPODROM!N25+IPPODROM!K24</f>
        <v>6</v>
      </c>
    </row>
    <row r="39" spans="2:14" ht="30" customHeight="1">
      <c r="B39" s="133">
        <v>9</v>
      </c>
      <c r="C39" s="158" t="s">
        <v>719</v>
      </c>
      <c r="D39" s="151">
        <f t="shared" si="5"/>
        <v>6</v>
      </c>
      <c r="E39" s="135">
        <f t="shared" si="7"/>
        <v>0</v>
      </c>
      <c r="F39" s="135">
        <f t="shared" si="7"/>
        <v>2</v>
      </c>
      <c r="G39" s="152">
        <f t="shared" si="6"/>
        <v>4</v>
      </c>
      <c r="H39" s="159"/>
      <c r="K39" s="154">
        <f t="shared" si="8"/>
        <v>4</v>
      </c>
      <c r="L39" s="155">
        <f>IPPODROM!J18+IPPODROM!J26+IPPODROM!J27+IPPODROM!J28+IPPODROM!J31</f>
        <v>0</v>
      </c>
      <c r="M39" s="155">
        <f>+IPPODROM!M26+IPPODROM!M27+IPPODROM!M27+IPPODROM!M28+IPPODROM!M29+IPPODROM!M30+IPPODROM!M31</f>
        <v>2</v>
      </c>
      <c r="N39" s="155">
        <f>+IPPODROM!N26+IPPODROM!N27+IPPODROM!N28+IPPODROM!N29+IPPODROM!N30+IPPODROM!N31</f>
        <v>6</v>
      </c>
    </row>
    <row r="40" spans="2:14" ht="30" customHeight="1">
      <c r="B40" s="133">
        <v>10</v>
      </c>
      <c r="C40" s="206" t="s">
        <v>1310</v>
      </c>
      <c r="D40" s="151">
        <v>1</v>
      </c>
      <c r="E40" s="135">
        <f t="shared" ref="E40" si="9">L40</f>
        <v>0</v>
      </c>
      <c r="F40" s="135">
        <f t="shared" ref="F40" si="10">M40</f>
        <v>1</v>
      </c>
      <c r="G40" s="152">
        <f t="shared" ref="G40" si="11">D40-E40-F40</f>
        <v>0</v>
      </c>
      <c r="H40" s="159"/>
      <c r="K40" s="154">
        <f t="shared" si="8"/>
        <v>0</v>
      </c>
      <c r="L40" s="155">
        <f>+IPPODROM!J32</f>
        <v>0</v>
      </c>
      <c r="M40" s="155">
        <f>+IPPODROM!M32</f>
        <v>1</v>
      </c>
      <c r="N40" s="155">
        <f>+IPPODROM!N32</f>
        <v>1</v>
      </c>
    </row>
    <row r="41" spans="2:14" ht="30" customHeight="1">
      <c r="B41" s="133">
        <v>11</v>
      </c>
      <c r="C41" s="158" t="s">
        <v>720</v>
      </c>
      <c r="D41" s="151">
        <f>+N41</f>
        <v>9</v>
      </c>
      <c r="E41" s="135">
        <f>L41</f>
        <v>0</v>
      </c>
      <c r="F41" s="135">
        <f>M41</f>
        <v>0</v>
      </c>
      <c r="G41" s="152">
        <f>D41-E41-F41</f>
        <v>9</v>
      </c>
      <c r="H41" s="159"/>
      <c r="K41" s="154">
        <f>+G41</f>
        <v>9</v>
      </c>
      <c r="L41" s="155">
        <f>+IPPODROM!J28+IPPODROM!J34+IPPODROM!J35+IPPODROM!J37+IPPODROM!J40+IPPODROM!J41+IPPODROM!J38+IPPODROM!J33+IPPODROM!J36+IPPODROM!J39</f>
        <v>0</v>
      </c>
      <c r="M41" s="155">
        <f>+IPPODROM!M33+IPPODROM!M34+IPPODROM!M35+IPPODROM!M36+IPPODROM!M37+IPPODROM!M38+IPPODROM!M39+IPPODROM!M40+IPPODROM!M41</f>
        <v>0</v>
      </c>
      <c r="N41" s="155">
        <f>+IPPODROM!N28+IPPODROM!N34+IPPODROM!N35+IPPODROM!N37+IPPODROM!N40+IPPODROM!N41+IPPODROM!N38+IPPODROM!N33+IPPODROM!N36</f>
        <v>9</v>
      </c>
    </row>
    <row r="42" spans="2:14" ht="30" customHeight="1">
      <c r="B42" s="133">
        <v>12</v>
      </c>
      <c r="C42" s="160" t="s">
        <v>721</v>
      </c>
      <c r="D42" s="151">
        <f>+N42</f>
        <v>7</v>
      </c>
      <c r="E42" s="135">
        <f t="shared" si="7"/>
        <v>0</v>
      </c>
      <c r="F42" s="135">
        <f>M42</f>
        <v>1</v>
      </c>
      <c r="G42" s="152">
        <f t="shared" ref="G42:G50" si="12">D42-E42-F42</f>
        <v>6</v>
      </c>
      <c r="H42" s="159"/>
      <c r="K42" s="154">
        <f>+G42</f>
        <v>6</v>
      </c>
      <c r="L42" s="155">
        <f>+IPPODROM!J42+IPPODROM!J43+IPPODROM!J44+IPPODROM!J45+IPPODROM!J46+IPPODROM!J47</f>
        <v>0</v>
      </c>
      <c r="M42" s="155">
        <f>+IPPODROM!M42+IPPODROM!M43+IPPODROM!M44+IPPODROM!M45+IPPODROM!M46+IPPODROM!M47</f>
        <v>1</v>
      </c>
      <c r="N42" s="155">
        <f>+IPPODROM!N42+IPPODROM!N43+IPPODROM!N44+IPPODROM!N45+IPPODROM!N46+IPPODROM!N47+IPPODROM!N48</f>
        <v>7</v>
      </c>
    </row>
    <row r="43" spans="2:14" ht="30" customHeight="1">
      <c r="B43" s="133">
        <v>13</v>
      </c>
      <c r="C43" s="158" t="s">
        <v>722</v>
      </c>
      <c r="D43" s="151">
        <f t="shared" si="5"/>
        <v>5</v>
      </c>
      <c r="E43" s="135">
        <f t="shared" si="7"/>
        <v>0</v>
      </c>
      <c r="F43" s="135">
        <f t="shared" si="7"/>
        <v>4</v>
      </c>
      <c r="G43" s="152">
        <f t="shared" si="12"/>
        <v>1</v>
      </c>
      <c r="H43" s="159"/>
      <c r="K43" s="154">
        <f t="shared" si="8"/>
        <v>1</v>
      </c>
      <c r="L43" s="155">
        <f>+IPPODROM!J49+IPPODROM!J50+IPPODROM!J51+IPPODROM!J52+IPPODROM!J53</f>
        <v>0</v>
      </c>
      <c r="M43" s="155">
        <f>+IPPODROM!M49+IPPODROM!M50+IPPODROM!M51+IPPODROM!M52+IPPODROM!M53</f>
        <v>4</v>
      </c>
      <c r="N43" s="155">
        <f>+IPPODROM!N49+IPPODROM!N50+IPPODROM!N51+IPPODROM!N52+IPPODROM!N53</f>
        <v>5</v>
      </c>
    </row>
    <row r="44" spans="2:14" ht="30" customHeight="1">
      <c r="B44" s="133">
        <v>14</v>
      </c>
      <c r="C44" s="160" t="s">
        <v>723</v>
      </c>
      <c r="D44" s="151">
        <f t="shared" si="5"/>
        <v>1</v>
      </c>
      <c r="E44" s="135">
        <f t="shared" si="7"/>
        <v>0</v>
      </c>
      <c r="F44" s="135">
        <f t="shared" si="7"/>
        <v>1</v>
      </c>
      <c r="G44" s="152">
        <f t="shared" si="12"/>
        <v>0</v>
      </c>
      <c r="H44" s="159"/>
      <c r="K44" s="154">
        <f t="shared" si="8"/>
        <v>0</v>
      </c>
      <c r="L44" s="155">
        <f>+IPPODROM!J54</f>
        <v>0</v>
      </c>
      <c r="M44" s="155">
        <f>+IPPODROM!M54</f>
        <v>1</v>
      </c>
      <c r="N44" s="155">
        <f>+IPPODROM!N54</f>
        <v>1</v>
      </c>
    </row>
    <row r="45" spans="2:14" ht="30" customHeight="1">
      <c r="B45" s="133">
        <v>15</v>
      </c>
      <c r="C45" s="162" t="s">
        <v>724</v>
      </c>
      <c r="D45" s="151">
        <f t="shared" si="5"/>
        <v>2</v>
      </c>
      <c r="E45" s="135">
        <f t="shared" si="7"/>
        <v>0</v>
      </c>
      <c r="F45" s="135">
        <f t="shared" si="7"/>
        <v>0</v>
      </c>
      <c r="G45" s="152">
        <f t="shared" si="12"/>
        <v>2</v>
      </c>
      <c r="H45" s="159"/>
      <c r="K45" s="154">
        <f t="shared" si="8"/>
        <v>2</v>
      </c>
      <c r="L45" s="155">
        <f>+IPPODROM!J55+IPPODROM!J56</f>
        <v>0</v>
      </c>
      <c r="M45" s="155">
        <f>+IPPODROM!M55+IPPODROM!M56</f>
        <v>0</v>
      </c>
      <c r="N45" s="155">
        <f>+IPPODROM!N55+IPPODROM!N56</f>
        <v>2</v>
      </c>
    </row>
    <row r="46" spans="2:14" ht="30" customHeight="1">
      <c r="B46" s="133">
        <v>16</v>
      </c>
      <c r="C46" s="160" t="s">
        <v>725</v>
      </c>
      <c r="D46" s="151">
        <f>'GUNLUK RAPOR'!D29</f>
        <v>21</v>
      </c>
      <c r="E46" s="135">
        <f>'GUNLUK RAPOR'!I29</f>
        <v>0</v>
      </c>
      <c r="F46" s="135">
        <f>'GUNLUK RAPOR'!J29</f>
        <v>0</v>
      </c>
      <c r="G46" s="152">
        <f t="shared" si="12"/>
        <v>21</v>
      </c>
      <c r="H46" s="142"/>
      <c r="K46" s="163">
        <f>SUM(K31:K45)</f>
        <v>44</v>
      </c>
      <c r="L46" s="155">
        <f>SUM(L31:L45)</f>
        <v>0</v>
      </c>
      <c r="M46" s="155">
        <f>SUM(M31:M45)</f>
        <v>10</v>
      </c>
      <c r="N46" s="155">
        <f>SUM(N31:N45)</f>
        <v>54</v>
      </c>
    </row>
    <row r="47" spans="2:14" ht="30" customHeight="1">
      <c r="B47" s="133">
        <v>17</v>
      </c>
      <c r="C47" s="160" t="s">
        <v>726</v>
      </c>
      <c r="D47" s="136">
        <f>'GUNLUK RAPOR'!D30</f>
        <v>9</v>
      </c>
      <c r="E47" s="135">
        <f>'GUNLUK RAPOR'!I30</f>
        <v>0</v>
      </c>
      <c r="F47" s="135">
        <f>'GUNLUK RAPOR'!J30</f>
        <v>3</v>
      </c>
      <c r="G47" s="152">
        <f t="shared" si="12"/>
        <v>6</v>
      </c>
      <c r="H47" s="159"/>
      <c r="K47" s="117"/>
      <c r="L47" s="118"/>
      <c r="M47" s="118"/>
      <c r="N47" s="118"/>
    </row>
    <row r="48" spans="2:14" ht="30" customHeight="1">
      <c r="B48" s="133">
        <v>18</v>
      </c>
      <c r="C48" s="158" t="s">
        <v>727</v>
      </c>
      <c r="D48" s="136">
        <f>'GUNLUK RAPOR'!D31</f>
        <v>24</v>
      </c>
      <c r="E48" s="135">
        <f>'GUNLUK RAPOR'!I31</f>
        <v>0</v>
      </c>
      <c r="F48" s="135">
        <f>'GUNLUK RAPOR'!J31</f>
        <v>7</v>
      </c>
      <c r="G48" s="152">
        <f t="shared" si="12"/>
        <v>17</v>
      </c>
      <c r="H48" s="142"/>
      <c r="K48" s="118"/>
      <c r="L48" s="118"/>
      <c r="M48" s="118"/>
      <c r="N48" s="118"/>
    </row>
    <row r="49" spans="2:14" ht="30" customHeight="1">
      <c r="B49" s="133">
        <v>19</v>
      </c>
      <c r="C49" s="158" t="s">
        <v>728</v>
      </c>
      <c r="D49" s="136">
        <f>'GUNLUK RAPOR'!D32</f>
        <v>12</v>
      </c>
      <c r="E49" s="135">
        <f>'GUNLUK RAPOR'!I32</f>
        <v>0</v>
      </c>
      <c r="F49" s="135">
        <f>'GUNLUK RAPOR'!J32</f>
        <v>1</v>
      </c>
      <c r="G49" s="152">
        <f t="shared" si="12"/>
        <v>11</v>
      </c>
      <c r="H49" s="142"/>
      <c r="K49" s="117"/>
      <c r="L49" s="118"/>
      <c r="M49" s="118"/>
      <c r="N49" s="118"/>
    </row>
    <row r="50" spans="2:14" ht="30" customHeight="1" thickBot="1">
      <c r="B50" s="133">
        <v>20</v>
      </c>
      <c r="C50" s="164" t="s">
        <v>729</v>
      </c>
      <c r="D50" s="136">
        <f>'GUNLUK RAPOR'!D33</f>
        <v>18</v>
      </c>
      <c r="E50" s="135">
        <f>'GUNLUK RAPOR'!I33</f>
        <v>1</v>
      </c>
      <c r="F50" s="135">
        <f>'GUNLUK RAPOR'!J33</f>
        <v>7</v>
      </c>
      <c r="G50" s="152">
        <f t="shared" si="12"/>
        <v>10</v>
      </c>
      <c r="H50" s="142"/>
      <c r="K50" s="117"/>
      <c r="L50" s="118"/>
      <c r="M50" s="118"/>
      <c r="N50" s="118"/>
    </row>
    <row r="51" spans="2:14" ht="30" customHeight="1" thickBot="1">
      <c r="B51" s="143"/>
      <c r="C51" s="165" t="s">
        <v>730</v>
      </c>
      <c r="D51" s="145">
        <f>SUM(D31:D50)</f>
        <v>138</v>
      </c>
      <c r="E51" s="145">
        <f>SUM(E31:E50)</f>
        <v>1</v>
      </c>
      <c r="F51" s="145">
        <f>SUM(F31:F50)</f>
        <v>28</v>
      </c>
      <c r="G51" s="145">
        <f>SUM(G31:G50)</f>
        <v>109</v>
      </c>
      <c r="H51" s="146"/>
    </row>
    <row r="52" spans="2:14" ht="30" customHeight="1" thickBot="1">
      <c r="B52" s="168"/>
      <c r="C52" s="169" t="s">
        <v>731</v>
      </c>
      <c r="D52" s="170">
        <f>+D29+D51</f>
        <v>1594</v>
      </c>
      <c r="E52" s="170">
        <f>+E29+E51</f>
        <v>102</v>
      </c>
      <c r="F52" s="170">
        <f>+F29+F51</f>
        <v>139</v>
      </c>
      <c r="G52" s="170">
        <f>+G29+G51</f>
        <v>1353</v>
      </c>
      <c r="H52" s="171"/>
    </row>
    <row r="53" spans="2:14" ht="30" customHeight="1" thickBot="1">
      <c r="B53" s="122"/>
      <c r="C53" s="128" t="s">
        <v>732</v>
      </c>
      <c r="D53" s="147" t="s">
        <v>687</v>
      </c>
      <c r="E53" s="148" t="s">
        <v>688</v>
      </c>
      <c r="F53" s="148" t="s">
        <v>689</v>
      </c>
      <c r="G53" s="149" t="s">
        <v>690</v>
      </c>
      <c r="H53" s="132"/>
    </row>
    <row r="54" spans="2:14" ht="30" customHeight="1">
      <c r="B54" s="172">
        <v>1</v>
      </c>
      <c r="C54" s="160" t="str">
        <f>+'GUNLUK RAPOR'!B37</f>
        <v>ТЕХСТРОЙ</v>
      </c>
      <c r="D54" s="173">
        <f>'GUNLUK RAPOR'!D37</f>
        <v>13</v>
      </c>
      <c r="E54" s="173">
        <f>'GUNLUK RAPOR'!I37</f>
        <v>0</v>
      </c>
      <c r="F54" s="174">
        <f>'GUNLUK RAPOR'!J37</f>
        <v>0</v>
      </c>
      <c r="G54" s="175">
        <f t="shared" ref="G54:G55" si="13">+D54-E54</f>
        <v>13</v>
      </c>
      <c r="H54" s="159"/>
    </row>
    <row r="55" spans="2:14" ht="30" customHeight="1">
      <c r="B55" s="172">
        <v>2</v>
      </c>
      <c r="C55" s="160" t="str">
        <f>+'GUNLUK RAPOR'!B38</f>
        <v>АКВАСТРОЙ</v>
      </c>
      <c r="D55" s="173">
        <f>'GUNLUK RAPOR'!D38</f>
        <v>57</v>
      </c>
      <c r="E55" s="173">
        <f>'GUNLUK RAPOR'!I38</f>
        <v>0</v>
      </c>
      <c r="F55" s="174">
        <f>'GUNLUK RAPOR'!J38</f>
        <v>0</v>
      </c>
      <c r="G55" s="175">
        <f t="shared" si="13"/>
        <v>57</v>
      </c>
      <c r="H55" s="159"/>
    </row>
    <row r="56" spans="2:14" ht="30" customHeight="1" thickBot="1">
      <c r="B56" s="172">
        <v>3</v>
      </c>
      <c r="C56" s="160" t="str">
        <f>+'GUNLUK RAPOR'!B39</f>
        <v>ООО «КВАНТГИДРОСТРОЙ»</v>
      </c>
      <c r="D56" s="173">
        <f>'GUNLUK RAPOR'!D39</f>
        <v>72</v>
      </c>
      <c r="E56" s="173">
        <f>'GUNLUK RAPOR'!I39</f>
        <v>0</v>
      </c>
      <c r="F56" s="174">
        <f>'GUNLUK RAPOR'!J39</f>
        <v>0</v>
      </c>
      <c r="G56" s="175">
        <f t="shared" ref="G56" si="14">+D56-E56</f>
        <v>72</v>
      </c>
      <c r="H56" s="159"/>
    </row>
    <row r="57" spans="2:14" ht="30" customHeight="1" thickBot="1">
      <c r="B57" s="143"/>
      <c r="C57" s="144" t="s">
        <v>733</v>
      </c>
      <c r="D57" s="145">
        <f>SUM(D54:D56)</f>
        <v>142</v>
      </c>
      <c r="E57" s="145">
        <f t="shared" ref="E57:G57" si="15">SUM(E54:E56)</f>
        <v>0</v>
      </c>
      <c r="F57" s="145">
        <f t="shared" si="15"/>
        <v>0</v>
      </c>
      <c r="G57" s="145">
        <f t="shared" si="15"/>
        <v>142</v>
      </c>
      <c r="H57" s="146"/>
    </row>
    <row r="58" spans="2:14" ht="30" customHeight="1" thickBot="1">
      <c r="B58" s="168"/>
      <c r="C58" s="169" t="s">
        <v>734</v>
      </c>
      <c r="D58" s="170">
        <f>D57+D52</f>
        <v>1736</v>
      </c>
      <c r="E58" s="170">
        <f>E57+E52</f>
        <v>102</v>
      </c>
      <c r="F58" s="170">
        <f>F57+F52</f>
        <v>139</v>
      </c>
      <c r="G58" s="170">
        <f>G57+G52</f>
        <v>1495</v>
      </c>
      <c r="H58" s="171"/>
    </row>
    <row r="59" spans="2:14" ht="30" customHeight="1"/>
    <row r="60" spans="2:14" ht="30" customHeight="1">
      <c r="D60" s="251" t="s">
        <v>678</v>
      </c>
      <c r="E60" s="251"/>
      <c r="F60" s="251"/>
    </row>
    <row r="61" spans="2:14" ht="30" customHeight="1">
      <c r="D61" s="252" t="s">
        <v>14</v>
      </c>
      <c r="E61" s="252"/>
      <c r="F61" s="252"/>
    </row>
    <row r="69" spans="4:4" ht="30" customHeight="1">
      <c r="D69" s="176"/>
    </row>
  </sheetData>
  <mergeCells count="9">
    <mergeCell ref="N29:N30"/>
    <mergeCell ref="D60:F60"/>
    <mergeCell ref="D61:F61"/>
    <mergeCell ref="B2:C2"/>
    <mergeCell ref="D2:G2"/>
    <mergeCell ref="C3:G3"/>
    <mergeCell ref="K29:K30"/>
    <mergeCell ref="L29:L30"/>
    <mergeCell ref="M29:M30"/>
  </mergeCells>
  <conditionalFormatting sqref="C54:C55">
    <cfRule type="duplicateValues" dxfId="2561" priority="1"/>
  </conditionalFormatting>
  <conditionalFormatting sqref="C56:C1048576 C1:C53">
    <cfRule type="duplicateValues" dxfId="2560" priority="3"/>
  </conditionalFormatting>
  <pageMargins left="0.7" right="0.7" top="0.75" bottom="0.75" header="0.3" footer="0.3"/>
  <pageSetup paperSize="9" scale="34" orientation="portrait" r:id="rId1"/>
  <colBreaks count="1" manualBreakCount="1">
    <brk id="8" max="7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666"/>
  <sheetViews>
    <sheetView tabSelected="1" view="pageBreakPreview" zoomScale="51" zoomScaleNormal="55" zoomScaleSheetLayoutView="51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2" sqref="I2"/>
    </sheetView>
  </sheetViews>
  <sheetFormatPr defaultRowHeight="21"/>
  <cols>
    <col min="1" max="1" width="10.7109375" style="56" customWidth="1"/>
    <col min="2" max="2" width="13.5703125" style="220" customWidth="1"/>
    <col min="3" max="3" width="55.42578125" style="58" bestFit="1" customWidth="1"/>
    <col min="4" max="4" width="80" style="58" customWidth="1"/>
    <col min="5" max="5" width="46" style="78" customWidth="1"/>
    <col min="6" max="7" width="10.28515625" style="56" customWidth="1"/>
    <col min="8" max="8" width="14.5703125" style="56" customWidth="1"/>
    <col min="9" max="9" width="87.42578125" style="62" customWidth="1"/>
    <col min="10" max="10" width="5.7109375" style="69" customWidth="1"/>
    <col min="11" max="11" width="8.140625" style="70" bestFit="1" customWidth="1"/>
    <col min="12" max="12" width="5.7109375" style="70" customWidth="1"/>
    <col min="13" max="13" width="7.7109375" style="70" bestFit="1" customWidth="1"/>
    <col min="14" max="14" width="5.7109375" style="71" customWidth="1"/>
    <col min="15" max="15" width="24.28515625" bestFit="1" customWidth="1"/>
    <col min="17" max="17" width="16" customWidth="1"/>
    <col min="18" max="18" width="24.28515625" bestFit="1" customWidth="1"/>
    <col min="19" max="19" width="14.28515625" customWidth="1"/>
    <col min="20" max="20" width="30.5703125" customWidth="1"/>
    <col min="21" max="21" width="24.5703125" bestFit="1" customWidth="1"/>
  </cols>
  <sheetData>
    <row r="1" spans="1:15" ht="42.75" customHeight="1">
      <c r="A1" s="267" t="s">
        <v>1210</v>
      </c>
      <c r="B1" s="268"/>
      <c r="C1" s="268"/>
      <c r="D1" s="269"/>
      <c r="E1" s="1"/>
      <c r="F1" s="1"/>
      <c r="G1" s="2"/>
      <c r="H1" s="3"/>
      <c r="I1" s="4" t="str">
        <f>+CHOOSE(WEEKDAY(I2,2),"Понедельник","Вторник","Среда","Четверг","Пятница","Суббота","Воскресенье.")</f>
        <v>Пятница</v>
      </c>
      <c r="J1" s="265" t="s">
        <v>0</v>
      </c>
      <c r="K1" s="266" t="s">
        <v>1</v>
      </c>
      <c r="L1" s="266" t="s">
        <v>2</v>
      </c>
      <c r="M1" s="261" t="s">
        <v>3</v>
      </c>
      <c r="N1" s="261" t="s">
        <v>4</v>
      </c>
    </row>
    <row r="2" spans="1:15" s="8" customFormat="1" ht="39.950000000000003" customHeight="1">
      <c r="A2" s="5" t="s">
        <v>5</v>
      </c>
      <c r="B2" s="6" t="s">
        <v>6</v>
      </c>
      <c r="C2" s="6" t="s">
        <v>7</v>
      </c>
      <c r="D2" s="6" t="s">
        <v>8</v>
      </c>
      <c r="E2" s="6" t="s">
        <v>3317</v>
      </c>
      <c r="F2" s="6" t="s">
        <v>10</v>
      </c>
      <c r="G2" s="6" t="s">
        <v>11</v>
      </c>
      <c r="H2" s="6" t="s">
        <v>12</v>
      </c>
      <c r="I2" s="7">
        <v>46122</v>
      </c>
      <c r="J2" s="265"/>
      <c r="K2" s="266"/>
      <c r="L2" s="266"/>
      <c r="M2" s="261"/>
      <c r="N2" s="261"/>
    </row>
    <row r="3" spans="1:15" s="21" customFormat="1" ht="39.950000000000003" customHeight="1">
      <c r="A3" s="9">
        <v>1</v>
      </c>
      <c r="B3" s="207">
        <v>2037</v>
      </c>
      <c r="C3" s="231" t="s">
        <v>977</v>
      </c>
      <c r="D3" s="231" t="s">
        <v>978</v>
      </c>
      <c r="E3" s="225" t="s">
        <v>15</v>
      </c>
      <c r="F3" s="13" t="s">
        <v>17</v>
      </c>
      <c r="G3" s="14"/>
      <c r="H3" s="15"/>
      <c r="I3" s="16"/>
      <c r="J3" s="17"/>
      <c r="K3" s="18">
        <v>1</v>
      </c>
      <c r="L3" s="18"/>
      <c r="M3" s="23"/>
      <c r="N3" s="17">
        <v>1</v>
      </c>
    </row>
    <row r="4" spans="1:15" s="21" customFormat="1" ht="39.950000000000003" customHeight="1">
      <c r="A4" s="9">
        <v>2</v>
      </c>
      <c r="B4" s="207">
        <v>2035</v>
      </c>
      <c r="C4" s="231" t="s">
        <v>13</v>
      </c>
      <c r="D4" s="231" t="s">
        <v>14</v>
      </c>
      <c r="E4" s="225" t="s">
        <v>15</v>
      </c>
      <c r="F4" s="13" t="s">
        <v>17</v>
      </c>
      <c r="G4" s="14"/>
      <c r="H4" s="15"/>
      <c r="I4" s="16"/>
      <c r="J4" s="17"/>
      <c r="K4" s="18">
        <v>1</v>
      </c>
      <c r="L4" s="18"/>
      <c r="M4" s="23"/>
      <c r="N4" s="17">
        <v>1</v>
      </c>
    </row>
    <row r="5" spans="1:15" s="21" customFormat="1" ht="39.950000000000003" customHeight="1">
      <c r="A5" s="9">
        <v>3</v>
      </c>
      <c r="B5" s="207">
        <v>2793</v>
      </c>
      <c r="C5" s="231" t="s">
        <v>1611</v>
      </c>
      <c r="D5" s="231" t="s">
        <v>1612</v>
      </c>
      <c r="E5" s="225" t="s">
        <v>15</v>
      </c>
      <c r="F5" s="13" t="s">
        <v>17</v>
      </c>
      <c r="G5" s="14"/>
      <c r="H5" s="15"/>
      <c r="I5" s="16"/>
      <c r="J5" s="17"/>
      <c r="K5" s="18">
        <v>1</v>
      </c>
      <c r="L5" s="18"/>
      <c r="M5" s="23"/>
      <c r="N5" s="17">
        <v>1</v>
      </c>
    </row>
    <row r="6" spans="1:15" s="21" customFormat="1" ht="39.950000000000003" customHeight="1">
      <c r="A6" s="9">
        <v>4</v>
      </c>
      <c r="B6" s="207">
        <v>2799</v>
      </c>
      <c r="C6" s="231" t="s">
        <v>2596</v>
      </c>
      <c r="D6" s="231" t="s">
        <v>2597</v>
      </c>
      <c r="E6" s="225" t="s">
        <v>26</v>
      </c>
      <c r="F6" s="13">
        <v>0</v>
      </c>
      <c r="G6" s="14"/>
      <c r="H6" s="15"/>
      <c r="I6" s="22" t="s">
        <v>34</v>
      </c>
      <c r="J6" s="25"/>
      <c r="K6" s="29">
        <v>0</v>
      </c>
      <c r="L6" s="27"/>
      <c r="M6" s="28">
        <v>1</v>
      </c>
      <c r="N6" s="25">
        <v>1</v>
      </c>
    </row>
    <row r="7" spans="1:15" s="21" customFormat="1" ht="39.950000000000003" customHeight="1">
      <c r="A7" s="9">
        <v>5</v>
      </c>
      <c r="B7" s="207">
        <v>2003</v>
      </c>
      <c r="C7" s="231" t="s">
        <v>19</v>
      </c>
      <c r="D7" s="231" t="s">
        <v>954</v>
      </c>
      <c r="E7" s="225" t="s">
        <v>20</v>
      </c>
      <c r="F7" s="13" t="s">
        <v>17</v>
      </c>
      <c r="G7" s="14"/>
      <c r="H7" s="15"/>
      <c r="I7" s="16"/>
      <c r="J7" s="17"/>
      <c r="K7" s="18">
        <v>1</v>
      </c>
      <c r="L7" s="19"/>
      <c r="M7" s="20"/>
      <c r="N7" s="17">
        <v>1</v>
      </c>
    </row>
    <row r="8" spans="1:15" s="21" customFormat="1" ht="39.950000000000003" customHeight="1">
      <c r="A8" s="9">
        <v>6</v>
      </c>
      <c r="B8" s="207">
        <v>2008</v>
      </c>
      <c r="C8" s="231" t="s">
        <v>21</v>
      </c>
      <c r="D8" s="231" t="s">
        <v>22</v>
      </c>
      <c r="E8" s="225" t="s">
        <v>23</v>
      </c>
      <c r="F8" s="13" t="s">
        <v>17</v>
      </c>
      <c r="G8" s="14"/>
      <c r="H8" s="15"/>
      <c r="I8" s="16"/>
      <c r="J8" s="17"/>
      <c r="K8" s="18">
        <v>1</v>
      </c>
      <c r="L8" s="19"/>
      <c r="M8" s="20"/>
      <c r="N8" s="17">
        <v>1</v>
      </c>
    </row>
    <row r="9" spans="1:15" s="21" customFormat="1" ht="39.950000000000003" customHeight="1">
      <c r="A9" s="9">
        <v>7</v>
      </c>
      <c r="B9" s="207">
        <v>2022</v>
      </c>
      <c r="C9" s="231" t="s">
        <v>24</v>
      </c>
      <c r="D9" s="231" t="s">
        <v>1599</v>
      </c>
      <c r="E9" s="225" t="s">
        <v>25</v>
      </c>
      <c r="F9" s="13" t="s">
        <v>17</v>
      </c>
      <c r="G9" s="14"/>
      <c r="H9" s="15"/>
      <c r="I9" s="16"/>
      <c r="J9" s="17"/>
      <c r="K9" s="18">
        <v>1</v>
      </c>
      <c r="L9" s="19"/>
      <c r="M9" s="20"/>
      <c r="N9" s="17">
        <v>1</v>
      </c>
    </row>
    <row r="10" spans="1:15" s="21" customFormat="1" ht="39.950000000000003" customHeight="1">
      <c r="A10" s="9">
        <v>8</v>
      </c>
      <c r="B10" s="207" t="s">
        <v>979</v>
      </c>
      <c r="C10" s="231" t="s">
        <v>28</v>
      </c>
      <c r="D10" s="231" t="s">
        <v>29</v>
      </c>
      <c r="E10" s="225" t="s">
        <v>27</v>
      </c>
      <c r="F10" s="13" t="s">
        <v>17</v>
      </c>
      <c r="G10" s="14"/>
      <c r="H10" s="15"/>
      <c r="I10" s="22" t="s">
        <v>3584</v>
      </c>
      <c r="J10" s="17"/>
      <c r="K10" s="18">
        <v>1</v>
      </c>
      <c r="L10" s="19"/>
      <c r="M10" s="28"/>
      <c r="N10" s="17">
        <v>1</v>
      </c>
    </row>
    <row r="11" spans="1:15" s="21" customFormat="1" ht="39.950000000000003" customHeight="1">
      <c r="A11" s="9">
        <v>9</v>
      </c>
      <c r="B11" s="207">
        <v>2797</v>
      </c>
      <c r="C11" s="231" t="s">
        <v>2553</v>
      </c>
      <c r="D11" s="231" t="s">
        <v>2554</v>
      </c>
      <c r="E11" s="225" t="s">
        <v>27</v>
      </c>
      <c r="F11" s="13" t="s">
        <v>17</v>
      </c>
      <c r="G11" s="14"/>
      <c r="H11" s="15"/>
      <c r="I11" s="16"/>
      <c r="J11" s="17"/>
      <c r="K11" s="18">
        <v>1</v>
      </c>
      <c r="L11" s="19"/>
      <c r="M11" s="20"/>
      <c r="N11" s="17">
        <v>1</v>
      </c>
    </row>
    <row r="12" spans="1:15" s="21" customFormat="1" ht="39.950000000000003" customHeight="1">
      <c r="A12" s="9">
        <v>10</v>
      </c>
      <c r="B12" s="207">
        <v>2027</v>
      </c>
      <c r="C12" s="231" t="s">
        <v>30</v>
      </c>
      <c r="D12" s="231" t="s">
        <v>31</v>
      </c>
      <c r="E12" s="225" t="s">
        <v>32</v>
      </c>
      <c r="F12" s="13" t="s">
        <v>17</v>
      </c>
      <c r="G12" s="14"/>
      <c r="H12" s="15"/>
      <c r="I12" s="16"/>
      <c r="J12" s="17"/>
      <c r="K12" s="18">
        <v>1</v>
      </c>
      <c r="L12" s="19"/>
      <c r="M12" s="20"/>
      <c r="N12" s="17">
        <v>1</v>
      </c>
    </row>
    <row r="13" spans="1:15" s="21" customFormat="1" ht="39.950000000000003" customHeight="1">
      <c r="A13" s="9">
        <v>11</v>
      </c>
      <c r="B13" s="207">
        <v>2739</v>
      </c>
      <c r="C13" s="231" t="s">
        <v>35</v>
      </c>
      <c r="D13" s="231" t="s">
        <v>1037</v>
      </c>
      <c r="E13" s="225" t="s">
        <v>33</v>
      </c>
      <c r="F13" s="13" t="s">
        <v>17</v>
      </c>
      <c r="G13" s="14"/>
      <c r="H13" s="15"/>
      <c r="I13" s="16"/>
      <c r="J13" s="17"/>
      <c r="K13" s="18">
        <v>1</v>
      </c>
      <c r="L13" s="19"/>
      <c r="M13" s="20"/>
      <c r="N13" s="17">
        <v>1</v>
      </c>
    </row>
    <row r="14" spans="1:15" s="21" customFormat="1" ht="39.950000000000003" customHeight="1">
      <c r="A14" s="9">
        <v>12</v>
      </c>
      <c r="B14" s="207">
        <v>2033</v>
      </c>
      <c r="C14" s="231" t="s">
        <v>1360</v>
      </c>
      <c r="D14" s="231" t="s">
        <v>1361</v>
      </c>
      <c r="E14" s="225" t="s">
        <v>33</v>
      </c>
      <c r="F14" s="13" t="s">
        <v>17</v>
      </c>
      <c r="G14" s="14"/>
      <c r="H14" s="15"/>
      <c r="I14" s="16"/>
      <c r="J14" s="17"/>
      <c r="K14" s="18">
        <v>1</v>
      </c>
      <c r="L14" s="209"/>
      <c r="M14" s="210"/>
      <c r="N14" s="17">
        <v>1</v>
      </c>
      <c r="O14" s="211"/>
    </row>
    <row r="15" spans="1:15" s="21" customFormat="1" ht="39.950000000000003" customHeight="1">
      <c r="A15" s="9">
        <v>13</v>
      </c>
      <c r="B15" s="207">
        <v>2728</v>
      </c>
      <c r="C15" s="231" t="s">
        <v>37</v>
      </c>
      <c r="D15" s="231" t="s">
        <v>956</v>
      </c>
      <c r="E15" s="225" t="s">
        <v>36</v>
      </c>
      <c r="F15" s="13" t="s">
        <v>17</v>
      </c>
      <c r="G15" s="14"/>
      <c r="H15" s="15"/>
      <c r="I15" s="16"/>
      <c r="J15" s="17"/>
      <c r="K15" s="18">
        <v>1</v>
      </c>
      <c r="L15" s="19"/>
      <c r="M15" s="20"/>
      <c r="N15" s="17">
        <v>1</v>
      </c>
    </row>
    <row r="16" spans="1:15" s="21" customFormat="1" ht="39.950000000000003" customHeight="1">
      <c r="A16" s="9">
        <v>14</v>
      </c>
      <c r="B16" s="207">
        <v>2782</v>
      </c>
      <c r="C16" s="231" t="s">
        <v>38</v>
      </c>
      <c r="D16" s="231" t="s">
        <v>39</v>
      </c>
      <c r="E16" s="225" t="s">
        <v>36</v>
      </c>
      <c r="F16" s="13" t="s">
        <v>17</v>
      </c>
      <c r="G16" s="14"/>
      <c r="H16" s="15"/>
      <c r="I16" s="16"/>
      <c r="J16" s="17"/>
      <c r="K16" s="18">
        <v>1</v>
      </c>
      <c r="L16" s="19"/>
      <c r="M16" s="20"/>
      <c r="N16" s="17">
        <v>1</v>
      </c>
    </row>
    <row r="17" spans="1:15" s="21" customFormat="1" ht="39.950000000000003" customHeight="1">
      <c r="A17" s="9">
        <v>15</v>
      </c>
      <c r="B17" s="207">
        <v>2778</v>
      </c>
      <c r="C17" s="231" t="s">
        <v>1000</v>
      </c>
      <c r="D17" s="231" t="s">
        <v>1001</v>
      </c>
      <c r="E17" s="225" t="s">
        <v>36</v>
      </c>
      <c r="F17" s="13" t="s">
        <v>17</v>
      </c>
      <c r="G17" s="14"/>
      <c r="H17" s="15"/>
      <c r="I17" s="16"/>
      <c r="J17" s="17"/>
      <c r="K17" s="18">
        <v>1</v>
      </c>
      <c r="L17" s="19"/>
      <c r="M17" s="20"/>
      <c r="N17" s="17">
        <v>1</v>
      </c>
      <c r="O17" s="34"/>
    </row>
    <row r="18" spans="1:15" s="21" customFormat="1" ht="39.950000000000003" customHeight="1">
      <c r="A18" s="9">
        <v>16</v>
      </c>
      <c r="B18" s="207">
        <v>2026</v>
      </c>
      <c r="C18" s="231" t="s">
        <v>940</v>
      </c>
      <c r="D18" s="231" t="s">
        <v>941</v>
      </c>
      <c r="E18" s="12" t="s">
        <v>942</v>
      </c>
      <c r="F18" s="13" t="s">
        <v>17</v>
      </c>
      <c r="G18" s="14"/>
      <c r="H18" s="15"/>
      <c r="I18" s="16"/>
      <c r="J18" s="17"/>
      <c r="K18" s="18">
        <v>1</v>
      </c>
      <c r="L18" s="19"/>
      <c r="M18" s="20"/>
      <c r="N18" s="17">
        <v>1</v>
      </c>
    </row>
    <row r="19" spans="1:15" s="21" customFormat="1" ht="39.950000000000003" customHeight="1">
      <c r="A19" s="9">
        <v>17</v>
      </c>
      <c r="B19" s="207" t="s">
        <v>979</v>
      </c>
      <c r="C19" s="231" t="s">
        <v>2417</v>
      </c>
      <c r="D19" s="231" t="s">
        <v>2418</v>
      </c>
      <c r="E19" s="12" t="s">
        <v>942</v>
      </c>
      <c r="F19" s="13" t="s">
        <v>17</v>
      </c>
      <c r="G19" s="212"/>
      <c r="H19" s="15"/>
      <c r="I19" s="22" t="s">
        <v>2419</v>
      </c>
      <c r="J19" s="24"/>
      <c r="K19" s="19">
        <v>1</v>
      </c>
      <c r="L19" s="19"/>
      <c r="M19" s="20"/>
      <c r="N19" s="17">
        <v>1</v>
      </c>
    </row>
    <row r="20" spans="1:15" s="21" customFormat="1" ht="39.950000000000003" customHeight="1">
      <c r="A20" s="9">
        <v>18</v>
      </c>
      <c r="B20" s="207">
        <v>2028</v>
      </c>
      <c r="C20" s="231" t="s">
        <v>40</v>
      </c>
      <c r="D20" s="231" t="s">
        <v>41</v>
      </c>
      <c r="E20" s="225" t="s">
        <v>42</v>
      </c>
      <c r="F20" s="13" t="s">
        <v>17</v>
      </c>
      <c r="G20" s="14"/>
      <c r="H20" s="15"/>
      <c r="I20" s="16"/>
      <c r="J20" s="17"/>
      <c r="K20" s="18">
        <v>1</v>
      </c>
      <c r="L20" s="19"/>
      <c r="M20" s="20"/>
      <c r="N20" s="17">
        <v>1</v>
      </c>
      <c r="O20" s="34"/>
    </row>
    <row r="21" spans="1:15" s="21" customFormat="1" ht="39.950000000000003" customHeight="1">
      <c r="A21" s="9">
        <v>19</v>
      </c>
      <c r="B21" s="207">
        <v>2023</v>
      </c>
      <c r="C21" s="231" t="s">
        <v>43</v>
      </c>
      <c r="D21" s="231" t="s">
        <v>44</v>
      </c>
      <c r="E21" s="225" t="s">
        <v>45</v>
      </c>
      <c r="F21" s="13" t="s">
        <v>17</v>
      </c>
      <c r="G21" s="14"/>
      <c r="H21" s="15"/>
      <c r="I21" s="16"/>
      <c r="J21" s="17"/>
      <c r="K21" s="18">
        <v>1</v>
      </c>
      <c r="L21" s="19"/>
      <c r="M21" s="20"/>
      <c r="N21" s="17">
        <v>1</v>
      </c>
      <c r="O21" s="34"/>
    </row>
    <row r="22" spans="1:15" s="21" customFormat="1" ht="39.950000000000003" customHeight="1">
      <c r="A22" s="9">
        <v>20</v>
      </c>
      <c r="B22" s="207">
        <v>2735</v>
      </c>
      <c r="C22" s="231" t="s">
        <v>1604</v>
      </c>
      <c r="D22" s="231" t="s">
        <v>1605</v>
      </c>
      <c r="E22" s="225" t="s">
        <v>46</v>
      </c>
      <c r="F22" s="13" t="s">
        <v>17</v>
      </c>
      <c r="G22" s="14"/>
      <c r="H22" s="15"/>
      <c r="I22" s="16"/>
      <c r="J22" s="17"/>
      <c r="K22" s="18">
        <v>1</v>
      </c>
      <c r="L22" s="19"/>
      <c r="M22" s="20"/>
      <c r="N22" s="17">
        <v>1</v>
      </c>
    </row>
    <row r="23" spans="1:15" s="21" customFormat="1" ht="39.950000000000003" customHeight="1">
      <c r="A23" s="9">
        <v>21</v>
      </c>
      <c r="B23" s="207">
        <v>2774</v>
      </c>
      <c r="C23" s="231" t="s">
        <v>851</v>
      </c>
      <c r="D23" s="231" t="s">
        <v>850</v>
      </c>
      <c r="E23" s="225" t="s">
        <v>47</v>
      </c>
      <c r="F23" s="13" t="s">
        <v>17</v>
      </c>
      <c r="G23" s="30"/>
      <c r="H23" s="30"/>
      <c r="I23" s="16"/>
      <c r="J23" s="31"/>
      <c r="K23" s="32">
        <v>1</v>
      </c>
      <c r="L23" s="32"/>
      <c r="M23" s="20"/>
      <c r="N23" s="17">
        <v>1</v>
      </c>
    </row>
    <row r="24" spans="1:15" s="21" customFormat="1" ht="39.950000000000003" customHeight="1">
      <c r="A24" s="9">
        <v>22</v>
      </c>
      <c r="B24" s="207" t="s">
        <v>979</v>
      </c>
      <c r="C24" s="231" t="s">
        <v>2806</v>
      </c>
      <c r="D24" s="231" t="s">
        <v>2807</v>
      </c>
      <c r="E24" s="225" t="s">
        <v>47</v>
      </c>
      <c r="F24" s="13" t="s">
        <v>17</v>
      </c>
      <c r="G24" s="30"/>
      <c r="H24" s="30"/>
      <c r="I24" s="22" t="s">
        <v>1359</v>
      </c>
      <c r="J24" s="31"/>
      <c r="K24" s="32">
        <v>1</v>
      </c>
      <c r="L24" s="32"/>
      <c r="M24" s="20"/>
      <c r="N24" s="17">
        <v>1</v>
      </c>
    </row>
    <row r="25" spans="1:15" s="21" customFormat="1" ht="39.950000000000003" customHeight="1">
      <c r="A25" s="9">
        <v>23</v>
      </c>
      <c r="B25" s="207">
        <v>2794</v>
      </c>
      <c r="C25" s="231" t="s">
        <v>1890</v>
      </c>
      <c r="D25" s="231" t="s">
        <v>1891</v>
      </c>
      <c r="E25" s="225" t="s">
        <v>47</v>
      </c>
      <c r="F25" s="13" t="s">
        <v>17</v>
      </c>
      <c r="G25" s="30"/>
      <c r="H25" s="30"/>
      <c r="I25" s="16"/>
      <c r="J25" s="31"/>
      <c r="K25" s="32">
        <v>1</v>
      </c>
      <c r="L25" s="32"/>
      <c r="M25" s="20"/>
      <c r="N25" s="17">
        <v>1</v>
      </c>
      <c r="O25" s="34"/>
    </row>
    <row r="26" spans="1:15" s="21" customFormat="1" ht="39.950000000000003" customHeight="1">
      <c r="A26" s="9">
        <v>24</v>
      </c>
      <c r="B26" s="207">
        <v>2039</v>
      </c>
      <c r="C26" s="231" t="s">
        <v>1029</v>
      </c>
      <c r="D26" s="231" t="s">
        <v>1030</v>
      </c>
      <c r="E26" s="225" t="s">
        <v>1031</v>
      </c>
      <c r="F26" s="13" t="s">
        <v>17</v>
      </c>
      <c r="G26" s="14"/>
      <c r="H26" s="15"/>
      <c r="I26" s="16"/>
      <c r="J26" s="24"/>
      <c r="K26" s="19">
        <v>1</v>
      </c>
      <c r="L26" s="19"/>
      <c r="M26" s="20"/>
      <c r="N26" s="17">
        <v>1</v>
      </c>
    </row>
    <row r="27" spans="1:15" s="21" customFormat="1" ht="39.950000000000003" customHeight="1">
      <c r="A27" s="9">
        <v>25</v>
      </c>
      <c r="B27" s="207">
        <v>2790</v>
      </c>
      <c r="C27" s="231" t="s">
        <v>1479</v>
      </c>
      <c r="D27" s="231" t="s">
        <v>1480</v>
      </c>
      <c r="E27" s="225" t="s">
        <v>50</v>
      </c>
      <c r="F27" s="13" t="s">
        <v>17</v>
      </c>
      <c r="G27" s="14"/>
      <c r="H27" s="15"/>
      <c r="I27" s="16"/>
      <c r="J27" s="24"/>
      <c r="K27" s="19">
        <v>1</v>
      </c>
      <c r="L27" s="36"/>
      <c r="M27" s="28"/>
      <c r="N27" s="17">
        <v>1</v>
      </c>
    </row>
    <row r="28" spans="1:15" s="21" customFormat="1" ht="39.950000000000003" customHeight="1">
      <c r="A28" s="9">
        <v>26</v>
      </c>
      <c r="B28" s="207">
        <v>2025</v>
      </c>
      <c r="C28" s="231" t="s">
        <v>1072</v>
      </c>
      <c r="D28" s="231" t="s">
        <v>1071</v>
      </c>
      <c r="E28" s="225" t="s">
        <v>50</v>
      </c>
      <c r="F28" s="13">
        <v>0</v>
      </c>
      <c r="G28" s="30"/>
      <c r="H28" s="30"/>
      <c r="I28" s="22" t="s">
        <v>34</v>
      </c>
      <c r="J28" s="31"/>
      <c r="K28" s="32">
        <v>0</v>
      </c>
      <c r="L28" s="32"/>
      <c r="M28" s="33">
        <v>1</v>
      </c>
      <c r="N28" s="17">
        <v>1</v>
      </c>
    </row>
    <row r="29" spans="1:15" s="21" customFormat="1" ht="39.950000000000003" customHeight="1">
      <c r="A29" s="9">
        <v>27</v>
      </c>
      <c r="B29" s="207">
        <v>2801</v>
      </c>
      <c r="C29" s="231" t="s">
        <v>3050</v>
      </c>
      <c r="D29" s="231" t="s">
        <v>3051</v>
      </c>
      <c r="E29" s="225" t="s">
        <v>50</v>
      </c>
      <c r="F29" s="13">
        <v>0</v>
      </c>
      <c r="G29" s="14"/>
      <c r="H29" s="15"/>
      <c r="I29" s="22" t="s">
        <v>221</v>
      </c>
      <c r="J29" s="26"/>
      <c r="K29" s="36">
        <v>0</v>
      </c>
      <c r="L29" s="27"/>
      <c r="M29" s="28">
        <v>1</v>
      </c>
      <c r="N29" s="17">
        <v>1</v>
      </c>
      <c r="O29" s="34"/>
    </row>
    <row r="30" spans="1:15" s="21" customFormat="1" ht="39.950000000000003" customHeight="1">
      <c r="A30" s="9">
        <v>28</v>
      </c>
      <c r="B30" s="207">
        <v>2047</v>
      </c>
      <c r="C30" s="231" t="s">
        <v>1864</v>
      </c>
      <c r="D30" s="231" t="s">
        <v>1865</v>
      </c>
      <c r="E30" s="225" t="s">
        <v>2137</v>
      </c>
      <c r="F30" s="13" t="s">
        <v>17</v>
      </c>
      <c r="G30" s="212"/>
      <c r="H30" s="15"/>
      <c r="I30" s="16"/>
      <c r="J30" s="35"/>
      <c r="K30" s="36">
        <v>1</v>
      </c>
      <c r="L30" s="19"/>
      <c r="M30" s="20"/>
      <c r="N30" s="17">
        <v>1</v>
      </c>
      <c r="O30" s="34"/>
    </row>
    <row r="31" spans="1:15" s="21" customFormat="1" ht="39.950000000000003" customHeight="1">
      <c r="A31" s="9">
        <v>29</v>
      </c>
      <c r="B31" s="207">
        <v>2776</v>
      </c>
      <c r="C31" s="231" t="s">
        <v>1606</v>
      </c>
      <c r="D31" s="231" t="s">
        <v>1607</v>
      </c>
      <c r="E31" s="225" t="s">
        <v>1608</v>
      </c>
      <c r="F31" s="13" t="s">
        <v>17</v>
      </c>
      <c r="G31" s="212"/>
      <c r="H31" s="15"/>
      <c r="I31" s="16"/>
      <c r="J31" s="35"/>
      <c r="K31" s="36">
        <v>1</v>
      </c>
      <c r="L31" s="32"/>
      <c r="M31" s="33"/>
      <c r="N31" s="17">
        <v>1</v>
      </c>
    </row>
    <row r="32" spans="1:15" s="21" customFormat="1" ht="39.950000000000003" customHeight="1">
      <c r="A32" s="9">
        <v>30</v>
      </c>
      <c r="B32" s="207">
        <v>2029</v>
      </c>
      <c r="C32" s="231" t="s">
        <v>1307</v>
      </c>
      <c r="D32" s="231" t="s">
        <v>1308</v>
      </c>
      <c r="E32" s="225" t="s">
        <v>1309</v>
      </c>
      <c r="F32" s="13">
        <v>0</v>
      </c>
      <c r="G32" s="14"/>
      <c r="H32" s="15"/>
      <c r="I32" s="22" t="s">
        <v>221</v>
      </c>
      <c r="J32" s="26"/>
      <c r="K32" s="36">
        <v>0</v>
      </c>
      <c r="L32" s="27"/>
      <c r="M32" s="28">
        <v>1</v>
      </c>
      <c r="N32" s="17">
        <v>1</v>
      </c>
    </row>
    <row r="33" spans="1:15" s="21" customFormat="1" ht="39.950000000000003" customHeight="1">
      <c r="A33" s="9">
        <v>31</v>
      </c>
      <c r="B33" s="207">
        <v>2788</v>
      </c>
      <c r="C33" s="231" t="s">
        <v>1600</v>
      </c>
      <c r="D33" s="231" t="s">
        <v>1601</v>
      </c>
      <c r="E33" s="225" t="s">
        <v>1602</v>
      </c>
      <c r="F33" s="13" t="s">
        <v>17</v>
      </c>
      <c r="G33" s="30"/>
      <c r="H33" s="30"/>
      <c r="I33" s="16"/>
      <c r="J33" s="31"/>
      <c r="K33" s="32">
        <v>1</v>
      </c>
      <c r="L33" s="32"/>
      <c r="M33" s="33"/>
      <c r="N33" s="17">
        <v>1</v>
      </c>
    </row>
    <row r="34" spans="1:15" s="21" customFormat="1" ht="39.950000000000003" customHeight="1">
      <c r="A34" s="9">
        <v>32</v>
      </c>
      <c r="B34" s="207">
        <v>2705</v>
      </c>
      <c r="C34" s="231" t="s">
        <v>53</v>
      </c>
      <c r="D34" s="231" t="s">
        <v>54</v>
      </c>
      <c r="E34" s="225" t="s">
        <v>52</v>
      </c>
      <c r="F34" s="13" t="s">
        <v>17</v>
      </c>
      <c r="G34" s="30"/>
      <c r="H34" s="30"/>
      <c r="I34" s="16"/>
      <c r="J34" s="31"/>
      <c r="K34" s="32">
        <v>1</v>
      </c>
      <c r="L34" s="32"/>
      <c r="M34" s="20"/>
      <c r="N34" s="17">
        <v>1</v>
      </c>
    </row>
    <row r="35" spans="1:15" s="21" customFormat="1" ht="39.950000000000003" customHeight="1">
      <c r="A35" s="9">
        <v>33</v>
      </c>
      <c r="B35" s="207">
        <v>2775</v>
      </c>
      <c r="C35" s="231" t="s">
        <v>831</v>
      </c>
      <c r="D35" s="231" t="s">
        <v>830</v>
      </c>
      <c r="E35" s="225" t="s">
        <v>52</v>
      </c>
      <c r="F35" s="13" t="s">
        <v>17</v>
      </c>
      <c r="G35" s="14"/>
      <c r="H35" s="15"/>
      <c r="I35" s="16"/>
      <c r="J35" s="17"/>
      <c r="K35" s="18">
        <v>1</v>
      </c>
      <c r="L35" s="19"/>
      <c r="M35" s="20"/>
      <c r="N35" s="17">
        <v>1</v>
      </c>
    </row>
    <row r="36" spans="1:15" s="21" customFormat="1" ht="39.950000000000003" customHeight="1">
      <c r="A36" s="9">
        <v>34</v>
      </c>
      <c r="B36" s="207">
        <v>2772</v>
      </c>
      <c r="C36" s="231" t="s">
        <v>1609</v>
      </c>
      <c r="D36" s="231" t="s">
        <v>1610</v>
      </c>
      <c r="E36" s="225" t="s">
        <v>52</v>
      </c>
      <c r="F36" s="13" t="s">
        <v>17</v>
      </c>
      <c r="G36" s="14"/>
      <c r="H36" s="15"/>
      <c r="I36" s="16"/>
      <c r="J36" s="17"/>
      <c r="K36" s="18">
        <v>1</v>
      </c>
      <c r="L36" s="19"/>
      <c r="M36" s="20"/>
      <c r="N36" s="17">
        <v>1</v>
      </c>
    </row>
    <row r="37" spans="1:15" s="21" customFormat="1" ht="39.950000000000003" customHeight="1">
      <c r="A37" s="9">
        <v>35</v>
      </c>
      <c r="B37" s="207">
        <v>2785</v>
      </c>
      <c r="C37" s="231" t="s">
        <v>1209</v>
      </c>
      <c r="D37" s="231" t="s">
        <v>1186</v>
      </c>
      <c r="E37" s="225" t="s">
        <v>52</v>
      </c>
      <c r="F37" s="13" t="s">
        <v>17</v>
      </c>
      <c r="G37" s="14"/>
      <c r="H37" s="15"/>
      <c r="I37" s="16"/>
      <c r="J37" s="17"/>
      <c r="K37" s="18">
        <v>1</v>
      </c>
      <c r="L37" s="19"/>
      <c r="M37" s="20"/>
      <c r="N37" s="17">
        <v>1</v>
      </c>
    </row>
    <row r="38" spans="1:15" s="21" customFormat="1" ht="39.950000000000003" customHeight="1">
      <c r="A38" s="9">
        <v>36</v>
      </c>
      <c r="B38" s="207">
        <v>2789</v>
      </c>
      <c r="C38" s="231" t="s">
        <v>1362</v>
      </c>
      <c r="D38" s="231" t="s">
        <v>1363</v>
      </c>
      <c r="E38" s="225" t="s">
        <v>52</v>
      </c>
      <c r="F38" s="13" t="s">
        <v>17</v>
      </c>
      <c r="G38" s="14"/>
      <c r="H38" s="15"/>
      <c r="I38" s="16"/>
      <c r="J38" s="17"/>
      <c r="K38" s="18">
        <v>1</v>
      </c>
      <c r="L38" s="19"/>
      <c r="M38" s="20"/>
      <c r="N38" s="17">
        <v>1</v>
      </c>
      <c r="O38" s="211"/>
    </row>
    <row r="39" spans="1:15" s="21" customFormat="1" ht="39.950000000000003" customHeight="1">
      <c r="A39" s="9">
        <v>37</v>
      </c>
      <c r="B39" s="207">
        <v>2796</v>
      </c>
      <c r="C39" s="231" t="s">
        <v>2007</v>
      </c>
      <c r="D39" s="231" t="s">
        <v>2008</v>
      </c>
      <c r="E39" s="225" t="s">
        <v>52</v>
      </c>
      <c r="F39" s="13" t="s">
        <v>17</v>
      </c>
      <c r="G39" s="14"/>
      <c r="H39" s="15"/>
      <c r="I39" s="16"/>
      <c r="J39" s="17"/>
      <c r="K39" s="18">
        <v>1</v>
      </c>
      <c r="L39" s="19"/>
      <c r="M39" s="20"/>
      <c r="N39" s="17">
        <v>1</v>
      </c>
      <c r="O39" s="211"/>
    </row>
    <row r="40" spans="1:15" s="21" customFormat="1" ht="39.950000000000003" customHeight="1">
      <c r="A40" s="9">
        <v>38</v>
      </c>
      <c r="B40" s="207">
        <v>2786</v>
      </c>
      <c r="C40" s="231" t="s">
        <v>1187</v>
      </c>
      <c r="D40" s="231" t="s">
        <v>1188</v>
      </c>
      <c r="E40" s="225" t="s">
        <v>1189</v>
      </c>
      <c r="F40" s="13" t="s">
        <v>17</v>
      </c>
      <c r="G40" s="14"/>
      <c r="H40" s="15"/>
      <c r="I40" s="16"/>
      <c r="J40" s="17"/>
      <c r="K40" s="18">
        <v>1</v>
      </c>
      <c r="L40" s="19"/>
      <c r="M40" s="20"/>
      <c r="N40" s="17">
        <v>1</v>
      </c>
    </row>
    <row r="41" spans="1:15" s="21" customFormat="1" ht="39.950000000000003" customHeight="1">
      <c r="A41" s="9">
        <v>39</v>
      </c>
      <c r="B41" s="207">
        <v>2787</v>
      </c>
      <c r="C41" s="231" t="s">
        <v>1294</v>
      </c>
      <c r="D41" s="231" t="s">
        <v>1295</v>
      </c>
      <c r="E41" s="225" t="s">
        <v>2064</v>
      </c>
      <c r="F41" s="13" t="s">
        <v>17</v>
      </c>
      <c r="G41" s="14"/>
      <c r="H41" s="15"/>
      <c r="I41" s="16"/>
      <c r="J41" s="17"/>
      <c r="K41" s="18">
        <v>1</v>
      </c>
      <c r="L41" s="19"/>
      <c r="M41" s="20"/>
      <c r="N41" s="17">
        <v>1</v>
      </c>
    </row>
    <row r="42" spans="1:15" s="21" customFormat="1" ht="39.950000000000003" customHeight="1">
      <c r="A42" s="9">
        <v>40</v>
      </c>
      <c r="B42" s="207">
        <v>2021</v>
      </c>
      <c r="C42" s="231" t="s">
        <v>1076</v>
      </c>
      <c r="D42" s="231" t="s">
        <v>1077</v>
      </c>
      <c r="E42" s="225" t="s">
        <v>56</v>
      </c>
      <c r="F42" s="13" t="s">
        <v>17</v>
      </c>
      <c r="G42" s="14"/>
      <c r="H42" s="15"/>
      <c r="I42" s="16"/>
      <c r="J42" s="17"/>
      <c r="K42" s="18">
        <v>1</v>
      </c>
      <c r="L42" s="32"/>
      <c r="M42" s="242"/>
      <c r="N42" s="31">
        <v>1</v>
      </c>
    </row>
    <row r="43" spans="1:15" s="21" customFormat="1" ht="39.950000000000003" customHeight="1">
      <c r="A43" s="9">
        <v>41</v>
      </c>
      <c r="B43" s="207">
        <v>5012</v>
      </c>
      <c r="C43" s="231" t="s">
        <v>58</v>
      </c>
      <c r="D43" s="231" t="s">
        <v>59</v>
      </c>
      <c r="E43" s="225" t="s">
        <v>60</v>
      </c>
      <c r="F43" s="13" t="s">
        <v>17</v>
      </c>
      <c r="G43" s="14"/>
      <c r="H43" s="15"/>
      <c r="I43" s="16"/>
      <c r="J43" s="17"/>
      <c r="K43" s="18">
        <v>1</v>
      </c>
      <c r="L43" s="32"/>
      <c r="M43" s="242"/>
      <c r="N43" s="31">
        <v>1</v>
      </c>
    </row>
    <row r="44" spans="1:15" s="21" customFormat="1" ht="39.950000000000003" customHeight="1">
      <c r="A44" s="9">
        <v>42</v>
      </c>
      <c r="B44" s="207">
        <v>5083</v>
      </c>
      <c r="C44" s="231" t="s">
        <v>61</v>
      </c>
      <c r="D44" s="231" t="s">
        <v>62</v>
      </c>
      <c r="E44" s="225" t="s">
        <v>57</v>
      </c>
      <c r="F44" s="240" t="s">
        <v>17</v>
      </c>
      <c r="G44" s="14"/>
      <c r="H44" s="241"/>
      <c r="I44" s="224"/>
      <c r="J44" s="31"/>
      <c r="K44" s="32">
        <v>1</v>
      </c>
      <c r="L44" s="32"/>
      <c r="M44" s="242"/>
      <c r="N44" s="31">
        <v>1</v>
      </c>
    </row>
    <row r="45" spans="1:15" s="21" customFormat="1" ht="39.950000000000003" customHeight="1">
      <c r="A45" s="9">
        <v>43</v>
      </c>
      <c r="B45" s="207">
        <v>5342</v>
      </c>
      <c r="C45" s="231" t="s">
        <v>63</v>
      </c>
      <c r="D45" s="231" t="s">
        <v>64</v>
      </c>
      <c r="E45" s="225" t="s">
        <v>65</v>
      </c>
      <c r="F45" s="240" t="s">
        <v>17</v>
      </c>
      <c r="G45" s="14"/>
      <c r="H45" s="241"/>
      <c r="I45" s="224"/>
      <c r="J45" s="31"/>
      <c r="K45" s="32">
        <v>1</v>
      </c>
      <c r="L45" s="32"/>
      <c r="M45" s="242"/>
      <c r="N45" s="31">
        <v>1</v>
      </c>
    </row>
    <row r="46" spans="1:15" s="21" customFormat="1" ht="39.950000000000003" customHeight="1">
      <c r="A46" s="9">
        <v>44</v>
      </c>
      <c r="B46" s="207">
        <v>2781</v>
      </c>
      <c r="C46" s="231" t="s">
        <v>1136</v>
      </c>
      <c r="D46" s="231" t="s">
        <v>1073</v>
      </c>
      <c r="E46" s="225" t="s">
        <v>65</v>
      </c>
      <c r="F46" s="240">
        <v>0</v>
      </c>
      <c r="G46" s="14"/>
      <c r="H46" s="241"/>
      <c r="I46" s="22" t="s">
        <v>221</v>
      </c>
      <c r="J46" s="31"/>
      <c r="K46" s="32">
        <v>0</v>
      </c>
      <c r="L46" s="32"/>
      <c r="M46" s="242">
        <v>1</v>
      </c>
      <c r="N46" s="31">
        <v>1</v>
      </c>
    </row>
    <row r="47" spans="1:15" s="21" customFormat="1" ht="39.950000000000003" customHeight="1">
      <c r="A47" s="9">
        <v>45</v>
      </c>
      <c r="B47" s="207">
        <v>4885</v>
      </c>
      <c r="C47" s="231" t="s">
        <v>66</v>
      </c>
      <c r="D47" s="231" t="s">
        <v>67</v>
      </c>
      <c r="E47" s="225" t="s">
        <v>68</v>
      </c>
      <c r="F47" s="240" t="s">
        <v>17</v>
      </c>
      <c r="G47" s="14"/>
      <c r="H47" s="241"/>
      <c r="I47" s="224"/>
      <c r="J47" s="31"/>
      <c r="K47" s="32">
        <v>1</v>
      </c>
      <c r="L47" s="32"/>
      <c r="M47" s="242"/>
      <c r="N47" s="31">
        <v>1</v>
      </c>
    </row>
    <row r="48" spans="1:15" s="21" customFormat="1" ht="39.950000000000003" customHeight="1">
      <c r="A48" s="9">
        <v>46</v>
      </c>
      <c r="B48" s="207">
        <v>6477</v>
      </c>
      <c r="C48" s="231" t="s">
        <v>2610</v>
      </c>
      <c r="D48" s="231" t="s">
        <v>2611</v>
      </c>
      <c r="E48" s="225" t="s">
        <v>69</v>
      </c>
      <c r="F48" s="240" t="s">
        <v>17</v>
      </c>
      <c r="G48" s="14"/>
      <c r="H48" s="241"/>
      <c r="I48" s="224"/>
      <c r="J48" s="31"/>
      <c r="K48" s="32">
        <v>1</v>
      </c>
      <c r="L48" s="32"/>
      <c r="M48" s="242"/>
      <c r="N48" s="31">
        <v>1</v>
      </c>
    </row>
    <row r="49" spans="1:29" s="21" customFormat="1" ht="39.950000000000003" customHeight="1">
      <c r="A49" s="9">
        <v>47</v>
      </c>
      <c r="B49" s="207">
        <v>2020</v>
      </c>
      <c r="C49" s="231" t="s">
        <v>1074</v>
      </c>
      <c r="D49" s="231" t="s">
        <v>1075</v>
      </c>
      <c r="E49" s="225" t="s">
        <v>832</v>
      </c>
      <c r="F49" s="13">
        <v>0</v>
      </c>
      <c r="G49" s="14"/>
      <c r="H49" s="15"/>
      <c r="I49" s="22" t="s">
        <v>1595</v>
      </c>
      <c r="J49" s="26"/>
      <c r="K49" s="36">
        <v>0</v>
      </c>
      <c r="L49" s="27"/>
      <c r="M49" s="28">
        <v>1</v>
      </c>
      <c r="N49" s="17">
        <v>1</v>
      </c>
    </row>
    <row r="50" spans="1:29" s="21" customFormat="1" ht="39.950000000000003" customHeight="1">
      <c r="A50" s="9">
        <v>48</v>
      </c>
      <c r="B50" s="207">
        <v>2701</v>
      </c>
      <c r="C50" s="231" t="s">
        <v>72</v>
      </c>
      <c r="D50" s="231" t="s">
        <v>962</v>
      </c>
      <c r="E50" s="225" t="s">
        <v>833</v>
      </c>
      <c r="F50" s="13" t="s">
        <v>17</v>
      </c>
      <c r="G50" s="14"/>
      <c r="H50" s="15"/>
      <c r="I50" s="16"/>
      <c r="J50" s="17"/>
      <c r="K50" s="18">
        <v>1</v>
      </c>
      <c r="L50" s="19"/>
      <c r="M50" s="20"/>
      <c r="N50" s="17">
        <v>1</v>
      </c>
    </row>
    <row r="51" spans="1:29" s="21" customFormat="1" ht="39.950000000000003" customHeight="1">
      <c r="A51" s="9">
        <v>49</v>
      </c>
      <c r="B51" s="207">
        <v>2783</v>
      </c>
      <c r="C51" s="231" t="s">
        <v>1070</v>
      </c>
      <c r="D51" s="231" t="s">
        <v>1069</v>
      </c>
      <c r="E51" s="225" t="s">
        <v>833</v>
      </c>
      <c r="F51" s="13">
        <v>0</v>
      </c>
      <c r="G51" s="14"/>
      <c r="H51" s="15"/>
      <c r="I51" s="22" t="s">
        <v>221</v>
      </c>
      <c r="J51" s="26"/>
      <c r="K51" s="36">
        <v>0</v>
      </c>
      <c r="L51" s="27"/>
      <c r="M51" s="28">
        <v>1</v>
      </c>
      <c r="N51" s="17">
        <v>1</v>
      </c>
    </row>
    <row r="52" spans="1:29" s="21" customFormat="1" ht="39.950000000000003" customHeight="1">
      <c r="A52" s="9">
        <v>50</v>
      </c>
      <c r="B52" s="207">
        <v>2792</v>
      </c>
      <c r="C52" s="231" t="s">
        <v>1590</v>
      </c>
      <c r="D52" s="231" t="s">
        <v>1591</v>
      </c>
      <c r="E52" s="225" t="s">
        <v>71</v>
      </c>
      <c r="F52" s="13">
        <v>0</v>
      </c>
      <c r="G52" s="14"/>
      <c r="H52" s="15"/>
      <c r="I52" s="22" t="s">
        <v>1594</v>
      </c>
      <c r="J52" s="26"/>
      <c r="K52" s="36">
        <v>0</v>
      </c>
      <c r="L52" s="27"/>
      <c r="M52" s="28">
        <v>1</v>
      </c>
      <c r="N52" s="17">
        <v>1</v>
      </c>
    </row>
    <row r="53" spans="1:29" s="21" customFormat="1" ht="39.950000000000003" customHeight="1">
      <c r="A53" s="9">
        <v>51</v>
      </c>
      <c r="B53" s="207">
        <v>2791</v>
      </c>
      <c r="C53" s="231" t="s">
        <v>1592</v>
      </c>
      <c r="D53" s="231" t="s">
        <v>1593</v>
      </c>
      <c r="E53" s="225" t="s">
        <v>71</v>
      </c>
      <c r="F53" s="13">
        <v>0</v>
      </c>
      <c r="G53" s="14"/>
      <c r="H53" s="15"/>
      <c r="I53" s="22" t="s">
        <v>1594</v>
      </c>
      <c r="J53" s="26"/>
      <c r="K53" s="36">
        <v>0</v>
      </c>
      <c r="L53" s="27"/>
      <c r="M53" s="28">
        <v>1</v>
      </c>
      <c r="N53" s="17">
        <v>1</v>
      </c>
    </row>
    <row r="54" spans="1:29" s="21" customFormat="1" ht="39.950000000000003" customHeight="1">
      <c r="A54" s="9">
        <v>52</v>
      </c>
      <c r="B54" s="207">
        <v>2798</v>
      </c>
      <c r="C54" s="231" t="s">
        <v>2598</v>
      </c>
      <c r="D54" s="231" t="s">
        <v>2599</v>
      </c>
      <c r="E54" s="12" t="s">
        <v>74</v>
      </c>
      <c r="F54" s="13">
        <v>0</v>
      </c>
      <c r="G54" s="14"/>
      <c r="H54" s="15"/>
      <c r="I54" s="22" t="s">
        <v>1594</v>
      </c>
      <c r="J54" s="26"/>
      <c r="K54" s="36">
        <v>0</v>
      </c>
      <c r="L54" s="27"/>
      <c r="M54" s="28">
        <v>1</v>
      </c>
      <c r="N54" s="26">
        <v>1</v>
      </c>
    </row>
    <row r="55" spans="1:29" s="21" customFormat="1" ht="39.950000000000003" customHeight="1">
      <c r="A55" s="9">
        <v>53</v>
      </c>
      <c r="B55" s="207">
        <v>5819</v>
      </c>
      <c r="C55" s="231" t="s">
        <v>1272</v>
      </c>
      <c r="D55" s="231" t="s">
        <v>1598</v>
      </c>
      <c r="E55" s="225" t="s">
        <v>75</v>
      </c>
      <c r="F55" s="13" t="s">
        <v>17</v>
      </c>
      <c r="G55" s="14"/>
      <c r="H55" s="15"/>
      <c r="I55" s="16"/>
      <c r="J55" s="37"/>
      <c r="K55" s="38">
        <v>1</v>
      </c>
      <c r="L55" s="38"/>
      <c r="M55" s="39"/>
      <c r="N55" s="17">
        <v>1</v>
      </c>
    </row>
    <row r="56" spans="1:29" s="21" customFormat="1" ht="39.950000000000003" customHeight="1">
      <c r="A56" s="9">
        <v>54</v>
      </c>
      <c r="B56" s="207">
        <v>6609</v>
      </c>
      <c r="C56" s="231" t="s">
        <v>973</v>
      </c>
      <c r="D56" s="231" t="s">
        <v>974</v>
      </c>
      <c r="E56" s="12" t="s">
        <v>75</v>
      </c>
      <c r="F56" s="13" t="s">
        <v>17</v>
      </c>
      <c r="G56" s="14"/>
      <c r="H56" s="15"/>
      <c r="I56" s="16"/>
      <c r="J56" s="37"/>
      <c r="K56" s="38">
        <v>1</v>
      </c>
      <c r="L56" s="38"/>
      <c r="M56" s="39"/>
      <c r="N56" s="17">
        <v>1</v>
      </c>
    </row>
    <row r="57" spans="1:29" s="44" customFormat="1" ht="39.950000000000003" customHeight="1">
      <c r="A57" s="40"/>
      <c r="B57" s="262" t="s">
        <v>76</v>
      </c>
      <c r="C57" s="263"/>
      <c r="D57" s="263"/>
      <c r="E57" s="41"/>
      <c r="F57" s="41"/>
      <c r="G57" s="41"/>
      <c r="H57" s="41"/>
      <c r="I57" s="42"/>
      <c r="J57" s="43">
        <f>SUM(J3:J56)</f>
        <v>0</v>
      </c>
      <c r="K57" s="43">
        <f>SUM(K3:K56)</f>
        <v>44</v>
      </c>
      <c r="L57" s="43">
        <f>SUM(L3:L56)</f>
        <v>0</v>
      </c>
      <c r="M57" s="43">
        <f>SUM(M3:M56)</f>
        <v>10</v>
      </c>
      <c r="N57" s="43">
        <f>SUM(N3:N56)</f>
        <v>54</v>
      </c>
      <c r="O57" s="21"/>
      <c r="P57" s="21"/>
    </row>
    <row r="58" spans="1:29" s="21" customFormat="1" ht="39.950000000000003" customHeight="1">
      <c r="A58" s="9">
        <v>1</v>
      </c>
      <c r="B58" s="207">
        <v>3303</v>
      </c>
      <c r="C58" s="11" t="s">
        <v>79</v>
      </c>
      <c r="D58" s="11" t="s">
        <v>888</v>
      </c>
      <c r="E58" s="12" t="s">
        <v>77</v>
      </c>
      <c r="F58" s="13" t="s">
        <v>78</v>
      </c>
      <c r="G58" s="14"/>
      <c r="H58" s="15"/>
      <c r="I58" s="16"/>
      <c r="J58" s="31"/>
      <c r="K58" s="32">
        <v>1</v>
      </c>
      <c r="L58" s="32"/>
      <c r="M58" s="33"/>
      <c r="N58" s="33"/>
      <c r="Q58" s="45"/>
    </row>
    <row r="59" spans="1:29" s="21" customFormat="1" ht="39.950000000000003" customHeight="1">
      <c r="A59" s="9">
        <v>2</v>
      </c>
      <c r="B59" s="207">
        <v>3305</v>
      </c>
      <c r="C59" s="11" t="s">
        <v>80</v>
      </c>
      <c r="D59" s="11" t="s">
        <v>81</v>
      </c>
      <c r="E59" s="12" t="s">
        <v>77</v>
      </c>
      <c r="F59" s="13" t="s">
        <v>78</v>
      </c>
      <c r="G59" s="14"/>
      <c r="H59" s="15"/>
      <c r="I59" s="16"/>
      <c r="J59" s="31"/>
      <c r="K59" s="32">
        <v>1</v>
      </c>
      <c r="L59" s="32"/>
      <c r="M59" s="33"/>
      <c r="N59" s="33"/>
      <c r="Q59" s="45"/>
    </row>
    <row r="60" spans="1:29" s="21" customFormat="1" ht="39.950000000000003" customHeight="1">
      <c r="A60" s="9">
        <v>3</v>
      </c>
      <c r="B60" s="207">
        <v>3307</v>
      </c>
      <c r="C60" s="11" t="s">
        <v>82</v>
      </c>
      <c r="D60" s="11" t="s">
        <v>83</v>
      </c>
      <c r="E60" s="12" t="s">
        <v>77</v>
      </c>
      <c r="F60" s="13" t="s">
        <v>78</v>
      </c>
      <c r="G60" s="14"/>
      <c r="H60" s="15"/>
      <c r="I60" s="16"/>
      <c r="J60" s="31"/>
      <c r="K60" s="32">
        <v>1</v>
      </c>
      <c r="L60" s="32"/>
      <c r="M60" s="33"/>
      <c r="N60" s="33"/>
      <c r="Q60" s="45"/>
      <c r="AC60" s="21" t="s">
        <v>2545</v>
      </c>
    </row>
    <row r="61" spans="1:29" s="21" customFormat="1" ht="39.950000000000003" customHeight="1">
      <c r="A61" s="9">
        <v>4</v>
      </c>
      <c r="B61" s="207">
        <v>3309</v>
      </c>
      <c r="C61" s="11" t="s">
        <v>84</v>
      </c>
      <c r="D61" s="11" t="s">
        <v>85</v>
      </c>
      <c r="E61" s="12" t="s">
        <v>77</v>
      </c>
      <c r="F61" s="13" t="s">
        <v>78</v>
      </c>
      <c r="G61" s="14"/>
      <c r="H61" s="15"/>
      <c r="I61" s="16"/>
      <c r="J61" s="31"/>
      <c r="K61" s="32">
        <v>1</v>
      </c>
      <c r="L61" s="32"/>
      <c r="M61" s="33"/>
      <c r="N61" s="33"/>
      <c r="Q61" s="45"/>
    </row>
    <row r="62" spans="1:29" s="21" customFormat="1" ht="39.950000000000003" customHeight="1">
      <c r="A62" s="9">
        <v>5</v>
      </c>
      <c r="B62" s="207">
        <v>3318</v>
      </c>
      <c r="C62" s="11" t="s">
        <v>1432</v>
      </c>
      <c r="D62" s="11" t="s">
        <v>1433</v>
      </c>
      <c r="E62" s="12" t="s">
        <v>77</v>
      </c>
      <c r="F62" s="13" t="s">
        <v>78</v>
      </c>
      <c r="G62" s="30"/>
      <c r="H62" s="30"/>
      <c r="I62" s="16"/>
      <c r="J62" s="31"/>
      <c r="K62" s="32">
        <v>1</v>
      </c>
      <c r="L62" s="32"/>
      <c r="M62" s="33"/>
      <c r="N62" s="33"/>
      <c r="Q62" s="45"/>
    </row>
    <row r="63" spans="1:29" s="21" customFormat="1" ht="39.950000000000003" customHeight="1">
      <c r="A63" s="9">
        <v>6</v>
      </c>
      <c r="B63" s="207">
        <v>3319</v>
      </c>
      <c r="C63" s="231" t="s">
        <v>3061</v>
      </c>
      <c r="D63" s="11" t="s">
        <v>3062</v>
      </c>
      <c r="E63" s="12" t="s">
        <v>77</v>
      </c>
      <c r="F63" s="13" t="s">
        <v>78</v>
      </c>
      <c r="G63" s="30"/>
      <c r="H63" s="30"/>
      <c r="I63" s="16"/>
      <c r="J63" s="31"/>
      <c r="K63" s="32">
        <v>1</v>
      </c>
      <c r="L63" s="32"/>
      <c r="M63" s="33"/>
      <c r="N63" s="33"/>
      <c r="Q63" s="45"/>
    </row>
    <row r="64" spans="1:29" s="21" customFormat="1" ht="39.950000000000003" customHeight="1">
      <c r="A64" s="9">
        <v>7</v>
      </c>
      <c r="B64" s="207">
        <v>3312</v>
      </c>
      <c r="C64" s="11" t="s">
        <v>86</v>
      </c>
      <c r="D64" s="11" t="s">
        <v>87</v>
      </c>
      <c r="E64" s="12" t="s">
        <v>77</v>
      </c>
      <c r="F64" s="13">
        <v>0</v>
      </c>
      <c r="G64" s="14"/>
      <c r="H64" s="15"/>
      <c r="I64" s="22" t="s">
        <v>221</v>
      </c>
      <c r="J64" s="26"/>
      <c r="K64" s="27">
        <v>0</v>
      </c>
      <c r="L64" s="27"/>
      <c r="M64" s="28">
        <v>1</v>
      </c>
      <c r="N64" s="33"/>
      <c r="Q64" s="45"/>
    </row>
    <row r="65" spans="1:17" s="21" customFormat="1" ht="39.950000000000003" customHeight="1">
      <c r="A65" s="9">
        <v>8</v>
      </c>
      <c r="B65" s="207">
        <v>3317</v>
      </c>
      <c r="C65" s="11" t="s">
        <v>852</v>
      </c>
      <c r="D65" s="11" t="s">
        <v>889</v>
      </c>
      <c r="E65" s="12" t="s">
        <v>77</v>
      </c>
      <c r="F65" s="13">
        <v>0</v>
      </c>
      <c r="G65" s="14"/>
      <c r="H65" s="15"/>
      <c r="I65" s="22" t="s">
        <v>221</v>
      </c>
      <c r="J65" s="26"/>
      <c r="K65" s="27">
        <v>0</v>
      </c>
      <c r="L65" s="27"/>
      <c r="M65" s="28">
        <v>1</v>
      </c>
      <c r="N65" s="33"/>
      <c r="Q65" s="45"/>
    </row>
    <row r="66" spans="1:17" s="21" customFormat="1" ht="39.950000000000003" customHeight="1">
      <c r="A66" s="9">
        <v>9</v>
      </c>
      <c r="B66" s="207">
        <v>3315</v>
      </c>
      <c r="C66" s="11" t="s">
        <v>88</v>
      </c>
      <c r="D66" s="11" t="s">
        <v>89</v>
      </c>
      <c r="E66" s="12" t="s">
        <v>77</v>
      </c>
      <c r="F66" s="13">
        <v>0</v>
      </c>
      <c r="G66" s="14"/>
      <c r="H66" s="15"/>
      <c r="I66" s="22" t="s">
        <v>221</v>
      </c>
      <c r="J66" s="26"/>
      <c r="K66" s="27">
        <v>0</v>
      </c>
      <c r="L66" s="27"/>
      <c r="M66" s="28">
        <v>1</v>
      </c>
      <c r="N66" s="33"/>
      <c r="Q66" s="45"/>
    </row>
    <row r="67" spans="1:17" ht="39.950000000000003" customHeight="1">
      <c r="A67" s="40"/>
      <c r="B67" s="262" t="s">
        <v>90</v>
      </c>
      <c r="C67" s="263"/>
      <c r="D67" s="264"/>
      <c r="E67" s="46"/>
      <c r="F67" s="41"/>
      <c r="G67" s="41"/>
      <c r="H67" s="41"/>
      <c r="I67" s="42"/>
      <c r="J67" s="43">
        <f>SUM(J58:J66)</f>
        <v>0</v>
      </c>
      <c r="K67" s="43">
        <f>SUM(K58:K66)</f>
        <v>6</v>
      </c>
      <c r="L67" s="43">
        <f>SUM(L58:L66)</f>
        <v>0</v>
      </c>
      <c r="M67" s="43">
        <f>SUM(M58:M66)</f>
        <v>3</v>
      </c>
      <c r="N67" s="33"/>
      <c r="O67" s="21"/>
      <c r="P67" s="21"/>
    </row>
    <row r="68" spans="1:17" s="21" customFormat="1" ht="39.950000000000003" customHeight="1">
      <c r="A68" s="9">
        <v>1</v>
      </c>
      <c r="B68" s="207">
        <v>4253</v>
      </c>
      <c r="C68" s="231" t="s">
        <v>91</v>
      </c>
      <c r="D68" s="11" t="s">
        <v>891</v>
      </c>
      <c r="E68" s="12" t="s">
        <v>92</v>
      </c>
      <c r="F68" s="13" t="s">
        <v>78</v>
      </c>
      <c r="G68" s="14"/>
      <c r="H68" s="15"/>
      <c r="I68" s="47" t="s">
        <v>93</v>
      </c>
      <c r="J68" s="31"/>
      <c r="K68" s="32">
        <v>1</v>
      </c>
      <c r="L68" s="32">
        <v>1</v>
      </c>
      <c r="M68" s="33"/>
      <c r="N68" s="33"/>
    </row>
    <row r="69" spans="1:17" s="21" customFormat="1" ht="39.950000000000003" customHeight="1">
      <c r="A69" s="9">
        <v>2</v>
      </c>
      <c r="B69" s="207">
        <v>6031</v>
      </c>
      <c r="C69" s="231" t="s">
        <v>94</v>
      </c>
      <c r="D69" s="11" t="s">
        <v>95</v>
      </c>
      <c r="E69" s="12" t="s">
        <v>92</v>
      </c>
      <c r="F69" s="13" t="s">
        <v>78</v>
      </c>
      <c r="G69" s="14"/>
      <c r="H69" s="15"/>
      <c r="I69" s="16"/>
      <c r="J69" s="31"/>
      <c r="K69" s="32">
        <v>1</v>
      </c>
      <c r="L69" s="32"/>
      <c r="M69" s="33"/>
      <c r="N69" s="33"/>
    </row>
    <row r="70" spans="1:17" s="21" customFormat="1" ht="39.950000000000003" customHeight="1">
      <c r="A70" s="9">
        <v>3</v>
      </c>
      <c r="B70" s="207">
        <v>6474</v>
      </c>
      <c r="C70" s="231" t="s">
        <v>2604</v>
      </c>
      <c r="D70" s="11" t="s">
        <v>2605</v>
      </c>
      <c r="E70" s="12" t="s">
        <v>92</v>
      </c>
      <c r="F70" s="13" t="s">
        <v>17</v>
      </c>
      <c r="G70" s="14"/>
      <c r="H70" s="15"/>
      <c r="I70" s="22" t="s">
        <v>70</v>
      </c>
      <c r="J70" s="31"/>
      <c r="K70" s="32">
        <v>0</v>
      </c>
      <c r="L70" s="32"/>
      <c r="M70" s="33">
        <v>1</v>
      </c>
      <c r="N70" s="33"/>
    </row>
    <row r="71" spans="1:17" s="21" customFormat="1" ht="39.950000000000003" customHeight="1">
      <c r="A71" s="9">
        <v>4</v>
      </c>
      <c r="B71" s="207">
        <v>5580</v>
      </c>
      <c r="C71" s="231" t="s">
        <v>967</v>
      </c>
      <c r="D71" s="11" t="s">
        <v>968</v>
      </c>
      <c r="E71" s="12" t="s">
        <v>969</v>
      </c>
      <c r="F71" s="13" t="s">
        <v>78</v>
      </c>
      <c r="G71" s="14"/>
      <c r="H71" s="15"/>
      <c r="I71" s="16"/>
      <c r="J71" s="31"/>
      <c r="K71" s="32">
        <v>1</v>
      </c>
      <c r="L71" s="32"/>
      <c r="M71" s="33"/>
      <c r="N71" s="33"/>
    </row>
    <row r="72" spans="1:17" s="21" customFormat="1" ht="39.950000000000003" customHeight="1">
      <c r="A72" s="9">
        <v>5</v>
      </c>
      <c r="B72" s="207">
        <v>5536</v>
      </c>
      <c r="C72" s="231" t="s">
        <v>886</v>
      </c>
      <c r="D72" s="11" t="s">
        <v>887</v>
      </c>
      <c r="E72" s="12" t="s">
        <v>96</v>
      </c>
      <c r="F72" s="13" t="s">
        <v>78</v>
      </c>
      <c r="G72" s="14"/>
      <c r="H72" s="15"/>
      <c r="I72" s="16"/>
      <c r="J72" s="31"/>
      <c r="K72" s="32">
        <v>1</v>
      </c>
      <c r="L72" s="32"/>
      <c r="M72" s="33"/>
      <c r="N72" s="33"/>
    </row>
    <row r="73" spans="1:17" s="21" customFormat="1" ht="39.950000000000003" customHeight="1">
      <c r="A73" s="9">
        <v>6</v>
      </c>
      <c r="B73" s="207">
        <v>5703</v>
      </c>
      <c r="C73" s="231" t="s">
        <v>1156</v>
      </c>
      <c r="D73" s="11" t="s">
        <v>1157</v>
      </c>
      <c r="E73" s="12" t="s">
        <v>96</v>
      </c>
      <c r="F73" s="13" t="s">
        <v>78</v>
      </c>
      <c r="G73" s="14"/>
      <c r="H73" s="15"/>
      <c r="I73" s="16"/>
      <c r="J73" s="31"/>
      <c r="K73" s="32">
        <v>1</v>
      </c>
      <c r="L73" s="32"/>
      <c r="M73" s="33"/>
      <c r="N73" s="33"/>
    </row>
    <row r="74" spans="1:17" s="21" customFormat="1" ht="39.950000000000003" customHeight="1">
      <c r="A74" s="9">
        <v>7</v>
      </c>
      <c r="B74" s="207">
        <v>4874</v>
      </c>
      <c r="C74" s="231" t="s">
        <v>105</v>
      </c>
      <c r="D74" s="11" t="s">
        <v>106</v>
      </c>
      <c r="E74" s="12" t="s">
        <v>96</v>
      </c>
      <c r="F74" s="13" t="s">
        <v>78</v>
      </c>
      <c r="G74" s="14"/>
      <c r="H74" s="15"/>
      <c r="I74" s="16"/>
      <c r="J74" s="31"/>
      <c r="K74" s="32">
        <v>1</v>
      </c>
      <c r="L74" s="32"/>
      <c r="M74" s="33"/>
      <c r="N74" s="33"/>
    </row>
    <row r="75" spans="1:17" s="21" customFormat="1" ht="39.950000000000003" customHeight="1">
      <c r="A75" s="9">
        <v>8</v>
      </c>
      <c r="B75" s="207">
        <v>6303</v>
      </c>
      <c r="C75" s="231" t="s">
        <v>2278</v>
      </c>
      <c r="D75" s="11" t="s">
        <v>2279</v>
      </c>
      <c r="E75" s="12" t="s">
        <v>96</v>
      </c>
      <c r="F75" s="13" t="s">
        <v>78</v>
      </c>
      <c r="G75" s="14"/>
      <c r="H75" s="15"/>
      <c r="I75" s="16"/>
      <c r="J75" s="31"/>
      <c r="K75" s="32">
        <v>1</v>
      </c>
      <c r="L75" s="32"/>
      <c r="M75" s="33"/>
      <c r="N75" s="33"/>
    </row>
    <row r="76" spans="1:17" s="21" customFormat="1" ht="39.950000000000003" customHeight="1">
      <c r="A76" s="9">
        <v>9</v>
      </c>
      <c r="B76" s="207">
        <v>6612</v>
      </c>
      <c r="C76" s="231" t="s">
        <v>2888</v>
      </c>
      <c r="D76" s="11" t="s">
        <v>2889</v>
      </c>
      <c r="E76" s="12" t="s">
        <v>96</v>
      </c>
      <c r="F76" s="13" t="s">
        <v>78</v>
      </c>
      <c r="G76" s="14"/>
      <c r="H76" s="15"/>
      <c r="I76" s="16"/>
      <c r="J76" s="31"/>
      <c r="K76" s="32">
        <v>1</v>
      </c>
      <c r="L76" s="32"/>
      <c r="M76" s="33"/>
      <c r="N76" s="33"/>
    </row>
    <row r="77" spans="1:17" s="21" customFormat="1" ht="39.950000000000003" customHeight="1">
      <c r="A77" s="9">
        <v>10</v>
      </c>
      <c r="B77" s="207">
        <v>5680</v>
      </c>
      <c r="C77" s="231" t="s">
        <v>1127</v>
      </c>
      <c r="D77" s="11" t="s">
        <v>1128</v>
      </c>
      <c r="E77" s="12" t="s">
        <v>96</v>
      </c>
      <c r="F77" s="13" t="s">
        <v>78</v>
      </c>
      <c r="G77" s="14"/>
      <c r="H77" s="15"/>
      <c r="I77" s="16"/>
      <c r="J77" s="31"/>
      <c r="K77" s="32">
        <v>1</v>
      </c>
      <c r="L77" s="32"/>
      <c r="M77" s="33"/>
      <c r="N77" s="33"/>
    </row>
    <row r="78" spans="1:17" s="21" customFormat="1" ht="39.950000000000003" customHeight="1">
      <c r="A78" s="9">
        <v>11</v>
      </c>
      <c r="B78" s="207">
        <v>5688</v>
      </c>
      <c r="C78" s="231" t="s">
        <v>1140</v>
      </c>
      <c r="D78" s="11" t="s">
        <v>1141</v>
      </c>
      <c r="E78" s="12" t="s">
        <v>96</v>
      </c>
      <c r="F78" s="13" t="s">
        <v>78</v>
      </c>
      <c r="G78" s="14"/>
      <c r="H78" s="15"/>
      <c r="I78" s="16"/>
      <c r="J78" s="31"/>
      <c r="K78" s="32">
        <v>1</v>
      </c>
      <c r="L78" s="32"/>
      <c r="M78" s="33"/>
      <c r="N78" s="33"/>
    </row>
    <row r="79" spans="1:17" s="21" customFormat="1" ht="39.950000000000003" customHeight="1">
      <c r="A79" s="9">
        <v>12</v>
      </c>
      <c r="B79" s="207">
        <v>6169</v>
      </c>
      <c r="C79" s="231" t="s">
        <v>2009</v>
      </c>
      <c r="D79" s="11" t="s">
        <v>2010</v>
      </c>
      <c r="E79" s="12" t="s">
        <v>96</v>
      </c>
      <c r="F79" s="13" t="s">
        <v>17</v>
      </c>
      <c r="G79" s="14"/>
      <c r="H79" s="15"/>
      <c r="I79" s="22" t="s">
        <v>70</v>
      </c>
      <c r="J79" s="31"/>
      <c r="K79" s="32">
        <v>0</v>
      </c>
      <c r="L79" s="32"/>
      <c r="M79" s="33">
        <v>1</v>
      </c>
      <c r="N79" s="33"/>
    </row>
    <row r="80" spans="1:17" s="21" customFormat="1" ht="39.950000000000003" customHeight="1">
      <c r="A80" s="9">
        <v>13</v>
      </c>
      <c r="B80" s="207">
        <v>5235</v>
      </c>
      <c r="C80" s="231" t="s">
        <v>97</v>
      </c>
      <c r="D80" s="11" t="s">
        <v>98</v>
      </c>
      <c r="E80" s="12" t="s">
        <v>96</v>
      </c>
      <c r="F80" s="13" t="s">
        <v>17</v>
      </c>
      <c r="G80" s="14"/>
      <c r="H80" s="15"/>
      <c r="I80" s="22" t="s">
        <v>70</v>
      </c>
      <c r="J80" s="31"/>
      <c r="K80" s="32">
        <v>0</v>
      </c>
      <c r="L80" s="32"/>
      <c r="M80" s="33">
        <v>1</v>
      </c>
      <c r="N80" s="33"/>
    </row>
    <row r="81" spans="1:16" s="21" customFormat="1" ht="39.950000000000003" customHeight="1">
      <c r="A81" s="9">
        <v>14</v>
      </c>
      <c r="B81" s="207">
        <v>4455</v>
      </c>
      <c r="C81" s="231" t="s">
        <v>99</v>
      </c>
      <c r="D81" s="11" t="s">
        <v>100</v>
      </c>
      <c r="E81" s="12" t="s">
        <v>96</v>
      </c>
      <c r="F81" s="13" t="s">
        <v>17</v>
      </c>
      <c r="G81" s="14"/>
      <c r="H81" s="15"/>
      <c r="I81" s="22" t="s">
        <v>70</v>
      </c>
      <c r="J81" s="31"/>
      <c r="K81" s="32">
        <v>0</v>
      </c>
      <c r="L81" s="32"/>
      <c r="M81" s="33">
        <v>1</v>
      </c>
      <c r="N81" s="33"/>
    </row>
    <row r="82" spans="1:16" s="21" customFormat="1" ht="39.950000000000003" customHeight="1">
      <c r="A82" s="9">
        <v>15</v>
      </c>
      <c r="B82" s="207">
        <v>5552</v>
      </c>
      <c r="C82" s="231" t="s">
        <v>911</v>
      </c>
      <c r="D82" s="11" t="s">
        <v>912</v>
      </c>
      <c r="E82" s="12" t="s">
        <v>96</v>
      </c>
      <c r="F82" s="13" t="s">
        <v>17</v>
      </c>
      <c r="G82" s="14"/>
      <c r="H82" s="15"/>
      <c r="I82" s="22" t="s">
        <v>70</v>
      </c>
      <c r="J82" s="31"/>
      <c r="K82" s="32">
        <v>0</v>
      </c>
      <c r="L82" s="32"/>
      <c r="M82" s="33">
        <v>1</v>
      </c>
      <c r="N82" s="33"/>
    </row>
    <row r="83" spans="1:16" s="21" customFormat="1" ht="39.950000000000003" customHeight="1">
      <c r="A83" s="9">
        <v>16</v>
      </c>
      <c r="B83" s="207">
        <v>6521</v>
      </c>
      <c r="C83" s="231" t="s">
        <v>2723</v>
      </c>
      <c r="D83" s="11" t="s">
        <v>2648</v>
      </c>
      <c r="E83" s="12" t="s">
        <v>96</v>
      </c>
      <c r="F83" s="13" t="s">
        <v>17</v>
      </c>
      <c r="G83" s="14"/>
      <c r="H83" s="15"/>
      <c r="I83" s="22" t="s">
        <v>70</v>
      </c>
      <c r="J83" s="31"/>
      <c r="K83" s="32">
        <v>0</v>
      </c>
      <c r="L83" s="32"/>
      <c r="M83" s="33">
        <v>1</v>
      </c>
      <c r="N83" s="33"/>
    </row>
    <row r="84" spans="1:16" s="21" customFormat="1" ht="39.950000000000003" customHeight="1">
      <c r="A84" s="9">
        <v>17</v>
      </c>
      <c r="B84" s="207">
        <v>6551</v>
      </c>
      <c r="C84" s="231" t="s">
        <v>2724</v>
      </c>
      <c r="D84" s="11" t="s">
        <v>2725</v>
      </c>
      <c r="E84" s="12" t="s">
        <v>96</v>
      </c>
      <c r="F84" s="13" t="s">
        <v>17</v>
      </c>
      <c r="G84" s="14"/>
      <c r="H84" s="15"/>
      <c r="I84" s="22" t="s">
        <v>70</v>
      </c>
      <c r="J84" s="31"/>
      <c r="K84" s="32">
        <v>0</v>
      </c>
      <c r="L84" s="32"/>
      <c r="M84" s="33">
        <v>1</v>
      </c>
      <c r="N84" s="33"/>
    </row>
    <row r="85" spans="1:16" s="21" customFormat="1" ht="39.950000000000003" customHeight="1">
      <c r="A85" s="9">
        <v>18</v>
      </c>
      <c r="B85" s="207">
        <v>5601</v>
      </c>
      <c r="C85" s="231" t="s">
        <v>998</v>
      </c>
      <c r="D85" s="11" t="s">
        <v>999</v>
      </c>
      <c r="E85" s="12" t="s">
        <v>96</v>
      </c>
      <c r="F85" s="13" t="s">
        <v>78</v>
      </c>
      <c r="G85" s="14"/>
      <c r="H85" s="15"/>
      <c r="I85" s="47" t="s">
        <v>93</v>
      </c>
      <c r="J85" s="31"/>
      <c r="K85" s="32">
        <v>1</v>
      </c>
      <c r="L85" s="32">
        <v>1</v>
      </c>
      <c r="M85" s="33"/>
      <c r="N85" s="33"/>
    </row>
    <row r="86" spans="1:16" s="21" customFormat="1" ht="39.950000000000003" customHeight="1">
      <c r="A86" s="9">
        <v>19</v>
      </c>
      <c r="B86" s="207">
        <v>5234</v>
      </c>
      <c r="C86" s="231" t="s">
        <v>1048</v>
      </c>
      <c r="D86" s="11" t="s">
        <v>103</v>
      </c>
      <c r="E86" s="12" t="s">
        <v>96</v>
      </c>
      <c r="F86" s="13" t="s">
        <v>78</v>
      </c>
      <c r="G86" s="14"/>
      <c r="H86" s="15"/>
      <c r="I86" s="47" t="s">
        <v>93</v>
      </c>
      <c r="J86" s="31"/>
      <c r="K86" s="32">
        <v>1</v>
      </c>
      <c r="L86" s="32">
        <v>1</v>
      </c>
      <c r="M86" s="33"/>
      <c r="N86" s="33"/>
    </row>
    <row r="87" spans="1:16" s="21" customFormat="1" ht="39.950000000000003" customHeight="1">
      <c r="A87" s="9">
        <v>20</v>
      </c>
      <c r="B87" s="207">
        <v>5521</v>
      </c>
      <c r="C87" s="231" t="s">
        <v>880</v>
      </c>
      <c r="D87" s="11" t="s">
        <v>881</v>
      </c>
      <c r="E87" s="12" t="s">
        <v>96</v>
      </c>
      <c r="F87" s="13" t="s">
        <v>78</v>
      </c>
      <c r="G87" s="14"/>
      <c r="H87" s="15"/>
      <c r="I87" s="47" t="s">
        <v>93</v>
      </c>
      <c r="J87" s="31"/>
      <c r="K87" s="32">
        <v>1</v>
      </c>
      <c r="L87" s="32">
        <v>1</v>
      </c>
      <c r="M87" s="33"/>
      <c r="N87" s="33"/>
    </row>
    <row r="88" spans="1:16" s="21" customFormat="1" ht="39.950000000000003" customHeight="1">
      <c r="A88" s="9">
        <v>21</v>
      </c>
      <c r="B88" s="207">
        <v>5870</v>
      </c>
      <c r="C88" s="231" t="s">
        <v>1401</v>
      </c>
      <c r="D88" s="11" t="s">
        <v>1402</v>
      </c>
      <c r="E88" s="12" t="s">
        <v>96</v>
      </c>
      <c r="F88" s="13" t="s">
        <v>78</v>
      </c>
      <c r="G88" s="14"/>
      <c r="H88" s="15"/>
      <c r="I88" s="47" t="s">
        <v>93</v>
      </c>
      <c r="J88" s="31"/>
      <c r="K88" s="32">
        <v>1</v>
      </c>
      <c r="L88" s="32">
        <v>1</v>
      </c>
      <c r="M88" s="33"/>
      <c r="N88" s="33"/>
    </row>
    <row r="89" spans="1:16" s="21" customFormat="1" ht="39.950000000000003" customHeight="1">
      <c r="A89" s="9">
        <v>22</v>
      </c>
      <c r="B89" s="207">
        <v>5879</v>
      </c>
      <c r="C89" s="231" t="s">
        <v>1403</v>
      </c>
      <c r="D89" s="11" t="s">
        <v>1404</v>
      </c>
      <c r="E89" s="12" t="s">
        <v>96</v>
      </c>
      <c r="F89" s="13" t="s">
        <v>78</v>
      </c>
      <c r="G89" s="14"/>
      <c r="H89" s="15"/>
      <c r="I89" s="47" t="s">
        <v>93</v>
      </c>
      <c r="J89" s="31"/>
      <c r="K89" s="32">
        <v>1</v>
      </c>
      <c r="L89" s="32">
        <v>1</v>
      </c>
      <c r="M89" s="33"/>
      <c r="N89" s="33"/>
    </row>
    <row r="90" spans="1:16" s="21" customFormat="1" ht="39.950000000000003" customHeight="1">
      <c r="A90" s="9">
        <v>23</v>
      </c>
      <c r="B90" s="207">
        <v>4679</v>
      </c>
      <c r="C90" s="231" t="s">
        <v>101</v>
      </c>
      <c r="D90" s="11" t="s">
        <v>102</v>
      </c>
      <c r="E90" s="12" t="s">
        <v>96</v>
      </c>
      <c r="F90" s="13" t="s">
        <v>78</v>
      </c>
      <c r="G90" s="14"/>
      <c r="H90" s="15"/>
      <c r="I90" s="47" t="s">
        <v>93</v>
      </c>
      <c r="J90" s="31"/>
      <c r="K90" s="32">
        <v>1</v>
      </c>
      <c r="L90" s="32">
        <v>1</v>
      </c>
      <c r="M90" s="33"/>
      <c r="N90" s="33"/>
    </row>
    <row r="91" spans="1:16" s="21" customFormat="1" ht="39.950000000000003" customHeight="1">
      <c r="A91" s="9">
        <v>24</v>
      </c>
      <c r="B91" s="207">
        <v>6677</v>
      </c>
      <c r="C91" s="231" t="s">
        <v>2999</v>
      </c>
      <c r="D91" s="11" t="s">
        <v>3000</v>
      </c>
      <c r="E91" s="12" t="s">
        <v>96</v>
      </c>
      <c r="F91" s="13" t="s">
        <v>78</v>
      </c>
      <c r="G91" s="14"/>
      <c r="H91" s="15"/>
      <c r="I91" s="47" t="s">
        <v>93</v>
      </c>
      <c r="J91" s="31"/>
      <c r="K91" s="32">
        <v>1</v>
      </c>
      <c r="L91" s="32">
        <v>1</v>
      </c>
      <c r="M91" s="33"/>
      <c r="N91" s="33"/>
    </row>
    <row r="92" spans="1:16" ht="39.950000000000003" customHeight="1">
      <c r="A92" s="40"/>
      <c r="B92" s="262" t="s">
        <v>107</v>
      </c>
      <c r="C92" s="263"/>
      <c r="D92" s="264"/>
      <c r="E92" s="46"/>
      <c r="F92" s="41"/>
      <c r="G92" s="41"/>
      <c r="H92" s="41"/>
      <c r="I92" s="42"/>
      <c r="J92" s="43">
        <f>SUM(J68:J91)</f>
        <v>0</v>
      </c>
      <c r="K92" s="43">
        <f>SUM(K68:K91)</f>
        <v>17</v>
      </c>
      <c r="L92" s="43">
        <f>SUM(L68:L91)</f>
        <v>8</v>
      </c>
      <c r="M92" s="43">
        <f>SUM(M68:M91)</f>
        <v>7</v>
      </c>
      <c r="N92" s="33"/>
      <c r="O92" s="21"/>
      <c r="P92" s="21"/>
    </row>
    <row r="93" spans="1:16" s="21" customFormat="1" ht="39.950000000000003" customHeight="1">
      <c r="A93" s="9">
        <v>1</v>
      </c>
      <c r="B93" s="207">
        <v>5449</v>
      </c>
      <c r="C93" s="11" t="s">
        <v>838</v>
      </c>
      <c r="D93" s="11" t="s">
        <v>839</v>
      </c>
      <c r="E93" s="12" t="s">
        <v>108</v>
      </c>
      <c r="F93" s="13" t="s">
        <v>78</v>
      </c>
      <c r="G93" s="14"/>
      <c r="H93" s="15"/>
      <c r="I93" s="16"/>
      <c r="J93" s="31"/>
      <c r="K93" s="32">
        <v>1</v>
      </c>
      <c r="L93" s="32"/>
      <c r="M93" s="33"/>
      <c r="N93" s="33"/>
    </row>
    <row r="94" spans="1:16" s="21" customFormat="1" ht="39.950000000000003" customHeight="1">
      <c r="A94" s="9">
        <v>2</v>
      </c>
      <c r="B94" s="207">
        <v>4252</v>
      </c>
      <c r="C94" s="11" t="s">
        <v>109</v>
      </c>
      <c r="D94" s="11" t="s">
        <v>110</v>
      </c>
      <c r="E94" s="12" t="s">
        <v>108</v>
      </c>
      <c r="F94" s="13" t="s">
        <v>78</v>
      </c>
      <c r="G94" s="14"/>
      <c r="H94" s="15"/>
      <c r="I94" s="16"/>
      <c r="J94" s="31"/>
      <c r="K94" s="32">
        <v>1</v>
      </c>
      <c r="L94" s="32"/>
      <c r="M94" s="33"/>
      <c r="N94" s="33"/>
    </row>
    <row r="95" spans="1:16" s="21" customFormat="1" ht="39.950000000000003" customHeight="1">
      <c r="A95" s="9">
        <v>3</v>
      </c>
      <c r="B95" s="207">
        <v>4721</v>
      </c>
      <c r="C95" s="11" t="s">
        <v>111</v>
      </c>
      <c r="D95" s="11" t="s">
        <v>112</v>
      </c>
      <c r="E95" s="12" t="s">
        <v>108</v>
      </c>
      <c r="F95" s="13" t="s">
        <v>78</v>
      </c>
      <c r="G95" s="14"/>
      <c r="H95" s="15"/>
      <c r="I95" s="16"/>
      <c r="J95" s="31"/>
      <c r="K95" s="32">
        <v>1</v>
      </c>
      <c r="L95" s="32"/>
      <c r="M95" s="33"/>
      <c r="N95" s="33"/>
    </row>
    <row r="96" spans="1:16" s="21" customFormat="1" ht="39.950000000000003" customHeight="1">
      <c r="A96" s="9">
        <v>4</v>
      </c>
      <c r="B96" s="207">
        <v>4568</v>
      </c>
      <c r="C96" s="11" t="s">
        <v>114</v>
      </c>
      <c r="D96" s="11" t="s">
        <v>115</v>
      </c>
      <c r="E96" s="12" t="s">
        <v>113</v>
      </c>
      <c r="F96" s="13" t="s">
        <v>78</v>
      </c>
      <c r="G96" s="14"/>
      <c r="H96" s="15"/>
      <c r="I96" s="16"/>
      <c r="J96" s="31"/>
      <c r="K96" s="32">
        <v>1</v>
      </c>
      <c r="L96" s="32"/>
      <c r="M96" s="33"/>
      <c r="N96" s="33"/>
    </row>
    <row r="97" spans="1:16" s="21" customFormat="1" ht="39.950000000000003" customHeight="1">
      <c r="A97" s="9">
        <v>5</v>
      </c>
      <c r="B97" s="207">
        <v>5372</v>
      </c>
      <c r="C97" s="11" t="s">
        <v>757</v>
      </c>
      <c r="D97" s="11" t="s">
        <v>756</v>
      </c>
      <c r="E97" s="12" t="s">
        <v>113</v>
      </c>
      <c r="F97" s="13" t="s">
        <v>78</v>
      </c>
      <c r="G97" s="14"/>
      <c r="H97" s="15"/>
      <c r="I97" s="16"/>
      <c r="J97" s="31"/>
      <c r="K97" s="32">
        <v>1</v>
      </c>
      <c r="L97" s="32"/>
      <c r="M97" s="33"/>
      <c r="N97" s="33"/>
    </row>
    <row r="98" spans="1:16" s="21" customFormat="1" ht="39.950000000000003" customHeight="1">
      <c r="A98" s="9">
        <v>6</v>
      </c>
      <c r="B98" s="207">
        <v>6604</v>
      </c>
      <c r="C98" s="11" t="s">
        <v>828</v>
      </c>
      <c r="D98" s="11" t="s">
        <v>829</v>
      </c>
      <c r="E98" s="12" t="s">
        <v>113</v>
      </c>
      <c r="F98" s="13" t="s">
        <v>78</v>
      </c>
      <c r="G98" s="14"/>
      <c r="H98" s="15"/>
      <c r="I98" s="16"/>
      <c r="J98" s="31"/>
      <c r="K98" s="32">
        <v>1</v>
      </c>
      <c r="L98" s="32"/>
      <c r="M98" s="33"/>
      <c r="N98" s="33"/>
    </row>
    <row r="99" spans="1:16" s="21" customFormat="1" ht="39.950000000000003" customHeight="1">
      <c r="A99" s="9">
        <v>7</v>
      </c>
      <c r="B99" s="207">
        <v>4394</v>
      </c>
      <c r="C99" s="11" t="s">
        <v>116</v>
      </c>
      <c r="D99" s="11" t="s">
        <v>117</v>
      </c>
      <c r="E99" s="12" t="s">
        <v>113</v>
      </c>
      <c r="F99" s="13" t="s">
        <v>17</v>
      </c>
      <c r="G99" s="14"/>
      <c r="H99" s="15"/>
      <c r="I99" s="16"/>
      <c r="J99" s="31"/>
      <c r="K99" s="32">
        <v>1</v>
      </c>
      <c r="L99" s="32"/>
      <c r="M99" s="33"/>
      <c r="N99" s="33"/>
    </row>
    <row r="100" spans="1:16" s="21" customFormat="1" ht="39.950000000000003" customHeight="1">
      <c r="A100" s="9">
        <v>8</v>
      </c>
      <c r="B100" s="207">
        <v>6323</v>
      </c>
      <c r="C100" s="11" t="s">
        <v>2340</v>
      </c>
      <c r="D100" s="11" t="s">
        <v>2341</v>
      </c>
      <c r="E100" s="12" t="s">
        <v>113</v>
      </c>
      <c r="F100" s="13" t="s">
        <v>17</v>
      </c>
      <c r="G100" s="14"/>
      <c r="H100" s="15"/>
      <c r="I100" s="16"/>
      <c r="J100" s="31"/>
      <c r="K100" s="32">
        <v>1</v>
      </c>
      <c r="L100" s="32"/>
      <c r="M100" s="33"/>
      <c r="N100" s="33"/>
    </row>
    <row r="101" spans="1:16" s="21" customFormat="1" ht="39.950000000000003" customHeight="1">
      <c r="A101" s="9">
        <v>9</v>
      </c>
      <c r="B101" s="207">
        <v>6339</v>
      </c>
      <c r="C101" s="11" t="s">
        <v>2389</v>
      </c>
      <c r="D101" s="11" t="s">
        <v>2390</v>
      </c>
      <c r="E101" s="12" t="s">
        <v>113</v>
      </c>
      <c r="F101" s="13" t="s">
        <v>17</v>
      </c>
      <c r="G101" s="14"/>
      <c r="H101" s="15"/>
      <c r="I101" s="16"/>
      <c r="J101" s="31"/>
      <c r="K101" s="32">
        <v>1</v>
      </c>
      <c r="L101" s="32"/>
      <c r="M101" s="33"/>
      <c r="N101" s="33"/>
    </row>
    <row r="102" spans="1:16" s="21" customFormat="1" ht="39.950000000000003" customHeight="1">
      <c r="A102" s="9">
        <v>10</v>
      </c>
      <c r="B102" s="207">
        <v>6340</v>
      </c>
      <c r="C102" s="11" t="s">
        <v>2391</v>
      </c>
      <c r="D102" s="11" t="s">
        <v>2392</v>
      </c>
      <c r="E102" s="12" t="s">
        <v>113</v>
      </c>
      <c r="F102" s="13" t="s">
        <v>17</v>
      </c>
      <c r="G102" s="14"/>
      <c r="H102" s="15"/>
      <c r="I102" s="16"/>
      <c r="J102" s="31"/>
      <c r="K102" s="32">
        <v>1</v>
      </c>
      <c r="L102" s="32"/>
      <c r="M102" s="33"/>
      <c r="N102" s="33"/>
    </row>
    <row r="103" spans="1:16" s="21" customFormat="1" ht="39.950000000000003" customHeight="1">
      <c r="A103" s="9">
        <v>11</v>
      </c>
      <c r="B103" s="207">
        <v>5918</v>
      </c>
      <c r="C103" s="11" t="s">
        <v>1485</v>
      </c>
      <c r="D103" s="11" t="s">
        <v>1486</v>
      </c>
      <c r="E103" s="12" t="s">
        <v>113</v>
      </c>
      <c r="F103" s="13" t="s">
        <v>17</v>
      </c>
      <c r="G103" s="14"/>
      <c r="H103" s="15"/>
      <c r="I103" s="22" t="s">
        <v>70</v>
      </c>
      <c r="J103" s="31"/>
      <c r="K103" s="32">
        <v>0</v>
      </c>
      <c r="L103" s="32"/>
      <c r="M103" s="33">
        <v>1</v>
      </c>
      <c r="N103" s="33"/>
    </row>
    <row r="104" spans="1:16" s="21" customFormat="1" ht="39.950000000000003" customHeight="1">
      <c r="A104" s="9">
        <v>12</v>
      </c>
      <c r="B104" s="207">
        <v>4237</v>
      </c>
      <c r="C104" s="11" t="s">
        <v>119</v>
      </c>
      <c r="D104" s="11" t="s">
        <v>120</v>
      </c>
      <c r="E104" s="12" t="s">
        <v>113</v>
      </c>
      <c r="F104" s="13" t="s">
        <v>78</v>
      </c>
      <c r="G104" s="14"/>
      <c r="H104" s="15"/>
      <c r="I104" s="47" t="s">
        <v>132</v>
      </c>
      <c r="J104" s="31"/>
      <c r="K104" s="32">
        <v>1</v>
      </c>
      <c r="L104" s="32">
        <v>1</v>
      </c>
      <c r="M104" s="33"/>
      <c r="N104" s="33"/>
    </row>
    <row r="105" spans="1:16" ht="39.950000000000003" customHeight="1">
      <c r="A105" s="40"/>
      <c r="B105" s="262" t="s">
        <v>121</v>
      </c>
      <c r="C105" s="263"/>
      <c r="D105" s="264"/>
      <c r="E105" s="46"/>
      <c r="F105" s="41"/>
      <c r="G105" s="41"/>
      <c r="H105" s="41"/>
      <c r="I105" s="42"/>
      <c r="J105" s="43">
        <f>SUM(J93:J104)</f>
        <v>0</v>
      </c>
      <c r="K105" s="43">
        <f>SUM(K93:K104)</f>
        <v>11</v>
      </c>
      <c r="L105" s="43">
        <f>SUM(L93:L104)</f>
        <v>1</v>
      </c>
      <c r="M105" s="43">
        <f>SUM(M93:M104)</f>
        <v>1</v>
      </c>
      <c r="N105" s="33"/>
      <c r="O105" s="21"/>
      <c r="P105" s="21"/>
    </row>
    <row r="106" spans="1:16" s="21" customFormat="1" ht="39.950000000000003" customHeight="1">
      <c r="A106" s="9">
        <v>1</v>
      </c>
      <c r="B106" s="207">
        <v>2019</v>
      </c>
      <c r="C106" s="11" t="s">
        <v>122</v>
      </c>
      <c r="D106" s="11" t="s">
        <v>123</v>
      </c>
      <c r="E106" s="12" t="s">
        <v>124</v>
      </c>
      <c r="F106" s="13" t="s">
        <v>78</v>
      </c>
      <c r="G106" s="14"/>
      <c r="H106" s="15"/>
      <c r="I106" s="16"/>
      <c r="J106" s="31"/>
      <c r="K106" s="32">
        <v>1</v>
      </c>
      <c r="L106" s="32"/>
      <c r="M106" s="33"/>
      <c r="N106" s="33"/>
    </row>
    <row r="107" spans="1:16" s="21" customFormat="1" ht="39.950000000000003" customHeight="1">
      <c r="A107" s="9">
        <v>2</v>
      </c>
      <c r="B107" s="207">
        <v>5693</v>
      </c>
      <c r="C107" s="11" t="s">
        <v>1142</v>
      </c>
      <c r="D107" s="11" t="s">
        <v>1143</v>
      </c>
      <c r="E107" s="12" t="s">
        <v>125</v>
      </c>
      <c r="F107" s="13" t="s">
        <v>78</v>
      </c>
      <c r="G107" s="14"/>
      <c r="H107" s="15"/>
      <c r="I107" s="16"/>
      <c r="J107" s="31"/>
      <c r="K107" s="32">
        <v>1</v>
      </c>
      <c r="L107" s="32"/>
      <c r="M107" s="33"/>
      <c r="N107" s="33"/>
    </row>
    <row r="108" spans="1:16" s="21" customFormat="1" ht="39.950000000000003" customHeight="1">
      <c r="A108" s="9">
        <v>3</v>
      </c>
      <c r="B108" s="207">
        <v>5080</v>
      </c>
      <c r="C108" s="11" t="s">
        <v>128</v>
      </c>
      <c r="D108" s="11" t="s">
        <v>129</v>
      </c>
      <c r="E108" s="12" t="s">
        <v>126</v>
      </c>
      <c r="F108" s="13" t="s">
        <v>78</v>
      </c>
      <c r="G108" s="14"/>
      <c r="H108" s="15"/>
      <c r="I108" s="16"/>
      <c r="J108" s="31"/>
      <c r="K108" s="32">
        <v>1</v>
      </c>
      <c r="L108" s="32"/>
      <c r="M108" s="33"/>
      <c r="N108" s="33"/>
    </row>
    <row r="109" spans="1:16" s="21" customFormat="1" ht="39.950000000000003" customHeight="1">
      <c r="A109" s="9">
        <v>4</v>
      </c>
      <c r="B109" s="207">
        <v>5189</v>
      </c>
      <c r="C109" s="11" t="s">
        <v>130</v>
      </c>
      <c r="D109" s="11" t="s">
        <v>131</v>
      </c>
      <c r="E109" s="12" t="s">
        <v>126</v>
      </c>
      <c r="F109" s="13" t="s">
        <v>78</v>
      </c>
      <c r="G109" s="14"/>
      <c r="H109" s="15"/>
      <c r="I109" s="16"/>
      <c r="J109" s="31"/>
      <c r="K109" s="32">
        <v>1</v>
      </c>
      <c r="L109" s="32"/>
      <c r="M109" s="33"/>
      <c r="N109" s="33"/>
    </row>
    <row r="110" spans="1:16" s="21" customFormat="1" ht="39.950000000000003" customHeight="1">
      <c r="A110" s="9">
        <v>5</v>
      </c>
      <c r="B110" s="207">
        <v>5463</v>
      </c>
      <c r="C110" s="11" t="s">
        <v>863</v>
      </c>
      <c r="D110" s="11" t="s">
        <v>864</v>
      </c>
      <c r="E110" s="12" t="s">
        <v>126</v>
      </c>
      <c r="F110" s="13" t="s">
        <v>78</v>
      </c>
      <c r="G110" s="14"/>
      <c r="H110" s="15"/>
      <c r="I110" s="16"/>
      <c r="J110" s="31"/>
      <c r="K110" s="32">
        <v>1</v>
      </c>
      <c r="L110" s="32"/>
      <c r="M110" s="33"/>
      <c r="N110" s="33"/>
    </row>
    <row r="111" spans="1:16" s="21" customFormat="1" ht="39.950000000000003" customHeight="1">
      <c r="A111" s="9">
        <v>6</v>
      </c>
      <c r="B111" s="207">
        <v>6090</v>
      </c>
      <c r="C111" s="11" t="s">
        <v>1797</v>
      </c>
      <c r="D111" s="11" t="s">
        <v>1796</v>
      </c>
      <c r="E111" s="12" t="s">
        <v>126</v>
      </c>
      <c r="F111" s="13" t="s">
        <v>78</v>
      </c>
      <c r="G111" s="14"/>
      <c r="H111" s="15"/>
      <c r="I111" s="16"/>
      <c r="J111" s="31"/>
      <c r="K111" s="32">
        <v>1</v>
      </c>
      <c r="L111" s="32"/>
      <c r="M111" s="33"/>
      <c r="N111" s="33"/>
    </row>
    <row r="112" spans="1:16" s="21" customFormat="1" ht="39.950000000000003" customHeight="1">
      <c r="A112" s="9">
        <v>7</v>
      </c>
      <c r="B112" s="207">
        <v>4957</v>
      </c>
      <c r="C112" s="11" t="s">
        <v>288</v>
      </c>
      <c r="D112" s="11" t="s">
        <v>289</v>
      </c>
      <c r="E112" s="12" t="s">
        <v>126</v>
      </c>
      <c r="F112" s="13" t="s">
        <v>78</v>
      </c>
      <c r="G112" s="14"/>
      <c r="H112" s="15"/>
      <c r="I112" s="16"/>
      <c r="J112" s="31"/>
      <c r="K112" s="32">
        <v>1</v>
      </c>
      <c r="L112" s="32"/>
      <c r="M112" s="33"/>
      <c r="N112" s="33"/>
    </row>
    <row r="113" spans="1:16" s="21" customFormat="1" ht="39.950000000000003" customHeight="1">
      <c r="A113" s="9">
        <v>8</v>
      </c>
      <c r="B113" s="207">
        <v>6136</v>
      </c>
      <c r="C113" s="11" t="s">
        <v>1892</v>
      </c>
      <c r="D113" s="11" t="s">
        <v>1893</v>
      </c>
      <c r="E113" s="12" t="s">
        <v>126</v>
      </c>
      <c r="F113" s="13" t="s">
        <v>78</v>
      </c>
      <c r="G113" s="14"/>
      <c r="H113" s="15"/>
      <c r="I113" s="16"/>
      <c r="J113" s="31"/>
      <c r="K113" s="32">
        <v>1</v>
      </c>
      <c r="L113" s="32"/>
      <c r="M113" s="33"/>
      <c r="N113" s="33"/>
    </row>
    <row r="114" spans="1:16" s="21" customFormat="1" ht="39.950000000000003" customHeight="1">
      <c r="A114" s="9">
        <v>9</v>
      </c>
      <c r="B114" s="207">
        <v>4416</v>
      </c>
      <c r="C114" s="11" t="s">
        <v>127</v>
      </c>
      <c r="D114" s="11" t="s">
        <v>890</v>
      </c>
      <c r="E114" s="12" t="s">
        <v>126</v>
      </c>
      <c r="F114" s="13" t="s">
        <v>78</v>
      </c>
      <c r="G114" s="14"/>
      <c r="H114" s="15"/>
      <c r="I114" s="47" t="s">
        <v>132</v>
      </c>
      <c r="J114" s="31"/>
      <c r="K114" s="32">
        <v>1</v>
      </c>
      <c r="L114" s="32">
        <v>1</v>
      </c>
      <c r="M114" s="33"/>
      <c r="N114" s="33"/>
    </row>
    <row r="115" spans="1:16" s="21" customFormat="1" ht="39.950000000000003" customHeight="1">
      <c r="A115" s="9">
        <v>10</v>
      </c>
      <c r="B115" s="207" t="s">
        <v>979</v>
      </c>
      <c r="C115" s="231" t="s">
        <v>2550</v>
      </c>
      <c r="D115" s="11" t="s">
        <v>2551</v>
      </c>
      <c r="E115" s="12" t="s">
        <v>126</v>
      </c>
      <c r="F115" s="13" t="s">
        <v>17</v>
      </c>
      <c r="G115" s="212"/>
      <c r="H115" s="15"/>
      <c r="I115" s="47" t="s">
        <v>2552</v>
      </c>
      <c r="J115" s="24"/>
      <c r="K115" s="19">
        <v>1</v>
      </c>
      <c r="L115" s="32">
        <v>1</v>
      </c>
      <c r="M115" s="33"/>
      <c r="N115" s="33"/>
    </row>
    <row r="116" spans="1:16" s="52" customFormat="1" ht="39.950000000000003" customHeight="1">
      <c r="A116" s="9">
        <v>11</v>
      </c>
      <c r="B116" s="207">
        <v>5735</v>
      </c>
      <c r="C116" s="185" t="s">
        <v>540</v>
      </c>
      <c r="D116" s="50" t="s">
        <v>541</v>
      </c>
      <c r="E116" s="12" t="s">
        <v>126</v>
      </c>
      <c r="F116" s="13" t="s">
        <v>17</v>
      </c>
      <c r="G116" s="30"/>
      <c r="H116" s="30"/>
      <c r="I116" s="22" t="s">
        <v>70</v>
      </c>
      <c r="J116" s="31"/>
      <c r="K116" s="27">
        <v>0</v>
      </c>
      <c r="L116" s="27"/>
      <c r="M116" s="28">
        <v>1</v>
      </c>
      <c r="N116" s="33"/>
      <c r="O116" s="21"/>
      <c r="P116" s="21"/>
    </row>
    <row r="117" spans="1:16" s="21" customFormat="1" ht="39.950000000000003" customHeight="1">
      <c r="A117" s="9">
        <v>12</v>
      </c>
      <c r="B117" s="207">
        <v>6078</v>
      </c>
      <c r="C117" s="231" t="s">
        <v>133</v>
      </c>
      <c r="D117" s="11" t="s">
        <v>134</v>
      </c>
      <c r="E117" s="12" t="s">
        <v>126</v>
      </c>
      <c r="F117" s="13" t="s">
        <v>17</v>
      </c>
      <c r="G117" s="14"/>
      <c r="H117" s="15"/>
      <c r="I117" s="22" t="s">
        <v>70</v>
      </c>
      <c r="J117" s="31"/>
      <c r="K117" s="32">
        <v>0</v>
      </c>
      <c r="L117" s="32"/>
      <c r="M117" s="33">
        <v>1</v>
      </c>
      <c r="N117" s="33"/>
    </row>
    <row r="118" spans="1:16" s="21" customFormat="1" ht="39.950000000000003" customHeight="1">
      <c r="A118" s="9">
        <v>13</v>
      </c>
      <c r="B118" s="207">
        <v>5630</v>
      </c>
      <c r="C118" s="231" t="s">
        <v>1047</v>
      </c>
      <c r="D118" s="11" t="s">
        <v>1046</v>
      </c>
      <c r="E118" s="12" t="s">
        <v>126</v>
      </c>
      <c r="F118" s="13" t="s">
        <v>17</v>
      </c>
      <c r="G118" s="14"/>
      <c r="H118" s="15"/>
      <c r="I118" s="22" t="s">
        <v>70</v>
      </c>
      <c r="J118" s="31"/>
      <c r="K118" s="32">
        <v>0</v>
      </c>
      <c r="L118" s="32"/>
      <c r="M118" s="33">
        <v>1</v>
      </c>
      <c r="N118" s="33"/>
    </row>
    <row r="119" spans="1:16" s="21" customFormat="1" ht="39.950000000000003" customHeight="1">
      <c r="A119" s="9">
        <v>14</v>
      </c>
      <c r="B119" s="207">
        <v>5607</v>
      </c>
      <c r="C119" s="231" t="s">
        <v>1009</v>
      </c>
      <c r="D119" s="11" t="s">
        <v>1010</v>
      </c>
      <c r="E119" s="12" t="s">
        <v>126</v>
      </c>
      <c r="F119" s="13">
        <v>0</v>
      </c>
      <c r="G119" s="13">
        <v>0</v>
      </c>
      <c r="H119" s="13" t="s">
        <v>1356</v>
      </c>
      <c r="I119" s="22" t="s">
        <v>1185</v>
      </c>
      <c r="J119" s="31">
        <v>1</v>
      </c>
      <c r="K119" s="32">
        <v>0</v>
      </c>
      <c r="L119" s="32"/>
      <c r="M119" s="33"/>
      <c r="N119" s="33"/>
    </row>
    <row r="120" spans="1:16" s="21" customFormat="1" ht="39.950000000000003" customHeight="1">
      <c r="A120" s="9">
        <v>15</v>
      </c>
      <c r="B120" s="207">
        <v>5692</v>
      </c>
      <c r="C120" s="231" t="s">
        <v>1144</v>
      </c>
      <c r="D120" s="11" t="s">
        <v>1147</v>
      </c>
      <c r="E120" s="12" t="s">
        <v>126</v>
      </c>
      <c r="F120" s="13" t="s">
        <v>17</v>
      </c>
      <c r="G120" s="14"/>
      <c r="H120" s="15"/>
      <c r="I120" s="22" t="s">
        <v>70</v>
      </c>
      <c r="J120" s="31"/>
      <c r="K120" s="32">
        <v>0</v>
      </c>
      <c r="L120" s="32"/>
      <c r="M120" s="33">
        <v>1</v>
      </c>
      <c r="N120" s="33"/>
    </row>
    <row r="121" spans="1:16" s="21" customFormat="1" ht="39.950000000000003" customHeight="1">
      <c r="A121" s="9">
        <v>16</v>
      </c>
      <c r="B121" s="207">
        <v>5691</v>
      </c>
      <c r="C121" s="231" t="s">
        <v>1145</v>
      </c>
      <c r="D121" s="11" t="s">
        <v>1146</v>
      </c>
      <c r="E121" s="12" t="s">
        <v>126</v>
      </c>
      <c r="F121" s="13" t="s">
        <v>17</v>
      </c>
      <c r="G121" s="14"/>
      <c r="H121" s="15"/>
      <c r="I121" s="22" t="s">
        <v>70</v>
      </c>
      <c r="J121" s="31"/>
      <c r="K121" s="32">
        <v>0</v>
      </c>
      <c r="L121" s="32"/>
      <c r="M121" s="33">
        <v>1</v>
      </c>
      <c r="N121" s="33"/>
    </row>
    <row r="122" spans="1:16" s="21" customFormat="1" ht="39.950000000000003" customHeight="1">
      <c r="A122" s="9">
        <v>17</v>
      </c>
      <c r="B122" s="207">
        <v>5774</v>
      </c>
      <c r="C122" s="231" t="s">
        <v>1238</v>
      </c>
      <c r="D122" s="11" t="s">
        <v>1237</v>
      </c>
      <c r="E122" s="12" t="s">
        <v>126</v>
      </c>
      <c r="F122" s="13" t="s">
        <v>17</v>
      </c>
      <c r="G122" s="14"/>
      <c r="H122" s="15"/>
      <c r="I122" s="22" t="s">
        <v>70</v>
      </c>
      <c r="J122" s="31"/>
      <c r="K122" s="32">
        <v>0</v>
      </c>
      <c r="L122" s="32"/>
      <c r="M122" s="33">
        <v>1</v>
      </c>
      <c r="N122" s="33"/>
    </row>
    <row r="123" spans="1:16" s="21" customFormat="1" ht="39.950000000000003" customHeight="1">
      <c r="A123" s="9">
        <v>18</v>
      </c>
      <c r="B123" s="207">
        <v>4878</v>
      </c>
      <c r="C123" s="11" t="s">
        <v>135</v>
      </c>
      <c r="D123" s="11" t="s">
        <v>136</v>
      </c>
      <c r="E123" s="12" t="s">
        <v>126</v>
      </c>
      <c r="F123" s="13">
        <v>0</v>
      </c>
      <c r="G123" s="14"/>
      <c r="H123" s="15"/>
      <c r="I123" s="22" t="s">
        <v>34</v>
      </c>
      <c r="J123" s="31"/>
      <c r="K123" s="32">
        <v>0</v>
      </c>
      <c r="L123" s="32"/>
      <c r="M123" s="33">
        <v>1</v>
      </c>
      <c r="N123" s="33"/>
    </row>
    <row r="124" spans="1:16" ht="39.950000000000003" customHeight="1">
      <c r="A124" s="40"/>
      <c r="B124" s="262" t="s">
        <v>137</v>
      </c>
      <c r="C124" s="263"/>
      <c r="D124" s="264"/>
      <c r="E124" s="46"/>
      <c r="F124" s="41"/>
      <c r="G124" s="41"/>
      <c r="H124" s="41"/>
      <c r="I124" s="42"/>
      <c r="J124" s="43">
        <f>SUM(J106:J123)</f>
        <v>1</v>
      </c>
      <c r="K124" s="43">
        <f>SUM(K106:K123)</f>
        <v>10</v>
      </c>
      <c r="L124" s="43">
        <f>SUM(L106:L123)</f>
        <v>2</v>
      </c>
      <c r="M124" s="43">
        <f>SUM(M106:M123)</f>
        <v>7</v>
      </c>
      <c r="N124" s="33"/>
      <c r="O124" s="21"/>
      <c r="P124" s="21"/>
    </row>
    <row r="125" spans="1:16" s="21" customFormat="1" ht="39.950000000000003" customHeight="1">
      <c r="A125" s="9">
        <v>1</v>
      </c>
      <c r="B125" s="207">
        <v>2004</v>
      </c>
      <c r="C125" s="11" t="s">
        <v>138</v>
      </c>
      <c r="D125" s="11" t="s">
        <v>949</v>
      </c>
      <c r="E125" s="12" t="s">
        <v>139</v>
      </c>
      <c r="F125" s="13" t="s">
        <v>17</v>
      </c>
      <c r="G125" s="14"/>
      <c r="H125" s="15"/>
      <c r="I125" s="16"/>
      <c r="J125" s="17"/>
      <c r="K125" s="18">
        <v>1</v>
      </c>
      <c r="L125" s="18"/>
      <c r="M125" s="23"/>
      <c r="N125" s="18"/>
    </row>
    <row r="126" spans="1:16" s="21" customFormat="1" ht="39.950000000000003" customHeight="1">
      <c r="A126" s="9">
        <v>2</v>
      </c>
      <c r="B126" s="207">
        <v>2736</v>
      </c>
      <c r="C126" s="11" t="s">
        <v>140</v>
      </c>
      <c r="D126" s="11" t="s">
        <v>1038</v>
      </c>
      <c r="E126" s="12" t="s">
        <v>139</v>
      </c>
      <c r="F126" s="13" t="s">
        <v>17</v>
      </c>
      <c r="G126" s="14"/>
      <c r="H126" s="15"/>
      <c r="I126" s="16"/>
      <c r="J126" s="17"/>
      <c r="K126" s="18">
        <v>1</v>
      </c>
      <c r="L126" s="19"/>
      <c r="M126" s="20"/>
      <c r="N126" s="24"/>
    </row>
    <row r="127" spans="1:16" s="21" customFormat="1" ht="39.950000000000003" customHeight="1">
      <c r="A127" s="9">
        <v>3</v>
      </c>
      <c r="B127" s="207">
        <v>2800</v>
      </c>
      <c r="C127" s="11" t="s">
        <v>141</v>
      </c>
      <c r="D127" s="11" t="s">
        <v>2734</v>
      </c>
      <c r="E127" s="12" t="s">
        <v>139</v>
      </c>
      <c r="F127" s="13" t="s">
        <v>17</v>
      </c>
      <c r="G127" s="14"/>
      <c r="H127" s="15"/>
      <c r="I127" s="16"/>
      <c r="J127" s="17"/>
      <c r="K127" s="18">
        <v>1</v>
      </c>
      <c r="L127" s="19"/>
      <c r="M127" s="20"/>
      <c r="N127" s="26"/>
    </row>
    <row r="128" spans="1:16" s="21" customFormat="1" ht="39.950000000000003" customHeight="1">
      <c r="A128" s="9">
        <v>4</v>
      </c>
      <c r="B128" s="207">
        <v>4607</v>
      </c>
      <c r="C128" s="11" t="s">
        <v>142</v>
      </c>
      <c r="D128" s="11" t="s">
        <v>143</v>
      </c>
      <c r="E128" s="12" t="s">
        <v>139</v>
      </c>
      <c r="F128" s="13" t="s">
        <v>17</v>
      </c>
      <c r="G128" s="14"/>
      <c r="H128" s="15"/>
      <c r="I128" s="16"/>
      <c r="J128" s="17"/>
      <c r="K128" s="18">
        <v>1</v>
      </c>
      <c r="L128" s="18"/>
      <c r="M128" s="23"/>
      <c r="N128" s="18"/>
    </row>
    <row r="129" spans="1:15" s="21" customFormat="1" ht="39.950000000000003" customHeight="1">
      <c r="A129" s="9">
        <v>5</v>
      </c>
      <c r="B129" s="207" t="s">
        <v>979</v>
      </c>
      <c r="C129" s="11" t="s">
        <v>3585</v>
      </c>
      <c r="D129" s="11" t="s">
        <v>3586</v>
      </c>
      <c r="E129" s="12" t="s">
        <v>139</v>
      </c>
      <c r="F129" s="13" t="s">
        <v>17</v>
      </c>
      <c r="G129" s="30"/>
      <c r="H129" s="30"/>
      <c r="I129" s="22" t="s">
        <v>1863</v>
      </c>
      <c r="J129" s="31"/>
      <c r="K129" s="32">
        <v>1</v>
      </c>
      <c r="L129" s="18"/>
      <c r="M129" s="23"/>
      <c r="N129" s="18"/>
    </row>
    <row r="130" spans="1:15" s="21" customFormat="1" ht="39.950000000000003" customHeight="1">
      <c r="A130" s="9">
        <v>6</v>
      </c>
      <c r="B130" s="207">
        <v>4388</v>
      </c>
      <c r="C130" s="11" t="s">
        <v>145</v>
      </c>
      <c r="D130" s="11" t="s">
        <v>146</v>
      </c>
      <c r="E130" s="12" t="s">
        <v>144</v>
      </c>
      <c r="F130" s="13" t="s">
        <v>17</v>
      </c>
      <c r="G130" s="14"/>
      <c r="H130" s="15"/>
      <c r="I130" s="16"/>
      <c r="J130" s="17"/>
      <c r="K130" s="18">
        <v>1</v>
      </c>
      <c r="L130" s="18"/>
      <c r="M130" s="28"/>
      <c r="N130" s="33"/>
    </row>
    <row r="131" spans="1:15" s="21" customFormat="1" ht="39.950000000000003" customHeight="1">
      <c r="A131" s="9">
        <v>7</v>
      </c>
      <c r="B131" s="207">
        <v>5896</v>
      </c>
      <c r="C131" s="11" t="s">
        <v>1434</v>
      </c>
      <c r="D131" s="11" t="s">
        <v>1435</v>
      </c>
      <c r="E131" s="12" t="s">
        <v>144</v>
      </c>
      <c r="F131" s="13" t="s">
        <v>17</v>
      </c>
      <c r="G131" s="14"/>
      <c r="H131" s="15"/>
      <c r="I131" s="16"/>
      <c r="J131" s="17"/>
      <c r="K131" s="18">
        <v>1</v>
      </c>
      <c r="L131" s="18"/>
      <c r="M131" s="28"/>
      <c r="N131" s="33"/>
    </row>
    <row r="132" spans="1:15" s="21" customFormat="1" ht="39.950000000000003" customHeight="1">
      <c r="A132" s="9">
        <v>8</v>
      </c>
      <c r="B132" s="207">
        <v>5912</v>
      </c>
      <c r="C132" s="11" t="s">
        <v>1436</v>
      </c>
      <c r="D132" s="11" t="s">
        <v>1437</v>
      </c>
      <c r="E132" s="12" t="s">
        <v>144</v>
      </c>
      <c r="F132" s="13" t="s">
        <v>17</v>
      </c>
      <c r="G132" s="14"/>
      <c r="H132" s="15"/>
      <c r="I132" s="16"/>
      <c r="J132" s="17"/>
      <c r="K132" s="18">
        <v>1</v>
      </c>
      <c r="L132" s="18"/>
      <c r="M132" s="28"/>
      <c r="N132" s="33"/>
    </row>
    <row r="133" spans="1:15" s="21" customFormat="1" ht="39.950000000000003" customHeight="1">
      <c r="A133" s="9">
        <v>9</v>
      </c>
      <c r="B133" s="207">
        <v>6758</v>
      </c>
      <c r="C133" s="231" t="s">
        <v>3301</v>
      </c>
      <c r="D133" s="11" t="s">
        <v>3302</v>
      </c>
      <c r="E133" s="12" t="s">
        <v>144</v>
      </c>
      <c r="F133" s="13" t="s">
        <v>17</v>
      </c>
      <c r="G133" s="14"/>
      <c r="H133" s="15"/>
      <c r="I133" s="16"/>
      <c r="J133" s="17"/>
      <c r="K133" s="18">
        <v>1</v>
      </c>
      <c r="L133" s="18"/>
      <c r="M133" s="28"/>
      <c r="N133" s="33"/>
    </row>
    <row r="134" spans="1:15" s="21" customFormat="1" ht="39.950000000000003" customHeight="1">
      <c r="A134" s="9">
        <v>10</v>
      </c>
      <c r="B134" s="207">
        <v>6759</v>
      </c>
      <c r="C134" s="231" t="s">
        <v>3303</v>
      </c>
      <c r="D134" s="11" t="s">
        <v>3304</v>
      </c>
      <c r="E134" s="12" t="s">
        <v>144</v>
      </c>
      <c r="F134" s="13" t="s">
        <v>17</v>
      </c>
      <c r="G134" s="14"/>
      <c r="H134" s="15"/>
      <c r="I134" s="16"/>
      <c r="J134" s="17"/>
      <c r="K134" s="18">
        <v>1</v>
      </c>
      <c r="L134" s="18"/>
      <c r="M134" s="28"/>
      <c r="N134" s="33"/>
    </row>
    <row r="135" spans="1:15" s="21" customFormat="1" ht="39.950000000000003" customHeight="1">
      <c r="A135" s="9">
        <v>11</v>
      </c>
      <c r="B135" s="207">
        <v>6760</v>
      </c>
      <c r="C135" s="231" t="s">
        <v>3305</v>
      </c>
      <c r="D135" s="11" t="s">
        <v>3306</v>
      </c>
      <c r="E135" s="12" t="s">
        <v>144</v>
      </c>
      <c r="F135" s="13" t="s">
        <v>17</v>
      </c>
      <c r="G135" s="14"/>
      <c r="H135" s="15"/>
      <c r="I135" s="16"/>
      <c r="J135" s="17"/>
      <c r="K135" s="18">
        <v>1</v>
      </c>
      <c r="L135" s="18"/>
      <c r="M135" s="28"/>
      <c r="N135" s="33"/>
    </row>
    <row r="136" spans="1:15" s="21" customFormat="1" ht="39.950000000000003" customHeight="1">
      <c r="A136" s="9">
        <v>12</v>
      </c>
      <c r="B136" s="207">
        <v>4389</v>
      </c>
      <c r="C136" s="11" t="s">
        <v>147</v>
      </c>
      <c r="D136" s="11" t="s">
        <v>148</v>
      </c>
      <c r="E136" s="12" t="s">
        <v>149</v>
      </c>
      <c r="F136" s="13" t="s">
        <v>17</v>
      </c>
      <c r="G136" s="14"/>
      <c r="H136" s="15"/>
      <c r="I136" s="16"/>
      <c r="J136" s="17"/>
      <c r="K136" s="18">
        <v>1</v>
      </c>
      <c r="L136" s="18"/>
      <c r="M136" s="33"/>
      <c r="N136" s="33"/>
    </row>
    <row r="137" spans="1:15" s="21" customFormat="1" ht="39.950000000000003" customHeight="1">
      <c r="A137" s="9">
        <v>13</v>
      </c>
      <c r="B137" s="207">
        <v>4570</v>
      </c>
      <c r="C137" s="11" t="s">
        <v>151</v>
      </c>
      <c r="D137" s="11" t="s">
        <v>152</v>
      </c>
      <c r="E137" s="12" t="s">
        <v>150</v>
      </c>
      <c r="F137" s="13" t="s">
        <v>17</v>
      </c>
      <c r="G137" s="14"/>
      <c r="H137" s="15"/>
      <c r="I137" s="16"/>
      <c r="J137" s="17"/>
      <c r="K137" s="18">
        <v>1</v>
      </c>
      <c r="L137" s="18"/>
      <c r="M137" s="33"/>
      <c r="N137"/>
      <c r="O137"/>
    </row>
    <row r="138" spans="1:15" s="21" customFormat="1" ht="39.950000000000003" customHeight="1">
      <c r="A138" s="9">
        <v>14</v>
      </c>
      <c r="B138" s="207">
        <v>4534</v>
      </c>
      <c r="C138" s="11" t="s">
        <v>153</v>
      </c>
      <c r="D138" s="11" t="s">
        <v>903</v>
      </c>
      <c r="E138" s="12" t="s">
        <v>150</v>
      </c>
      <c r="F138" s="13" t="s">
        <v>17</v>
      </c>
      <c r="G138" s="14"/>
      <c r="H138" s="15"/>
      <c r="I138" s="16"/>
      <c r="J138" s="17"/>
      <c r="K138" s="18">
        <v>1</v>
      </c>
      <c r="L138" s="27"/>
      <c r="M138" s="28"/>
      <c r="N138" s="33"/>
    </row>
    <row r="139" spans="1:15" s="21" customFormat="1" ht="39.950000000000003" customHeight="1">
      <c r="A139" s="9">
        <v>15</v>
      </c>
      <c r="B139" s="207">
        <v>4390</v>
      </c>
      <c r="C139" s="11" t="s">
        <v>154</v>
      </c>
      <c r="D139" s="11" t="s">
        <v>901</v>
      </c>
      <c r="E139" s="12" t="s">
        <v>150</v>
      </c>
      <c r="F139" s="13" t="s">
        <v>17</v>
      </c>
      <c r="G139" s="14"/>
      <c r="H139" s="15"/>
      <c r="I139" s="16"/>
      <c r="J139" s="17"/>
      <c r="K139" s="18">
        <v>1</v>
      </c>
      <c r="L139" s="27"/>
      <c r="M139" s="28"/>
      <c r="N139" s="33"/>
    </row>
    <row r="140" spans="1:15" s="21" customFormat="1" ht="39.950000000000003" customHeight="1">
      <c r="A140" s="9">
        <v>16</v>
      </c>
      <c r="B140" s="207">
        <v>5026</v>
      </c>
      <c r="C140" s="11" t="s">
        <v>155</v>
      </c>
      <c r="D140" s="11" t="s">
        <v>156</v>
      </c>
      <c r="E140" s="12" t="s">
        <v>150</v>
      </c>
      <c r="F140" s="13" t="s">
        <v>78</v>
      </c>
      <c r="G140" s="14"/>
      <c r="H140" s="15"/>
      <c r="I140" s="16"/>
      <c r="J140" s="26"/>
      <c r="K140" s="27">
        <v>1</v>
      </c>
      <c r="L140" s="27"/>
      <c r="M140" s="28"/>
      <c r="N140" s="33"/>
    </row>
    <row r="141" spans="1:15" s="21" customFormat="1" ht="39.950000000000003" customHeight="1">
      <c r="A141" s="9">
        <v>17</v>
      </c>
      <c r="B141" s="207">
        <v>6160</v>
      </c>
      <c r="C141" s="11" t="s">
        <v>2005</v>
      </c>
      <c r="D141" s="11" t="s">
        <v>2006</v>
      </c>
      <c r="E141" s="12" t="s">
        <v>150</v>
      </c>
      <c r="F141" s="13" t="s">
        <v>78</v>
      </c>
      <c r="G141" s="14"/>
      <c r="H141" s="15"/>
      <c r="I141" s="16"/>
      <c r="J141" s="26"/>
      <c r="K141" s="27">
        <v>1</v>
      </c>
      <c r="L141" s="27"/>
      <c r="M141" s="28"/>
      <c r="N141" s="33"/>
    </row>
    <row r="142" spans="1:15" s="21" customFormat="1" ht="39.950000000000003" customHeight="1">
      <c r="A142" s="9">
        <v>18</v>
      </c>
      <c r="B142" s="207">
        <v>6216</v>
      </c>
      <c r="C142" s="11" t="s">
        <v>2119</v>
      </c>
      <c r="D142" s="11" t="s">
        <v>2120</v>
      </c>
      <c r="E142" s="12" t="s">
        <v>150</v>
      </c>
      <c r="F142" s="13" t="s">
        <v>78</v>
      </c>
      <c r="G142" s="14"/>
      <c r="H142" s="15"/>
      <c r="I142" s="16"/>
      <c r="J142" s="26"/>
      <c r="K142" s="27">
        <v>1</v>
      </c>
      <c r="L142" s="27"/>
      <c r="M142" s="33"/>
      <c r="N142" s="33"/>
    </row>
    <row r="143" spans="1:15" s="21" customFormat="1" ht="39.950000000000003" customHeight="1">
      <c r="A143" s="9">
        <v>19</v>
      </c>
      <c r="B143" s="207">
        <v>6841</v>
      </c>
      <c r="C143" s="231" t="s">
        <v>3645</v>
      </c>
      <c r="D143" s="11" t="s">
        <v>3646</v>
      </c>
      <c r="E143" s="12" t="s">
        <v>150</v>
      </c>
      <c r="F143" s="13" t="s">
        <v>78</v>
      </c>
      <c r="G143" s="14"/>
      <c r="H143" s="15"/>
      <c r="I143" s="16"/>
      <c r="J143" s="26"/>
      <c r="K143" s="27">
        <v>1</v>
      </c>
      <c r="L143" s="27"/>
      <c r="M143" s="33"/>
      <c r="N143" s="33"/>
    </row>
    <row r="144" spans="1:15" s="21" customFormat="1" ht="39.950000000000003" customHeight="1">
      <c r="A144" s="9">
        <v>20</v>
      </c>
      <c r="B144" s="207">
        <v>6845</v>
      </c>
      <c r="C144" s="231" t="s">
        <v>3647</v>
      </c>
      <c r="D144" s="11" t="s">
        <v>3648</v>
      </c>
      <c r="E144" s="12" t="s">
        <v>150</v>
      </c>
      <c r="F144" s="13" t="s">
        <v>78</v>
      </c>
      <c r="G144" s="14"/>
      <c r="H144" s="15"/>
      <c r="I144" s="16"/>
      <c r="J144" s="26"/>
      <c r="K144" s="27">
        <v>1</v>
      </c>
      <c r="L144" s="27"/>
      <c r="M144" s="33"/>
      <c r="N144" s="33"/>
    </row>
    <row r="145" spans="1:16" s="21" customFormat="1" ht="39.950000000000003" customHeight="1">
      <c r="A145" s="9">
        <v>21</v>
      </c>
      <c r="B145" s="207">
        <v>6681</v>
      </c>
      <c r="C145" s="231" t="s">
        <v>3036</v>
      </c>
      <c r="D145" s="11" t="s">
        <v>3037</v>
      </c>
      <c r="E145" s="12" t="s">
        <v>150</v>
      </c>
      <c r="F145" s="13" t="s">
        <v>78</v>
      </c>
      <c r="G145" s="14"/>
      <c r="H145" s="15"/>
      <c r="I145" s="16"/>
      <c r="J145" s="26"/>
      <c r="K145" s="27">
        <v>1</v>
      </c>
      <c r="L145" s="27"/>
      <c r="M145" s="33"/>
      <c r="N145" s="33"/>
    </row>
    <row r="146" spans="1:16" ht="39.950000000000003" customHeight="1">
      <c r="A146" s="40"/>
      <c r="B146" s="262" t="s">
        <v>157</v>
      </c>
      <c r="C146" s="263"/>
      <c r="D146" s="264"/>
      <c r="E146" s="46"/>
      <c r="F146" s="41"/>
      <c r="G146" s="41"/>
      <c r="H146" s="41"/>
      <c r="I146" s="42"/>
      <c r="J146" s="43">
        <f>SUM(J125:J145)</f>
        <v>0</v>
      </c>
      <c r="K146" s="43">
        <f>SUM(K125:K145)</f>
        <v>21</v>
      </c>
      <c r="L146" s="43">
        <f>SUM(L125:L145)</f>
        <v>0</v>
      </c>
      <c r="M146" s="43">
        <f>SUM(M125:M145)</f>
        <v>0</v>
      </c>
      <c r="N146" s="33"/>
      <c r="O146" s="21"/>
      <c r="P146" s="21"/>
    </row>
    <row r="147" spans="1:16" s="21" customFormat="1" ht="39.950000000000003" customHeight="1">
      <c r="A147" s="9">
        <v>1</v>
      </c>
      <c r="B147" s="207">
        <v>2784</v>
      </c>
      <c r="C147" s="11" t="s">
        <v>1067</v>
      </c>
      <c r="D147" s="11" t="s">
        <v>1068</v>
      </c>
      <c r="E147" s="12" t="s">
        <v>158</v>
      </c>
      <c r="F147" s="13">
        <v>0</v>
      </c>
      <c r="G147" s="30"/>
      <c r="H147" s="30"/>
      <c r="I147" s="22" t="s">
        <v>34</v>
      </c>
      <c r="J147" s="31"/>
      <c r="K147" s="32">
        <v>0</v>
      </c>
      <c r="L147" s="32"/>
      <c r="M147" s="33">
        <v>1</v>
      </c>
      <c r="N147" s="18"/>
    </row>
    <row r="148" spans="1:16" s="21" customFormat="1" ht="39.950000000000003" customHeight="1">
      <c r="A148" s="9">
        <v>2</v>
      </c>
      <c r="B148" s="207" t="s">
        <v>979</v>
      </c>
      <c r="C148" s="11" t="s">
        <v>1882</v>
      </c>
      <c r="D148" s="11" t="s">
        <v>1883</v>
      </c>
      <c r="E148" s="12" t="s">
        <v>161</v>
      </c>
      <c r="F148" s="13" t="s">
        <v>17</v>
      </c>
      <c r="G148" s="30"/>
      <c r="H148" s="30"/>
      <c r="I148" s="22" t="s">
        <v>1863</v>
      </c>
      <c r="J148" s="31"/>
      <c r="K148" s="32">
        <v>1</v>
      </c>
      <c r="L148" s="32"/>
      <c r="M148" s="33"/>
      <c r="N148" s="18"/>
    </row>
    <row r="149" spans="1:16" s="21" customFormat="1" ht="39.950000000000003" customHeight="1">
      <c r="A149" s="9">
        <v>3</v>
      </c>
      <c r="B149" s="207">
        <v>5895</v>
      </c>
      <c r="C149" s="11" t="s">
        <v>1425</v>
      </c>
      <c r="D149" s="11" t="s">
        <v>1424</v>
      </c>
      <c r="E149" s="12" t="s">
        <v>161</v>
      </c>
      <c r="F149" s="13" t="s">
        <v>17</v>
      </c>
      <c r="G149" s="14"/>
      <c r="H149" s="15"/>
      <c r="I149" s="16"/>
      <c r="J149" s="17"/>
      <c r="K149" s="18">
        <v>1</v>
      </c>
      <c r="L149" s="18"/>
      <c r="M149" s="23"/>
      <c r="N149" s="18"/>
    </row>
    <row r="150" spans="1:16" s="21" customFormat="1" ht="39.950000000000003" customHeight="1">
      <c r="A150" s="9">
        <v>4</v>
      </c>
      <c r="B150" s="207">
        <v>6168</v>
      </c>
      <c r="C150" s="11" t="s">
        <v>2003</v>
      </c>
      <c r="D150" s="11" t="s">
        <v>2004</v>
      </c>
      <c r="E150" s="12" t="s">
        <v>161</v>
      </c>
      <c r="F150" s="13" t="s">
        <v>17</v>
      </c>
      <c r="G150" s="14"/>
      <c r="H150" s="15"/>
      <c r="I150" s="16"/>
      <c r="J150" s="17"/>
      <c r="K150" s="18">
        <v>1</v>
      </c>
      <c r="L150" s="18"/>
      <c r="M150" s="23"/>
      <c r="N150" s="18"/>
    </row>
    <row r="151" spans="1:16" s="21" customFormat="1" ht="39.950000000000003" customHeight="1">
      <c r="A151" s="9">
        <v>5</v>
      </c>
      <c r="B151" s="207">
        <v>6478</v>
      </c>
      <c r="C151" s="231" t="s">
        <v>2616</v>
      </c>
      <c r="D151" s="11" t="s">
        <v>2617</v>
      </c>
      <c r="E151" s="12" t="s">
        <v>161</v>
      </c>
      <c r="F151" s="13" t="s">
        <v>17</v>
      </c>
      <c r="G151" s="14"/>
      <c r="H151" s="15"/>
      <c r="I151" s="16"/>
      <c r="J151" s="17"/>
      <c r="K151" s="18">
        <v>1</v>
      </c>
      <c r="L151" s="18"/>
      <c r="M151" s="23"/>
      <c r="N151" s="18"/>
    </row>
    <row r="152" spans="1:16" s="21" customFormat="1" ht="39.950000000000003" customHeight="1">
      <c r="A152" s="9">
        <v>6</v>
      </c>
      <c r="B152" s="207" t="s">
        <v>979</v>
      </c>
      <c r="C152" s="231" t="s">
        <v>3318</v>
      </c>
      <c r="D152" s="11" t="s">
        <v>3319</v>
      </c>
      <c r="E152" s="12" t="s">
        <v>162</v>
      </c>
      <c r="F152" s="14">
        <v>0</v>
      </c>
      <c r="G152" s="15">
        <v>0</v>
      </c>
      <c r="H152" s="15" t="s">
        <v>1356</v>
      </c>
      <c r="I152" s="224" t="s">
        <v>3672</v>
      </c>
      <c r="J152" s="31">
        <v>1</v>
      </c>
      <c r="K152" s="32">
        <v>0</v>
      </c>
      <c r="L152" s="18"/>
      <c r="M152" s="23"/>
      <c r="N152" s="18"/>
    </row>
    <row r="153" spans="1:16" s="21" customFormat="1" ht="39.950000000000003" customHeight="1">
      <c r="A153" s="9">
        <v>7</v>
      </c>
      <c r="B153" s="207" t="s">
        <v>979</v>
      </c>
      <c r="C153" s="231" t="s">
        <v>3320</v>
      </c>
      <c r="D153" s="11" t="s">
        <v>3321</v>
      </c>
      <c r="E153" s="12" t="s">
        <v>165</v>
      </c>
      <c r="F153" s="13" t="s">
        <v>17</v>
      </c>
      <c r="G153" s="30"/>
      <c r="H153" s="30"/>
      <c r="I153" s="22" t="s">
        <v>1863</v>
      </c>
      <c r="J153" s="31"/>
      <c r="K153" s="32">
        <v>1</v>
      </c>
      <c r="L153" s="18"/>
      <c r="M153" s="23"/>
      <c r="N153" s="18"/>
    </row>
    <row r="154" spans="1:16" s="21" customFormat="1" ht="39.950000000000003" customHeight="1">
      <c r="A154" s="9">
        <v>8</v>
      </c>
      <c r="B154" s="207" t="s">
        <v>979</v>
      </c>
      <c r="C154" s="231" t="s">
        <v>3322</v>
      </c>
      <c r="D154" s="11" t="s">
        <v>3323</v>
      </c>
      <c r="E154" s="12" t="s">
        <v>165</v>
      </c>
      <c r="F154" s="14">
        <v>0</v>
      </c>
      <c r="G154" s="15">
        <v>0</v>
      </c>
      <c r="H154" s="15" t="s">
        <v>1356</v>
      </c>
      <c r="I154" s="224" t="s">
        <v>3672</v>
      </c>
      <c r="J154" s="31">
        <v>1</v>
      </c>
      <c r="K154" s="32">
        <v>0</v>
      </c>
      <c r="L154" s="18"/>
      <c r="M154" s="23"/>
      <c r="N154" s="18"/>
    </row>
    <row r="155" spans="1:16" s="21" customFormat="1" ht="39.950000000000003" customHeight="1">
      <c r="A155" s="9">
        <v>9</v>
      </c>
      <c r="B155" s="207">
        <v>6608</v>
      </c>
      <c r="C155" s="11" t="s">
        <v>163</v>
      </c>
      <c r="D155" s="11" t="s">
        <v>164</v>
      </c>
      <c r="E155" s="12" t="s">
        <v>165</v>
      </c>
      <c r="F155" s="14">
        <v>0</v>
      </c>
      <c r="G155" s="15">
        <v>0</v>
      </c>
      <c r="H155" s="15" t="s">
        <v>1356</v>
      </c>
      <c r="I155" s="16" t="s">
        <v>1185</v>
      </c>
      <c r="J155" s="17">
        <v>1</v>
      </c>
      <c r="K155" s="18">
        <v>0</v>
      </c>
      <c r="L155" s="18"/>
      <c r="M155" s="23"/>
      <c r="N155" s="18"/>
    </row>
    <row r="156" spans="1:16" s="21" customFormat="1" ht="39.950000000000003" customHeight="1">
      <c r="A156" s="9">
        <v>10</v>
      </c>
      <c r="B156" s="207">
        <v>4385</v>
      </c>
      <c r="C156" s="11" t="s">
        <v>166</v>
      </c>
      <c r="D156" s="11" t="s">
        <v>934</v>
      </c>
      <c r="E156" s="12" t="s">
        <v>165</v>
      </c>
      <c r="F156" s="13" t="s">
        <v>17</v>
      </c>
      <c r="G156" s="14"/>
      <c r="H156" s="15"/>
      <c r="I156" s="16"/>
      <c r="J156" s="17"/>
      <c r="K156" s="18">
        <v>1</v>
      </c>
      <c r="L156" s="18"/>
      <c r="M156" s="23"/>
      <c r="N156" s="33"/>
    </row>
    <row r="157" spans="1:16" s="21" customFormat="1" ht="39.950000000000003" customHeight="1">
      <c r="A157" s="9">
        <v>11</v>
      </c>
      <c r="B157" s="207">
        <v>4386</v>
      </c>
      <c r="C157" s="11" t="s">
        <v>167</v>
      </c>
      <c r="D157" s="11" t="s">
        <v>168</v>
      </c>
      <c r="E157" s="12" t="s">
        <v>165</v>
      </c>
      <c r="F157" s="13" t="s">
        <v>17</v>
      </c>
      <c r="G157" s="14"/>
      <c r="H157" s="15"/>
      <c r="I157" s="16"/>
      <c r="J157" s="17"/>
      <c r="K157" s="18">
        <v>1</v>
      </c>
      <c r="L157" s="18"/>
      <c r="M157" s="23"/>
      <c r="N157" s="33"/>
    </row>
    <row r="158" spans="1:16" s="21" customFormat="1" ht="39.950000000000003" customHeight="1">
      <c r="A158" s="9">
        <v>12</v>
      </c>
      <c r="B158" s="207">
        <v>5976</v>
      </c>
      <c r="C158" s="11" t="s">
        <v>1550</v>
      </c>
      <c r="D158" s="11" t="s">
        <v>1589</v>
      </c>
      <c r="E158" s="12" t="s">
        <v>165</v>
      </c>
      <c r="F158" s="30" t="s">
        <v>17</v>
      </c>
      <c r="G158" s="30"/>
      <c r="H158" s="30"/>
      <c r="I158" s="47" t="s">
        <v>132</v>
      </c>
      <c r="J158" s="31"/>
      <c r="K158" s="32">
        <v>1</v>
      </c>
      <c r="L158" s="32">
        <v>1</v>
      </c>
      <c r="M158" s="33"/>
      <c r="N158" s="33"/>
    </row>
    <row r="159" spans="1:16" s="21" customFormat="1" ht="39.950000000000003" customHeight="1">
      <c r="A159" s="9">
        <v>13</v>
      </c>
      <c r="B159" s="207">
        <v>5994</v>
      </c>
      <c r="C159" s="11" t="s">
        <v>1603</v>
      </c>
      <c r="D159" s="11" t="s">
        <v>1764</v>
      </c>
      <c r="E159" s="12" t="s">
        <v>165</v>
      </c>
      <c r="F159" s="13" t="s">
        <v>17</v>
      </c>
      <c r="G159" s="14"/>
      <c r="H159" s="15"/>
      <c r="I159" s="16"/>
      <c r="J159" s="17"/>
      <c r="K159" s="18">
        <v>1</v>
      </c>
      <c r="L159" s="18"/>
      <c r="M159" s="23"/>
      <c r="N159" s="33"/>
    </row>
    <row r="160" spans="1:16" s="21" customFormat="1" ht="39.950000000000003" customHeight="1">
      <c r="A160" s="9">
        <v>14</v>
      </c>
      <c r="B160" s="207">
        <v>6246</v>
      </c>
      <c r="C160" s="11" t="s">
        <v>2168</v>
      </c>
      <c r="D160" s="11" t="s">
        <v>2169</v>
      </c>
      <c r="E160" s="12" t="s">
        <v>165</v>
      </c>
      <c r="F160" s="13" t="s">
        <v>17</v>
      </c>
      <c r="G160" s="14"/>
      <c r="H160" s="15"/>
      <c r="I160" s="16"/>
      <c r="J160" s="17"/>
      <c r="K160" s="18">
        <v>1</v>
      </c>
      <c r="L160" s="18"/>
      <c r="M160" s="23"/>
      <c r="N160" s="33"/>
    </row>
    <row r="161" spans="1:16" s="21" customFormat="1" ht="39.950000000000003" customHeight="1">
      <c r="A161" s="9">
        <v>15</v>
      </c>
      <c r="B161" s="207">
        <v>6288</v>
      </c>
      <c r="C161" s="11" t="s">
        <v>2281</v>
      </c>
      <c r="D161" s="11" t="s">
        <v>2280</v>
      </c>
      <c r="E161" s="12" t="s">
        <v>165</v>
      </c>
      <c r="F161" s="13" t="s">
        <v>17</v>
      </c>
      <c r="G161" s="14"/>
      <c r="H161" s="15"/>
      <c r="I161" s="16"/>
      <c r="J161" s="17"/>
      <c r="K161" s="18">
        <v>1</v>
      </c>
      <c r="L161" s="18"/>
      <c r="M161" s="23"/>
      <c r="N161" s="33"/>
    </row>
    <row r="162" spans="1:16" s="21" customFormat="1" ht="39.950000000000003" customHeight="1">
      <c r="A162" s="9">
        <v>16</v>
      </c>
      <c r="B162" s="207">
        <v>6309</v>
      </c>
      <c r="C162" s="11" t="s">
        <v>2282</v>
      </c>
      <c r="D162" s="11" t="s">
        <v>2283</v>
      </c>
      <c r="E162" s="12" t="s">
        <v>165</v>
      </c>
      <c r="F162" s="13" t="s">
        <v>17</v>
      </c>
      <c r="G162" s="14"/>
      <c r="H162" s="15"/>
      <c r="I162" s="16"/>
      <c r="J162" s="17"/>
      <c r="K162" s="18">
        <v>1</v>
      </c>
      <c r="L162" s="18"/>
      <c r="M162" s="23"/>
      <c r="N162" s="33"/>
    </row>
    <row r="163" spans="1:16" s="21" customFormat="1" ht="39.950000000000003" customHeight="1">
      <c r="A163" s="9">
        <v>17</v>
      </c>
      <c r="B163" s="207">
        <v>6287</v>
      </c>
      <c r="C163" s="11" t="s">
        <v>2285</v>
      </c>
      <c r="D163" s="11" t="s">
        <v>2284</v>
      </c>
      <c r="E163" s="12" t="s">
        <v>165</v>
      </c>
      <c r="F163" s="13" t="s">
        <v>17</v>
      </c>
      <c r="G163" s="14"/>
      <c r="H163" s="15"/>
      <c r="I163" s="16"/>
      <c r="J163" s="17"/>
      <c r="K163" s="18">
        <v>1</v>
      </c>
      <c r="L163" s="18"/>
      <c r="M163" s="23"/>
      <c r="N163" s="33"/>
    </row>
    <row r="164" spans="1:16" s="21" customFormat="1" ht="39.950000000000003" customHeight="1">
      <c r="A164" s="9">
        <v>18</v>
      </c>
      <c r="B164" s="207">
        <v>6680</v>
      </c>
      <c r="C164" s="231" t="s">
        <v>3034</v>
      </c>
      <c r="D164" s="11" t="s">
        <v>3035</v>
      </c>
      <c r="E164" s="12" t="s">
        <v>165</v>
      </c>
      <c r="F164" s="14">
        <v>0</v>
      </c>
      <c r="G164" s="15">
        <v>0</v>
      </c>
      <c r="H164" s="15" t="s">
        <v>1356</v>
      </c>
      <c r="I164" s="16" t="s">
        <v>1185</v>
      </c>
      <c r="J164" s="17">
        <v>1</v>
      </c>
      <c r="K164" s="18">
        <v>0</v>
      </c>
      <c r="L164" s="18"/>
      <c r="M164" s="23"/>
      <c r="N164" s="33"/>
    </row>
    <row r="165" spans="1:16" s="21" customFormat="1" ht="39.950000000000003" customHeight="1">
      <c r="A165" s="9">
        <v>19</v>
      </c>
      <c r="B165" s="207">
        <v>4555</v>
      </c>
      <c r="C165" s="11" t="s">
        <v>169</v>
      </c>
      <c r="D165" s="11" t="s">
        <v>170</v>
      </c>
      <c r="E165" s="12" t="s">
        <v>165</v>
      </c>
      <c r="F165" s="13" t="s">
        <v>17</v>
      </c>
      <c r="G165" s="14"/>
      <c r="H165" s="15"/>
      <c r="I165" s="16"/>
      <c r="J165" s="17"/>
      <c r="K165" s="18">
        <v>1</v>
      </c>
      <c r="L165" s="18"/>
      <c r="M165" s="23"/>
      <c r="N165" s="33"/>
    </row>
    <row r="166" spans="1:16" ht="39.950000000000003" customHeight="1">
      <c r="A166" s="40"/>
      <c r="B166" s="262" t="s">
        <v>171</v>
      </c>
      <c r="C166" s="263"/>
      <c r="D166" s="264"/>
      <c r="E166" s="46"/>
      <c r="F166" s="41"/>
      <c r="G166" s="41"/>
      <c r="H166" s="41"/>
      <c r="I166" s="42"/>
      <c r="J166" s="43">
        <f>SUM(J147:J165)</f>
        <v>4</v>
      </c>
      <c r="K166" s="43">
        <f>SUM(K147:K165)</f>
        <v>14</v>
      </c>
      <c r="L166" s="43">
        <f>SUM(L147:L165)</f>
        <v>1</v>
      </c>
      <c r="M166" s="43">
        <f>SUM(M147:M165)</f>
        <v>1</v>
      </c>
      <c r="N166" s="33"/>
      <c r="O166" s="21"/>
      <c r="P166" s="21"/>
    </row>
    <row r="167" spans="1:16" s="21" customFormat="1" ht="39.950000000000003" customHeight="1">
      <c r="A167" s="9">
        <v>1</v>
      </c>
      <c r="B167" s="207">
        <v>2024</v>
      </c>
      <c r="C167" s="50" t="s">
        <v>1133</v>
      </c>
      <c r="D167" s="50" t="s">
        <v>1134</v>
      </c>
      <c r="E167" s="51" t="s">
        <v>174</v>
      </c>
      <c r="F167" s="13">
        <v>0</v>
      </c>
      <c r="G167" s="14"/>
      <c r="H167" s="15"/>
      <c r="I167" s="22" t="s">
        <v>221</v>
      </c>
      <c r="J167" s="26"/>
      <c r="K167" s="27">
        <v>0</v>
      </c>
      <c r="L167" s="27"/>
      <c r="M167" s="28">
        <v>1</v>
      </c>
      <c r="N167" s="33"/>
    </row>
    <row r="168" spans="1:16" s="21" customFormat="1" ht="39.950000000000003" customHeight="1">
      <c r="A168" s="9">
        <v>2</v>
      </c>
      <c r="B168" s="207">
        <v>5902</v>
      </c>
      <c r="C168" s="50" t="s">
        <v>172</v>
      </c>
      <c r="D168" s="50" t="s">
        <v>173</v>
      </c>
      <c r="E168" s="51" t="s">
        <v>174</v>
      </c>
      <c r="F168" s="30" t="s">
        <v>17</v>
      </c>
      <c r="G168" s="30"/>
      <c r="H168" s="30"/>
      <c r="I168" s="48" t="s">
        <v>255</v>
      </c>
      <c r="J168" s="31"/>
      <c r="K168" s="32">
        <v>1</v>
      </c>
      <c r="L168" s="32"/>
      <c r="M168" s="33"/>
      <c r="N168"/>
    </row>
    <row r="169" spans="1:16" s="21" customFormat="1" ht="39.950000000000003" customHeight="1">
      <c r="A169" s="9">
        <v>3</v>
      </c>
      <c r="B169" s="207">
        <v>6596</v>
      </c>
      <c r="C169" s="185" t="s">
        <v>2360</v>
      </c>
      <c r="D169" s="50" t="s">
        <v>2361</v>
      </c>
      <c r="E169" s="51" t="s">
        <v>174</v>
      </c>
      <c r="F169" s="30">
        <v>0</v>
      </c>
      <c r="G169" s="30"/>
      <c r="H169" s="30"/>
      <c r="I169" s="48" t="s">
        <v>1185</v>
      </c>
      <c r="J169" s="31">
        <v>1</v>
      </c>
      <c r="K169" s="32">
        <v>0</v>
      </c>
      <c r="L169" s="32"/>
      <c r="M169" s="33"/>
      <c r="N169"/>
    </row>
    <row r="170" spans="1:16" s="21" customFormat="1" ht="39.950000000000003" customHeight="1">
      <c r="A170" s="9">
        <v>4</v>
      </c>
      <c r="B170" s="207">
        <v>6625</v>
      </c>
      <c r="C170" s="185" t="s">
        <v>2900</v>
      </c>
      <c r="D170" s="50" t="s">
        <v>2901</v>
      </c>
      <c r="E170" s="51" t="s">
        <v>174</v>
      </c>
      <c r="F170" s="30" t="s">
        <v>17</v>
      </c>
      <c r="G170" s="30"/>
      <c r="H170" s="30"/>
      <c r="I170" s="48" t="s">
        <v>255</v>
      </c>
      <c r="J170" s="31"/>
      <c r="K170" s="32">
        <v>1</v>
      </c>
      <c r="L170" s="32"/>
      <c r="M170" s="33"/>
      <c r="N170"/>
    </row>
    <row r="171" spans="1:16" s="21" customFormat="1" ht="39.950000000000003" customHeight="1">
      <c r="A171" s="9">
        <v>5</v>
      </c>
      <c r="B171" s="207">
        <v>6726</v>
      </c>
      <c r="C171" s="185" t="s">
        <v>3218</v>
      </c>
      <c r="D171" s="50" t="s">
        <v>3219</v>
      </c>
      <c r="E171" s="51" t="s">
        <v>174</v>
      </c>
      <c r="F171" s="30" t="s">
        <v>17</v>
      </c>
      <c r="G171" s="30"/>
      <c r="H171" s="30"/>
      <c r="I171" s="47" t="s">
        <v>132</v>
      </c>
      <c r="J171" s="31"/>
      <c r="K171" s="32">
        <v>1</v>
      </c>
      <c r="L171" s="32">
        <v>1</v>
      </c>
      <c r="M171" s="33"/>
      <c r="N171"/>
    </row>
    <row r="172" spans="1:16" s="21" customFormat="1" ht="39.950000000000003" customHeight="1">
      <c r="A172" s="9">
        <v>6</v>
      </c>
      <c r="B172" s="207" t="s">
        <v>979</v>
      </c>
      <c r="C172" s="185" t="s">
        <v>3366</v>
      </c>
      <c r="D172" s="50" t="s">
        <v>3367</v>
      </c>
      <c r="E172" s="51" t="s">
        <v>174</v>
      </c>
      <c r="F172" s="30" t="s">
        <v>17</v>
      </c>
      <c r="G172" s="30"/>
      <c r="H172" s="30"/>
      <c r="I172" s="22" t="s">
        <v>1102</v>
      </c>
      <c r="J172" s="31"/>
      <c r="K172" s="32">
        <v>1</v>
      </c>
      <c r="L172" s="32"/>
      <c r="M172" s="33"/>
      <c r="N172"/>
    </row>
    <row r="173" spans="1:16" s="21" customFormat="1" ht="39.950000000000003" customHeight="1">
      <c r="A173" s="9">
        <v>7</v>
      </c>
      <c r="B173" s="207" t="s">
        <v>979</v>
      </c>
      <c r="C173" s="185" t="s">
        <v>3368</v>
      </c>
      <c r="D173" s="50" t="s">
        <v>3369</v>
      </c>
      <c r="E173" s="51" t="s">
        <v>174</v>
      </c>
      <c r="F173" s="30" t="s">
        <v>17</v>
      </c>
      <c r="G173" s="30"/>
      <c r="H173" s="30"/>
      <c r="I173" s="22" t="s">
        <v>1102</v>
      </c>
      <c r="J173" s="31"/>
      <c r="K173" s="32">
        <v>1</v>
      </c>
      <c r="L173" s="32"/>
      <c r="M173" s="33"/>
      <c r="N173"/>
    </row>
    <row r="174" spans="1:16" s="21" customFormat="1" ht="39.950000000000003" customHeight="1">
      <c r="A174" s="9">
        <v>8</v>
      </c>
      <c r="B174" s="207" t="s">
        <v>979</v>
      </c>
      <c r="C174" s="185" t="s">
        <v>3578</v>
      </c>
      <c r="D174" s="50" t="s">
        <v>3579</v>
      </c>
      <c r="E174" s="51" t="s">
        <v>174</v>
      </c>
      <c r="F174" s="30" t="s">
        <v>17</v>
      </c>
      <c r="G174" s="30"/>
      <c r="H174" s="30"/>
      <c r="I174" s="22" t="s">
        <v>1102</v>
      </c>
      <c r="J174" s="31"/>
      <c r="K174" s="32">
        <v>1</v>
      </c>
      <c r="L174" s="32"/>
      <c r="M174" s="33"/>
      <c r="N174"/>
    </row>
    <row r="175" spans="1:16" s="21" customFormat="1" ht="39.950000000000003" customHeight="1">
      <c r="A175" s="9">
        <v>9</v>
      </c>
      <c r="B175" s="207">
        <v>2050</v>
      </c>
      <c r="C175" s="185" t="s">
        <v>3052</v>
      </c>
      <c r="D175" s="50" t="s">
        <v>3053</v>
      </c>
      <c r="E175" s="51" t="s">
        <v>175</v>
      </c>
      <c r="F175" s="30" t="s">
        <v>17</v>
      </c>
      <c r="G175" s="30"/>
      <c r="H175" s="30"/>
      <c r="I175" s="48" t="s">
        <v>255</v>
      </c>
      <c r="J175" s="31"/>
      <c r="K175" s="32">
        <v>1</v>
      </c>
      <c r="L175" s="32"/>
      <c r="M175" s="33"/>
      <c r="N175"/>
    </row>
    <row r="176" spans="1:16" s="21" customFormat="1" ht="39.950000000000003" customHeight="1">
      <c r="A176" s="9">
        <v>10</v>
      </c>
      <c r="B176" s="207">
        <v>4556</v>
      </c>
      <c r="C176" s="185" t="s">
        <v>176</v>
      </c>
      <c r="D176" s="50" t="s">
        <v>177</v>
      </c>
      <c r="E176" s="51" t="s">
        <v>175</v>
      </c>
      <c r="F176" s="30" t="s">
        <v>17</v>
      </c>
      <c r="G176" s="30"/>
      <c r="H176" s="30"/>
      <c r="I176" s="48" t="s">
        <v>255</v>
      </c>
      <c r="J176" s="31"/>
      <c r="K176" s="32">
        <v>1</v>
      </c>
      <c r="L176" s="32"/>
      <c r="M176" s="33"/>
      <c r="N176" s="33"/>
    </row>
    <row r="177" spans="1:14" s="21" customFormat="1" ht="39.950000000000003" customHeight="1">
      <c r="A177" s="9">
        <v>11</v>
      </c>
      <c r="B177" s="207">
        <v>5124</v>
      </c>
      <c r="C177" s="185" t="s">
        <v>178</v>
      </c>
      <c r="D177" s="50" t="s">
        <v>179</v>
      </c>
      <c r="E177" s="51" t="s">
        <v>175</v>
      </c>
      <c r="F177" s="30" t="s">
        <v>17</v>
      </c>
      <c r="G177" s="30"/>
      <c r="H177" s="30"/>
      <c r="I177" s="48" t="s">
        <v>255</v>
      </c>
      <c r="J177" s="31"/>
      <c r="K177" s="32">
        <v>1</v>
      </c>
      <c r="L177" s="32"/>
      <c r="M177" s="33"/>
      <c r="N177" s="33"/>
    </row>
    <row r="178" spans="1:14" s="21" customFormat="1" ht="39.950000000000003" customHeight="1">
      <c r="A178" s="9">
        <v>12</v>
      </c>
      <c r="B178" s="207">
        <v>4959</v>
      </c>
      <c r="C178" s="185" t="s">
        <v>180</v>
      </c>
      <c r="D178" s="50" t="s">
        <v>181</v>
      </c>
      <c r="E178" s="51" t="s">
        <v>175</v>
      </c>
      <c r="F178" s="13" t="s">
        <v>17</v>
      </c>
      <c r="G178" s="30"/>
      <c r="H178" s="30"/>
      <c r="I178" s="22" t="s">
        <v>118</v>
      </c>
      <c r="J178" s="31"/>
      <c r="K178" s="32">
        <v>0</v>
      </c>
      <c r="L178" s="32"/>
      <c r="M178" s="33">
        <v>1</v>
      </c>
      <c r="N178" s="33"/>
    </row>
    <row r="179" spans="1:14" s="21" customFormat="1" ht="39.950000000000003" customHeight="1">
      <c r="A179" s="9">
        <v>13</v>
      </c>
      <c r="B179" s="222">
        <v>6605</v>
      </c>
      <c r="C179" s="185" t="s">
        <v>182</v>
      </c>
      <c r="D179" s="50" t="s">
        <v>952</v>
      </c>
      <c r="E179" s="51" t="s">
        <v>175</v>
      </c>
      <c r="F179" s="30" t="s">
        <v>17</v>
      </c>
      <c r="G179" s="30"/>
      <c r="H179" s="30"/>
      <c r="I179" s="48" t="s">
        <v>255</v>
      </c>
      <c r="J179" s="31"/>
      <c r="K179" s="32">
        <v>1</v>
      </c>
      <c r="L179" s="32"/>
      <c r="M179" s="33"/>
      <c r="N179"/>
    </row>
    <row r="180" spans="1:14" s="21" customFormat="1" ht="39.950000000000003" customHeight="1">
      <c r="A180" s="9">
        <v>14</v>
      </c>
      <c r="B180" s="207">
        <v>6085</v>
      </c>
      <c r="C180" s="185" t="s">
        <v>183</v>
      </c>
      <c r="D180" s="50" t="s">
        <v>184</v>
      </c>
      <c r="E180" s="51" t="s">
        <v>175</v>
      </c>
      <c r="F180" s="30" t="s">
        <v>17</v>
      </c>
      <c r="G180" s="30"/>
      <c r="H180" s="30"/>
      <c r="I180" s="48" t="s">
        <v>255</v>
      </c>
      <c r="J180" s="31"/>
      <c r="K180" s="32">
        <v>1</v>
      </c>
      <c r="L180" s="32"/>
      <c r="M180" s="33"/>
      <c r="N180"/>
    </row>
    <row r="181" spans="1:14" s="21" customFormat="1" ht="39.950000000000003" customHeight="1">
      <c r="A181" s="9">
        <v>15</v>
      </c>
      <c r="B181" s="207">
        <v>6071</v>
      </c>
      <c r="C181" s="185" t="s">
        <v>1765</v>
      </c>
      <c r="D181" s="50" t="s">
        <v>1766</v>
      </c>
      <c r="E181" s="51" t="s">
        <v>175</v>
      </c>
      <c r="F181" s="30" t="s">
        <v>17</v>
      </c>
      <c r="G181" s="30"/>
      <c r="H181" s="30"/>
      <c r="I181" s="48" t="s">
        <v>255</v>
      </c>
      <c r="J181" s="31"/>
      <c r="K181" s="32">
        <v>1</v>
      </c>
      <c r="L181" s="32"/>
      <c r="M181" s="33"/>
      <c r="N181" s="33"/>
    </row>
    <row r="182" spans="1:14" s="21" customFormat="1" ht="39.950000000000003" customHeight="1">
      <c r="A182" s="9">
        <v>16</v>
      </c>
      <c r="B182" s="207">
        <v>5968</v>
      </c>
      <c r="C182" s="185" t="s">
        <v>1558</v>
      </c>
      <c r="D182" s="50" t="s">
        <v>1557</v>
      </c>
      <c r="E182" s="51" t="s">
        <v>175</v>
      </c>
      <c r="F182" s="30" t="s">
        <v>17</v>
      </c>
      <c r="G182" s="30"/>
      <c r="H182" s="30"/>
      <c r="I182" s="48" t="s">
        <v>255</v>
      </c>
      <c r="J182" s="31"/>
      <c r="K182" s="32">
        <v>1</v>
      </c>
      <c r="L182" s="32"/>
      <c r="M182" s="33"/>
      <c r="N182" s="33"/>
    </row>
    <row r="183" spans="1:14" s="21" customFormat="1" ht="39.950000000000003" customHeight="1">
      <c r="A183" s="9">
        <v>17</v>
      </c>
      <c r="B183" s="222">
        <v>6234</v>
      </c>
      <c r="C183" s="185" t="s">
        <v>2146</v>
      </c>
      <c r="D183" s="50" t="s">
        <v>2147</v>
      </c>
      <c r="E183" s="51" t="s">
        <v>175</v>
      </c>
      <c r="F183" s="30" t="s">
        <v>17</v>
      </c>
      <c r="G183" s="30"/>
      <c r="H183" s="30"/>
      <c r="I183" s="48" t="s">
        <v>255</v>
      </c>
      <c r="J183" s="31"/>
      <c r="K183" s="32">
        <v>1</v>
      </c>
      <c r="L183" s="32"/>
      <c r="M183" s="33"/>
      <c r="N183"/>
    </row>
    <row r="184" spans="1:14" s="21" customFormat="1" ht="39.950000000000003" customHeight="1">
      <c r="A184" s="9">
        <v>18</v>
      </c>
      <c r="B184" s="222">
        <v>6310</v>
      </c>
      <c r="C184" s="185" t="s">
        <v>2286</v>
      </c>
      <c r="D184" s="50" t="s">
        <v>2287</v>
      </c>
      <c r="E184" s="51" t="s">
        <v>175</v>
      </c>
      <c r="F184" s="30" t="s">
        <v>17</v>
      </c>
      <c r="G184" s="30"/>
      <c r="H184" s="30"/>
      <c r="I184" s="226" t="s">
        <v>255</v>
      </c>
      <c r="J184" s="31"/>
      <c r="K184" s="32">
        <v>1</v>
      </c>
      <c r="L184" s="32"/>
      <c r="M184" s="33"/>
      <c r="N184"/>
    </row>
    <row r="185" spans="1:14" s="21" customFormat="1" ht="39.950000000000003" customHeight="1">
      <c r="A185" s="9">
        <v>19</v>
      </c>
      <c r="B185" s="222">
        <v>6626</v>
      </c>
      <c r="C185" s="185" t="s">
        <v>2902</v>
      </c>
      <c r="D185" s="50" t="s">
        <v>2903</v>
      </c>
      <c r="E185" s="51" t="s">
        <v>175</v>
      </c>
      <c r="F185" s="30" t="s">
        <v>17</v>
      </c>
      <c r="G185" s="30"/>
      <c r="H185" s="30"/>
      <c r="I185" s="226" t="s">
        <v>255</v>
      </c>
      <c r="J185" s="31"/>
      <c r="K185" s="32">
        <v>1</v>
      </c>
      <c r="L185" s="32"/>
      <c r="M185" s="33"/>
      <c r="N185"/>
    </row>
    <row r="186" spans="1:14" s="21" customFormat="1" ht="39.950000000000003" customHeight="1">
      <c r="A186" s="9">
        <v>20</v>
      </c>
      <c r="B186" s="222">
        <v>6633</v>
      </c>
      <c r="C186" s="185" t="s">
        <v>2904</v>
      </c>
      <c r="D186" s="50" t="s">
        <v>2905</v>
      </c>
      <c r="E186" s="51" t="s">
        <v>175</v>
      </c>
      <c r="F186" s="30" t="s">
        <v>17</v>
      </c>
      <c r="G186" s="30"/>
      <c r="H186" s="30"/>
      <c r="I186" s="226" t="s">
        <v>255</v>
      </c>
      <c r="J186" s="31"/>
      <c r="K186" s="32">
        <v>1</v>
      </c>
      <c r="L186" s="32"/>
      <c r="M186" s="33"/>
      <c r="N186"/>
    </row>
    <row r="187" spans="1:14" s="21" customFormat="1" ht="39.950000000000003" customHeight="1">
      <c r="A187" s="9">
        <v>21</v>
      </c>
      <c r="B187" s="222">
        <v>6727</v>
      </c>
      <c r="C187" s="185" t="s">
        <v>3220</v>
      </c>
      <c r="D187" s="50" t="s">
        <v>3221</v>
      </c>
      <c r="E187" s="51" t="s">
        <v>175</v>
      </c>
      <c r="F187" s="30" t="s">
        <v>17</v>
      </c>
      <c r="G187" s="30"/>
      <c r="H187" s="30"/>
      <c r="I187" s="47" t="s">
        <v>132</v>
      </c>
      <c r="J187" s="31"/>
      <c r="K187" s="32">
        <v>1</v>
      </c>
      <c r="L187" s="32">
        <v>1</v>
      </c>
      <c r="M187" s="33"/>
      <c r="N187"/>
    </row>
    <row r="188" spans="1:14" s="21" customFormat="1" ht="39.950000000000003" customHeight="1">
      <c r="A188" s="9">
        <v>22</v>
      </c>
      <c r="B188" s="222">
        <v>6728</v>
      </c>
      <c r="C188" s="185" t="s">
        <v>3222</v>
      </c>
      <c r="D188" s="50" t="s">
        <v>3223</v>
      </c>
      <c r="E188" s="51" t="s">
        <v>175</v>
      </c>
      <c r="F188" s="30" t="s">
        <v>17</v>
      </c>
      <c r="G188" s="30"/>
      <c r="H188" s="30"/>
      <c r="I188" s="47" t="s">
        <v>132</v>
      </c>
      <c r="J188" s="31"/>
      <c r="K188" s="32">
        <v>1</v>
      </c>
      <c r="L188" s="32">
        <v>1</v>
      </c>
      <c r="M188" s="33"/>
      <c r="N188"/>
    </row>
    <row r="189" spans="1:14" s="21" customFormat="1" ht="39.950000000000003" customHeight="1">
      <c r="A189" s="9">
        <v>23</v>
      </c>
      <c r="B189" s="222">
        <v>6729</v>
      </c>
      <c r="C189" s="185" t="s">
        <v>3224</v>
      </c>
      <c r="D189" s="50" t="s">
        <v>3225</v>
      </c>
      <c r="E189" s="51" t="s">
        <v>175</v>
      </c>
      <c r="F189" s="30" t="s">
        <v>17</v>
      </c>
      <c r="G189" s="30"/>
      <c r="H189" s="30"/>
      <c r="I189" s="47" t="s">
        <v>132</v>
      </c>
      <c r="J189" s="31"/>
      <c r="K189" s="32">
        <v>1</v>
      </c>
      <c r="L189" s="32">
        <v>1</v>
      </c>
      <c r="M189" s="33"/>
      <c r="N189"/>
    </row>
    <row r="190" spans="1:14" s="21" customFormat="1" ht="39.950000000000003" customHeight="1">
      <c r="A190" s="9">
        <v>24</v>
      </c>
      <c r="B190" s="222">
        <v>6778</v>
      </c>
      <c r="C190" s="185" t="s">
        <v>3370</v>
      </c>
      <c r="D190" s="50" t="s">
        <v>3371</v>
      </c>
      <c r="E190" s="51" t="s">
        <v>175</v>
      </c>
      <c r="F190" s="30" t="s">
        <v>17</v>
      </c>
      <c r="G190" s="30"/>
      <c r="H190" s="30"/>
      <c r="I190" s="226" t="s">
        <v>255</v>
      </c>
      <c r="J190" s="31"/>
      <c r="K190" s="32">
        <v>1</v>
      </c>
      <c r="L190" s="32"/>
      <c r="M190" s="33"/>
      <c r="N190"/>
    </row>
    <row r="191" spans="1:14" s="21" customFormat="1" ht="39.950000000000003" customHeight="1">
      <c r="A191" s="9">
        <v>25</v>
      </c>
      <c r="B191" s="207" t="s">
        <v>979</v>
      </c>
      <c r="C191" s="185" t="s">
        <v>3354</v>
      </c>
      <c r="D191" s="185" t="s">
        <v>3355</v>
      </c>
      <c r="E191" s="51" t="s">
        <v>175</v>
      </c>
      <c r="F191" s="30" t="s">
        <v>17</v>
      </c>
      <c r="G191" s="30"/>
      <c r="H191" s="30"/>
      <c r="I191" s="22" t="s">
        <v>1102</v>
      </c>
      <c r="J191" s="31"/>
      <c r="K191" s="32">
        <v>1</v>
      </c>
      <c r="L191" s="32"/>
      <c r="M191" s="33"/>
      <c r="N191"/>
    </row>
    <row r="192" spans="1:14" s="21" customFormat="1" ht="39.950000000000003" customHeight="1">
      <c r="A192" s="9">
        <v>26</v>
      </c>
      <c r="B192" s="207" t="s">
        <v>979</v>
      </c>
      <c r="C192" s="185" t="s">
        <v>3430</v>
      </c>
      <c r="D192" s="185" t="s">
        <v>3431</v>
      </c>
      <c r="E192" s="51" t="s">
        <v>175</v>
      </c>
      <c r="F192" s="30" t="s">
        <v>17</v>
      </c>
      <c r="G192" s="30"/>
      <c r="H192" s="30"/>
      <c r="I192" s="22" t="s">
        <v>1102</v>
      </c>
      <c r="J192" s="31"/>
      <c r="K192" s="32">
        <v>1</v>
      </c>
      <c r="L192" s="32"/>
      <c r="M192" s="33"/>
      <c r="N192"/>
    </row>
    <row r="193" spans="1:17" s="21" customFormat="1" ht="39.950000000000003" customHeight="1">
      <c r="A193" s="9">
        <v>27</v>
      </c>
      <c r="B193" s="207" t="s">
        <v>979</v>
      </c>
      <c r="C193" s="185" t="s">
        <v>3580</v>
      </c>
      <c r="D193" s="185" t="s">
        <v>3581</v>
      </c>
      <c r="E193" s="51" t="s">
        <v>175</v>
      </c>
      <c r="F193" s="30" t="s">
        <v>17</v>
      </c>
      <c r="G193" s="30"/>
      <c r="H193" s="30"/>
      <c r="I193" s="22" t="s">
        <v>1102</v>
      </c>
      <c r="J193" s="31"/>
      <c r="K193" s="32">
        <v>1</v>
      </c>
      <c r="L193" s="32"/>
      <c r="M193" s="33"/>
      <c r="N193"/>
    </row>
    <row r="194" spans="1:17" s="21" customFormat="1" ht="39.950000000000003" customHeight="1">
      <c r="A194" s="9">
        <v>28</v>
      </c>
      <c r="B194" s="207" t="s">
        <v>979</v>
      </c>
      <c r="C194" s="185" t="s">
        <v>3582</v>
      </c>
      <c r="D194" s="185" t="s">
        <v>3583</v>
      </c>
      <c r="E194" s="51" t="s">
        <v>175</v>
      </c>
      <c r="F194" s="30" t="s">
        <v>17</v>
      </c>
      <c r="G194" s="30"/>
      <c r="H194" s="30"/>
      <c r="I194" s="22" t="s">
        <v>1102</v>
      </c>
      <c r="J194" s="31"/>
      <c r="K194" s="32">
        <v>1</v>
      </c>
      <c r="L194" s="32"/>
      <c r="M194" s="33"/>
      <c r="N194"/>
    </row>
    <row r="195" spans="1:17" s="21" customFormat="1" ht="39.950000000000003" customHeight="1">
      <c r="A195" s="9">
        <v>29</v>
      </c>
      <c r="B195" s="222">
        <v>5370</v>
      </c>
      <c r="C195" s="185" t="s">
        <v>741</v>
      </c>
      <c r="D195" s="50" t="s">
        <v>742</v>
      </c>
      <c r="E195" s="51" t="s">
        <v>743</v>
      </c>
      <c r="F195" s="30" t="s">
        <v>17</v>
      </c>
      <c r="G195" s="30"/>
      <c r="H195" s="30"/>
      <c r="I195" s="226" t="s">
        <v>255</v>
      </c>
      <c r="J195" s="31"/>
      <c r="K195" s="32">
        <v>1</v>
      </c>
      <c r="L195" s="32"/>
      <c r="M195" s="33"/>
      <c r="N195" s="33"/>
    </row>
    <row r="196" spans="1:17" s="21" customFormat="1" ht="39.950000000000003" customHeight="1">
      <c r="A196" s="9">
        <v>30</v>
      </c>
      <c r="B196" s="222">
        <v>4598</v>
      </c>
      <c r="C196" s="50" t="s">
        <v>185</v>
      </c>
      <c r="D196" s="50" t="s">
        <v>186</v>
      </c>
      <c r="E196" s="51" t="s">
        <v>187</v>
      </c>
      <c r="F196" s="30">
        <v>7.5</v>
      </c>
      <c r="G196" s="30">
        <v>2.5</v>
      </c>
      <c r="H196" s="30">
        <f t="shared" ref="H196" si="0">IF(G196&gt;0,(G196*1.5)+F196,"YOK")</f>
        <v>11.25</v>
      </c>
      <c r="I196" s="226" t="s">
        <v>810</v>
      </c>
      <c r="J196" s="31"/>
      <c r="K196" s="32">
        <v>1</v>
      </c>
      <c r="L196" s="32"/>
      <c r="M196" s="33"/>
      <c r="N196" s="33"/>
      <c r="Q196" s="52"/>
    </row>
    <row r="197" spans="1:17" s="21" customFormat="1" ht="39.950000000000003" customHeight="1">
      <c r="A197" s="9">
        <v>31</v>
      </c>
      <c r="B197" s="222">
        <v>5951</v>
      </c>
      <c r="C197" s="50" t="s">
        <v>1516</v>
      </c>
      <c r="D197" s="50" t="s">
        <v>1515</v>
      </c>
      <c r="E197" s="51" t="s">
        <v>187</v>
      </c>
      <c r="F197" s="30">
        <v>7.5</v>
      </c>
      <c r="G197" s="30">
        <v>2.5</v>
      </c>
      <c r="H197" s="30">
        <f t="shared" ref="H197" si="1">IF(G197&gt;0,(G197*1.5)+F197,"YOK")</f>
        <v>11.25</v>
      </c>
      <c r="I197" s="226" t="s">
        <v>810</v>
      </c>
      <c r="J197" s="31"/>
      <c r="K197" s="32">
        <v>1</v>
      </c>
      <c r="L197" s="32"/>
      <c r="M197" s="33"/>
      <c r="N197" s="33"/>
    </row>
    <row r="198" spans="1:17" s="21" customFormat="1" ht="39.950000000000003" customHeight="1">
      <c r="A198" s="9">
        <v>32</v>
      </c>
      <c r="B198" s="222">
        <v>5834</v>
      </c>
      <c r="C198" s="50" t="s">
        <v>1305</v>
      </c>
      <c r="D198" s="50" t="s">
        <v>1306</v>
      </c>
      <c r="E198" s="51" t="s">
        <v>187</v>
      </c>
      <c r="F198" s="30">
        <v>7.5</v>
      </c>
      <c r="G198" s="30">
        <v>2.5</v>
      </c>
      <c r="H198" s="30">
        <f t="shared" ref="H198" si="2">IF(G198&gt;0,(G198*1.5)+F198,"YOK")</f>
        <v>11.25</v>
      </c>
      <c r="I198" s="226" t="s">
        <v>810</v>
      </c>
      <c r="J198" s="31"/>
      <c r="K198" s="32">
        <v>1</v>
      </c>
      <c r="L198" s="32"/>
      <c r="M198" s="33"/>
      <c r="N198"/>
    </row>
    <row r="199" spans="1:17" s="21" customFormat="1" ht="39.950000000000003" customHeight="1">
      <c r="A199" s="9">
        <v>33</v>
      </c>
      <c r="B199" s="222">
        <v>6613</v>
      </c>
      <c r="C199" s="50" t="s">
        <v>190</v>
      </c>
      <c r="D199" s="50" t="s">
        <v>191</v>
      </c>
      <c r="E199" s="51" t="s">
        <v>187</v>
      </c>
      <c r="F199" s="30">
        <v>7.5</v>
      </c>
      <c r="G199" s="30">
        <v>2.5</v>
      </c>
      <c r="H199" s="30">
        <f t="shared" ref="H199" si="3">IF(G199&gt;0,(G199*1.5)+F199,"YOK")</f>
        <v>11.25</v>
      </c>
      <c r="I199" s="226" t="s">
        <v>810</v>
      </c>
      <c r="J199" s="31"/>
      <c r="K199" s="32">
        <v>1</v>
      </c>
      <c r="L199" s="32"/>
      <c r="M199" s="33"/>
      <c r="N199"/>
      <c r="Q199" s="52"/>
    </row>
    <row r="200" spans="1:17" s="21" customFormat="1" ht="39.950000000000003" customHeight="1">
      <c r="A200" s="9">
        <v>34</v>
      </c>
      <c r="B200" s="222">
        <v>5718</v>
      </c>
      <c r="C200" s="50" t="s">
        <v>1183</v>
      </c>
      <c r="D200" s="50" t="s">
        <v>1184</v>
      </c>
      <c r="E200" s="51" t="s">
        <v>187</v>
      </c>
      <c r="F200" s="30">
        <v>7.5</v>
      </c>
      <c r="G200" s="30">
        <v>2.5</v>
      </c>
      <c r="H200" s="30">
        <f t="shared" ref="H200" si="4">IF(G200&gt;0,(G200*1.5)+F200,"YOK")</f>
        <v>11.25</v>
      </c>
      <c r="I200" s="226" t="s">
        <v>810</v>
      </c>
      <c r="J200" s="31"/>
      <c r="K200" s="32">
        <v>1</v>
      </c>
      <c r="L200" s="32"/>
      <c r="M200" s="33"/>
      <c r="N200" s="33"/>
      <c r="Q200" s="52"/>
    </row>
    <row r="201" spans="1:17" s="21" customFormat="1" ht="39.950000000000003" customHeight="1">
      <c r="A201" s="9">
        <v>35</v>
      </c>
      <c r="B201" s="222">
        <v>6606</v>
      </c>
      <c r="C201" s="50" t="s">
        <v>188</v>
      </c>
      <c r="D201" s="50" t="s">
        <v>189</v>
      </c>
      <c r="E201" s="51" t="s">
        <v>187</v>
      </c>
      <c r="F201" s="30">
        <v>7.5</v>
      </c>
      <c r="G201" s="30">
        <v>2.5</v>
      </c>
      <c r="H201" s="30">
        <f t="shared" ref="H201" si="5">IF(G201&gt;0,(G201*1.5)+F201,"YOK")</f>
        <v>11.25</v>
      </c>
      <c r="I201" s="226" t="s">
        <v>810</v>
      </c>
      <c r="J201" s="31"/>
      <c r="K201" s="32">
        <v>1</v>
      </c>
      <c r="L201" s="32"/>
      <c r="M201" s="33"/>
      <c r="N201" s="33"/>
    </row>
    <row r="202" spans="1:17" s="21" customFormat="1" ht="39.950000000000003" customHeight="1">
      <c r="A202" s="9">
        <v>36</v>
      </c>
      <c r="B202" s="222">
        <v>5152</v>
      </c>
      <c r="C202" s="50" t="s">
        <v>207</v>
      </c>
      <c r="D202" s="50" t="s">
        <v>208</v>
      </c>
      <c r="E202" s="51" t="s">
        <v>187</v>
      </c>
      <c r="F202" s="30">
        <v>7.5</v>
      </c>
      <c r="G202" s="30">
        <v>2.5</v>
      </c>
      <c r="H202" s="30">
        <f t="shared" ref="H202" si="6">IF(G202&gt;0,(G202*1.5)+F202,"YOK")</f>
        <v>11.25</v>
      </c>
      <c r="I202" s="226" t="s">
        <v>810</v>
      </c>
      <c r="J202" s="31"/>
      <c r="K202" s="32">
        <v>1</v>
      </c>
      <c r="L202" s="32"/>
      <c r="M202" s="33"/>
      <c r="N202" s="33"/>
    </row>
    <row r="203" spans="1:17" s="21" customFormat="1" ht="39.950000000000003" customHeight="1">
      <c r="A203" s="9">
        <v>37</v>
      </c>
      <c r="B203" s="222">
        <v>5013</v>
      </c>
      <c r="C203" s="50" t="s">
        <v>201</v>
      </c>
      <c r="D203" s="50" t="s">
        <v>202</v>
      </c>
      <c r="E203" s="51" t="s">
        <v>187</v>
      </c>
      <c r="F203" s="30">
        <v>7.5</v>
      </c>
      <c r="G203" s="30">
        <v>2.5</v>
      </c>
      <c r="H203" s="30">
        <f t="shared" ref="H203:H210" si="7">IF(G203&gt;0,(G203*1.5)+F203,"YOK")</f>
        <v>11.25</v>
      </c>
      <c r="I203" s="226" t="s">
        <v>811</v>
      </c>
      <c r="J203" s="31"/>
      <c r="K203" s="32">
        <v>1</v>
      </c>
      <c r="L203" s="32"/>
      <c r="M203" s="33"/>
      <c r="N203"/>
    </row>
    <row r="204" spans="1:17" s="21" customFormat="1" ht="39.950000000000003" customHeight="1">
      <c r="A204" s="9">
        <v>38</v>
      </c>
      <c r="B204" s="222">
        <v>5762</v>
      </c>
      <c r="C204" s="50" t="s">
        <v>1225</v>
      </c>
      <c r="D204" s="50" t="s">
        <v>1417</v>
      </c>
      <c r="E204" s="51" t="s">
        <v>187</v>
      </c>
      <c r="F204" s="30">
        <v>7.5</v>
      </c>
      <c r="G204" s="30">
        <v>2.5</v>
      </c>
      <c r="H204" s="30">
        <f t="shared" ref="H204" si="8">IF(G204&gt;0,(G204*1.5)+F204,"YOK")</f>
        <v>11.25</v>
      </c>
      <c r="I204" s="226" t="s">
        <v>811</v>
      </c>
      <c r="J204" s="31"/>
      <c r="K204" s="32">
        <v>1</v>
      </c>
      <c r="L204" s="32"/>
      <c r="M204" s="33"/>
      <c r="N204"/>
    </row>
    <row r="205" spans="1:17" s="21" customFormat="1" ht="39.950000000000003" customHeight="1">
      <c r="A205" s="9">
        <v>39</v>
      </c>
      <c r="B205" s="222">
        <v>4608</v>
      </c>
      <c r="C205" s="50" t="s">
        <v>215</v>
      </c>
      <c r="D205" s="50" t="s">
        <v>216</v>
      </c>
      <c r="E205" s="51" t="s">
        <v>187</v>
      </c>
      <c r="F205" s="30">
        <v>7.5</v>
      </c>
      <c r="G205" s="30">
        <v>2.5</v>
      </c>
      <c r="H205" s="30">
        <f t="shared" si="7"/>
        <v>11.25</v>
      </c>
      <c r="I205" s="226" t="s">
        <v>811</v>
      </c>
      <c r="J205" s="31"/>
      <c r="K205" s="32">
        <v>1</v>
      </c>
      <c r="L205" s="32"/>
      <c r="M205" s="33"/>
      <c r="N205"/>
      <c r="Q205" s="52"/>
    </row>
    <row r="206" spans="1:17" s="21" customFormat="1" ht="39.950000000000003" customHeight="1">
      <c r="A206" s="9">
        <v>40</v>
      </c>
      <c r="B206" s="222">
        <v>5844</v>
      </c>
      <c r="C206" s="50" t="s">
        <v>203</v>
      </c>
      <c r="D206" s="50" t="s">
        <v>204</v>
      </c>
      <c r="E206" s="51" t="s">
        <v>187</v>
      </c>
      <c r="F206" s="30">
        <v>7.5</v>
      </c>
      <c r="G206" s="30">
        <v>2.5</v>
      </c>
      <c r="H206" s="30">
        <f t="shared" si="7"/>
        <v>11.25</v>
      </c>
      <c r="I206" s="226" t="s">
        <v>811</v>
      </c>
      <c r="J206" s="31"/>
      <c r="K206" s="32">
        <v>1</v>
      </c>
      <c r="L206" s="32"/>
      <c r="M206" s="33"/>
      <c r="N206"/>
    </row>
    <row r="207" spans="1:17" s="21" customFormat="1" ht="39.950000000000003" customHeight="1">
      <c r="A207" s="9">
        <v>41</v>
      </c>
      <c r="B207" s="222">
        <v>4411</v>
      </c>
      <c r="C207" s="50" t="s">
        <v>192</v>
      </c>
      <c r="D207" s="50" t="s">
        <v>907</v>
      </c>
      <c r="E207" s="51" t="s">
        <v>187</v>
      </c>
      <c r="F207" s="30">
        <v>7.5</v>
      </c>
      <c r="G207" s="30">
        <v>2.5</v>
      </c>
      <c r="H207" s="30">
        <f t="shared" ref="H207" si="9">IF(G207&gt;0,(G207*1.5)+F207,"YOK")</f>
        <v>11.25</v>
      </c>
      <c r="I207" s="226" t="s">
        <v>811</v>
      </c>
      <c r="J207" s="31"/>
      <c r="K207" s="32">
        <v>1</v>
      </c>
      <c r="L207" s="32"/>
      <c r="M207" s="33"/>
      <c r="N207"/>
    </row>
    <row r="208" spans="1:17" s="21" customFormat="1" ht="39.950000000000003" customHeight="1">
      <c r="A208" s="9">
        <v>42</v>
      </c>
      <c r="B208" s="222">
        <v>6109</v>
      </c>
      <c r="C208" s="50" t="s">
        <v>1833</v>
      </c>
      <c r="D208" s="50" t="s">
        <v>1834</v>
      </c>
      <c r="E208" s="51" t="s">
        <v>187</v>
      </c>
      <c r="F208" s="30">
        <v>7.5</v>
      </c>
      <c r="G208" s="30">
        <v>2.5</v>
      </c>
      <c r="H208" s="30">
        <f t="shared" ref="H208" si="10">IF(G208&gt;0,(G208*1.5)+F208,"YOK")</f>
        <v>11.25</v>
      </c>
      <c r="I208" s="226" t="s">
        <v>811</v>
      </c>
      <c r="J208" s="31"/>
      <c r="K208" s="32">
        <v>1</v>
      </c>
      <c r="L208" s="32"/>
      <c r="M208" s="33"/>
      <c r="N208"/>
    </row>
    <row r="209" spans="1:14" s="21" customFormat="1" ht="39.950000000000003" customHeight="1">
      <c r="A209" s="9">
        <v>43</v>
      </c>
      <c r="B209" s="222">
        <v>6137</v>
      </c>
      <c r="C209" s="50" t="s">
        <v>1895</v>
      </c>
      <c r="D209" s="50" t="s">
        <v>1894</v>
      </c>
      <c r="E209" s="51" t="s">
        <v>187</v>
      </c>
      <c r="F209" s="30">
        <v>7.5</v>
      </c>
      <c r="G209" s="30">
        <v>2.5</v>
      </c>
      <c r="H209" s="30">
        <f t="shared" si="7"/>
        <v>11.25</v>
      </c>
      <c r="I209" s="226" t="s">
        <v>811</v>
      </c>
      <c r="J209" s="31"/>
      <c r="K209" s="32">
        <v>1</v>
      </c>
      <c r="L209" s="32"/>
      <c r="M209" s="33"/>
      <c r="N209" s="33"/>
    </row>
    <row r="210" spans="1:14" s="21" customFormat="1" ht="39.950000000000003" customHeight="1">
      <c r="A210" s="9">
        <v>44</v>
      </c>
      <c r="B210" s="222">
        <v>6161</v>
      </c>
      <c r="C210" s="50" t="s">
        <v>2015</v>
      </c>
      <c r="D210" s="50" t="s">
        <v>2016</v>
      </c>
      <c r="E210" s="51" t="s">
        <v>187</v>
      </c>
      <c r="F210" s="30">
        <v>7.5</v>
      </c>
      <c r="G210" s="30">
        <v>2.5</v>
      </c>
      <c r="H210" s="30">
        <f t="shared" si="7"/>
        <v>11.25</v>
      </c>
      <c r="I210" s="226" t="s">
        <v>811</v>
      </c>
      <c r="J210" s="31"/>
      <c r="K210" s="32">
        <v>1</v>
      </c>
      <c r="L210" s="32"/>
      <c r="M210" s="33"/>
      <c r="N210" s="33"/>
    </row>
    <row r="211" spans="1:14" s="21" customFormat="1" ht="39.950000000000003" customHeight="1">
      <c r="A211" s="9">
        <v>45</v>
      </c>
      <c r="B211" s="222">
        <v>6174</v>
      </c>
      <c r="C211" s="50" t="s">
        <v>2029</v>
      </c>
      <c r="D211" s="50" t="s">
        <v>2030</v>
      </c>
      <c r="E211" s="51" t="s">
        <v>187</v>
      </c>
      <c r="F211" s="30">
        <v>7.5</v>
      </c>
      <c r="G211" s="30">
        <v>2.5</v>
      </c>
      <c r="H211" s="30">
        <f t="shared" ref="H211" si="11">IF(G211&gt;0,(G211*1.5)+F211,"YOK")</f>
        <v>11.25</v>
      </c>
      <c r="I211" s="226" t="s">
        <v>811</v>
      </c>
      <c r="J211" s="31"/>
      <c r="K211" s="32">
        <v>1</v>
      </c>
      <c r="L211" s="32"/>
      <c r="M211" s="33"/>
      <c r="N211" s="33"/>
    </row>
    <row r="212" spans="1:14" s="21" customFormat="1" ht="39.950000000000003" customHeight="1">
      <c r="A212" s="9">
        <v>46</v>
      </c>
      <c r="B212" s="222">
        <v>6205</v>
      </c>
      <c r="C212" s="50" t="s">
        <v>2096</v>
      </c>
      <c r="D212" s="50" t="s">
        <v>2097</v>
      </c>
      <c r="E212" s="51" t="s">
        <v>187</v>
      </c>
      <c r="F212" s="30">
        <v>7.5</v>
      </c>
      <c r="G212" s="30">
        <v>2.5</v>
      </c>
      <c r="H212" s="30">
        <f t="shared" ref="H212" si="12">IF(G212&gt;0,(G212*1.5)+F212,"YOK")</f>
        <v>11.25</v>
      </c>
      <c r="I212" s="226" t="s">
        <v>810</v>
      </c>
      <c r="J212" s="31"/>
      <c r="K212" s="32">
        <v>1</v>
      </c>
      <c r="L212" s="32"/>
      <c r="M212" s="33"/>
      <c r="N212"/>
    </row>
    <row r="213" spans="1:14" s="21" customFormat="1" ht="39.950000000000003" customHeight="1">
      <c r="A213" s="9">
        <v>47</v>
      </c>
      <c r="B213" s="222">
        <v>6235</v>
      </c>
      <c r="C213" s="50" t="s">
        <v>2148</v>
      </c>
      <c r="D213" s="50" t="s">
        <v>2149</v>
      </c>
      <c r="E213" s="51" t="s">
        <v>187</v>
      </c>
      <c r="F213" s="30">
        <v>7.5</v>
      </c>
      <c r="G213" s="30">
        <v>2.5</v>
      </c>
      <c r="H213" s="30">
        <f t="shared" ref="H213" si="13">IF(G213&gt;0,(G213*1.5)+F213,"YOK")</f>
        <v>11.25</v>
      </c>
      <c r="I213" s="226" t="s">
        <v>810</v>
      </c>
      <c r="J213" s="31"/>
      <c r="K213" s="32">
        <v>1</v>
      </c>
      <c r="L213" s="32"/>
      <c r="M213" s="33"/>
      <c r="N213"/>
    </row>
    <row r="214" spans="1:14" s="21" customFormat="1" ht="39.950000000000003" customHeight="1">
      <c r="A214" s="9">
        <v>48</v>
      </c>
      <c r="B214" s="222">
        <v>6237</v>
      </c>
      <c r="C214" s="50" t="s">
        <v>2150</v>
      </c>
      <c r="D214" s="50" t="s">
        <v>2151</v>
      </c>
      <c r="E214" s="51" t="s">
        <v>187</v>
      </c>
      <c r="F214" s="30">
        <v>7.5</v>
      </c>
      <c r="G214" s="30">
        <v>2.5</v>
      </c>
      <c r="H214" s="30">
        <f t="shared" ref="H214" si="14">IF(G214&gt;0,(G214*1.5)+F214,"YOK")</f>
        <v>11.25</v>
      </c>
      <c r="I214" s="226" t="s">
        <v>810</v>
      </c>
      <c r="J214" s="31"/>
      <c r="K214" s="32">
        <v>1</v>
      </c>
      <c r="L214" s="32"/>
      <c r="M214" s="33"/>
      <c r="N214"/>
    </row>
    <row r="215" spans="1:14" s="21" customFormat="1" ht="39.950000000000003" customHeight="1">
      <c r="A215" s="9">
        <v>49</v>
      </c>
      <c r="B215" s="222">
        <v>6238</v>
      </c>
      <c r="C215" s="50" t="s">
        <v>2152</v>
      </c>
      <c r="D215" s="50" t="s">
        <v>2153</v>
      </c>
      <c r="E215" s="51" t="s">
        <v>187</v>
      </c>
      <c r="F215" s="30">
        <v>7.5</v>
      </c>
      <c r="G215" s="30">
        <v>2.5</v>
      </c>
      <c r="H215" s="30">
        <f t="shared" ref="H215:H219" si="15">IF(G215&gt;0,(G215*1.5)+F215,"YOK")</f>
        <v>11.25</v>
      </c>
      <c r="I215" s="226" t="s">
        <v>810</v>
      </c>
      <c r="J215" s="31"/>
      <c r="K215" s="32">
        <v>1</v>
      </c>
      <c r="L215" s="32"/>
      <c r="M215" s="33"/>
      <c r="N215"/>
    </row>
    <row r="216" spans="1:14" s="21" customFormat="1" ht="39.950000000000003" customHeight="1">
      <c r="A216" s="9">
        <v>50</v>
      </c>
      <c r="B216" s="222">
        <v>6239</v>
      </c>
      <c r="C216" s="50" t="s">
        <v>2154</v>
      </c>
      <c r="D216" s="50" t="s">
        <v>2155</v>
      </c>
      <c r="E216" s="51" t="s">
        <v>187</v>
      </c>
      <c r="F216" s="30">
        <v>7.5</v>
      </c>
      <c r="G216" s="30">
        <v>2.5</v>
      </c>
      <c r="H216" s="30">
        <f t="shared" si="15"/>
        <v>11.25</v>
      </c>
      <c r="I216" s="226" t="s">
        <v>810</v>
      </c>
      <c r="J216" s="31"/>
      <c r="K216" s="32">
        <v>1</v>
      </c>
      <c r="L216" s="32"/>
      <c r="M216" s="33"/>
      <c r="N216"/>
    </row>
    <row r="217" spans="1:14" s="21" customFormat="1" ht="39.950000000000003" customHeight="1">
      <c r="A217" s="9">
        <v>51</v>
      </c>
      <c r="B217" s="222">
        <v>6240</v>
      </c>
      <c r="C217" s="50" t="s">
        <v>2156</v>
      </c>
      <c r="D217" s="50" t="s">
        <v>2157</v>
      </c>
      <c r="E217" s="51" t="s">
        <v>187</v>
      </c>
      <c r="F217" s="30">
        <v>7.5</v>
      </c>
      <c r="G217" s="30">
        <v>2.5</v>
      </c>
      <c r="H217" s="30">
        <f t="shared" si="15"/>
        <v>11.25</v>
      </c>
      <c r="I217" s="226" t="s">
        <v>810</v>
      </c>
      <c r="J217" s="31"/>
      <c r="K217" s="32">
        <v>1</v>
      </c>
      <c r="L217" s="32"/>
      <c r="M217" s="33"/>
      <c r="N217"/>
    </row>
    <row r="218" spans="1:14" s="21" customFormat="1" ht="39.950000000000003" customHeight="1">
      <c r="A218" s="9">
        <v>52</v>
      </c>
      <c r="B218" s="222">
        <v>6241</v>
      </c>
      <c r="C218" s="50" t="s">
        <v>2158</v>
      </c>
      <c r="D218" s="50" t="s">
        <v>2159</v>
      </c>
      <c r="E218" s="51" t="s">
        <v>187</v>
      </c>
      <c r="F218" s="30">
        <v>7.5</v>
      </c>
      <c r="G218" s="30">
        <v>0</v>
      </c>
      <c r="H218" s="30">
        <v>7.5</v>
      </c>
      <c r="I218" s="247" t="s">
        <v>3670</v>
      </c>
      <c r="J218" s="31">
        <v>1</v>
      </c>
      <c r="K218" s="32">
        <v>0</v>
      </c>
      <c r="L218" s="32"/>
      <c r="M218" s="33"/>
      <c r="N218"/>
    </row>
    <row r="219" spans="1:14" s="21" customFormat="1" ht="39.950000000000003" customHeight="1">
      <c r="A219" s="9">
        <v>53</v>
      </c>
      <c r="B219" s="222">
        <v>6242</v>
      </c>
      <c r="C219" s="50" t="s">
        <v>2160</v>
      </c>
      <c r="D219" s="50" t="s">
        <v>2161</v>
      </c>
      <c r="E219" s="51" t="s">
        <v>187</v>
      </c>
      <c r="F219" s="30">
        <v>7.5</v>
      </c>
      <c r="G219" s="30">
        <v>2.5</v>
      </c>
      <c r="H219" s="30">
        <f t="shared" si="15"/>
        <v>11.25</v>
      </c>
      <c r="I219" s="226" t="s">
        <v>810</v>
      </c>
      <c r="J219" s="31"/>
      <c r="K219" s="32">
        <v>1</v>
      </c>
      <c r="L219" s="32"/>
      <c r="M219" s="33"/>
      <c r="N219"/>
    </row>
    <row r="220" spans="1:14" s="21" customFormat="1" ht="39.950000000000003" customHeight="1">
      <c r="A220" s="9">
        <v>54</v>
      </c>
      <c r="B220" s="222">
        <v>6251</v>
      </c>
      <c r="C220" s="50" t="s">
        <v>2190</v>
      </c>
      <c r="D220" s="50" t="s">
        <v>2191</v>
      </c>
      <c r="E220" s="51" t="s">
        <v>187</v>
      </c>
      <c r="F220" s="30">
        <v>7.5</v>
      </c>
      <c r="G220" s="30">
        <v>2.5</v>
      </c>
      <c r="H220" s="30">
        <f t="shared" ref="H220" si="16">IF(G220&gt;0,(G220*1.5)+F220,"YOK")</f>
        <v>11.25</v>
      </c>
      <c r="I220" s="226" t="s">
        <v>810</v>
      </c>
      <c r="J220" s="31"/>
      <c r="K220" s="32">
        <v>1</v>
      </c>
      <c r="L220" s="32"/>
      <c r="M220" s="33"/>
      <c r="N220"/>
    </row>
    <row r="221" spans="1:14" s="21" customFormat="1" ht="39.950000000000003" customHeight="1">
      <c r="A221" s="9">
        <v>55</v>
      </c>
      <c r="B221" s="222">
        <v>4553</v>
      </c>
      <c r="C221" s="50" t="s">
        <v>195</v>
      </c>
      <c r="D221" s="50" t="s">
        <v>196</v>
      </c>
      <c r="E221" s="51" t="s">
        <v>187</v>
      </c>
      <c r="F221" s="30">
        <v>7.5</v>
      </c>
      <c r="G221" s="30">
        <v>2.5</v>
      </c>
      <c r="H221" s="30">
        <f t="shared" ref="H221" si="17">IF(G221&gt;0,(G221*1.5)+F221,"YOK")</f>
        <v>11.25</v>
      </c>
      <c r="I221" s="226" t="s">
        <v>810</v>
      </c>
      <c r="J221" s="31"/>
      <c r="K221" s="32">
        <v>1</v>
      </c>
      <c r="L221" s="32"/>
      <c r="M221" s="33"/>
      <c r="N221"/>
    </row>
    <row r="222" spans="1:14" s="21" customFormat="1" ht="39.950000000000003" customHeight="1">
      <c r="A222" s="9">
        <v>56</v>
      </c>
      <c r="B222" s="222">
        <v>4609</v>
      </c>
      <c r="C222" s="50" t="s">
        <v>217</v>
      </c>
      <c r="D222" s="50" t="s">
        <v>218</v>
      </c>
      <c r="E222" s="51" t="s">
        <v>187</v>
      </c>
      <c r="F222" s="30">
        <v>7.5</v>
      </c>
      <c r="G222" s="30">
        <v>2.5</v>
      </c>
      <c r="H222" s="30">
        <f t="shared" ref="H222:H225" si="18">IF(G222&gt;0,(G222*1.5)+F222,"YOK")</f>
        <v>11.25</v>
      </c>
      <c r="I222" s="226" t="s">
        <v>811</v>
      </c>
      <c r="J222" s="31"/>
      <c r="K222" s="32">
        <v>1</v>
      </c>
      <c r="L222" s="32"/>
      <c r="M222" s="33"/>
      <c r="N222"/>
    </row>
    <row r="223" spans="1:14" s="21" customFormat="1" ht="39.950000000000003" customHeight="1">
      <c r="A223" s="9">
        <v>57</v>
      </c>
      <c r="B223" s="222">
        <v>6103</v>
      </c>
      <c r="C223" s="50" t="s">
        <v>1831</v>
      </c>
      <c r="D223" s="50" t="s">
        <v>1832</v>
      </c>
      <c r="E223" s="51" t="s">
        <v>187</v>
      </c>
      <c r="F223" s="30">
        <v>0</v>
      </c>
      <c r="G223" s="30">
        <v>0</v>
      </c>
      <c r="H223" s="30" t="str">
        <f t="shared" ref="H223" si="19">IF(G223&gt;0,(G223*1.5)+F223,"YOK")</f>
        <v>YOK</v>
      </c>
      <c r="I223" s="226" t="s">
        <v>1185</v>
      </c>
      <c r="J223" s="31">
        <v>1</v>
      </c>
      <c r="K223" s="32">
        <v>0</v>
      </c>
      <c r="L223" s="32"/>
      <c r="M223" s="33"/>
      <c r="N223"/>
    </row>
    <row r="224" spans="1:14" s="21" customFormat="1" ht="39.950000000000003" customHeight="1">
      <c r="A224" s="9">
        <v>58</v>
      </c>
      <c r="B224" s="222">
        <v>4995</v>
      </c>
      <c r="C224" s="50" t="s">
        <v>199</v>
      </c>
      <c r="D224" s="50" t="s">
        <v>200</v>
      </c>
      <c r="E224" s="51" t="s">
        <v>187</v>
      </c>
      <c r="F224" s="30">
        <v>7.5</v>
      </c>
      <c r="G224" s="30">
        <v>2.5</v>
      </c>
      <c r="H224" s="30">
        <f t="shared" si="18"/>
        <v>11.25</v>
      </c>
      <c r="I224" s="226" t="s">
        <v>811</v>
      </c>
      <c r="J224" s="31"/>
      <c r="K224" s="32">
        <v>1</v>
      </c>
      <c r="L224" s="32"/>
      <c r="M224" s="33"/>
      <c r="N224"/>
    </row>
    <row r="225" spans="1:14" s="21" customFormat="1" ht="39.950000000000003" customHeight="1">
      <c r="A225" s="9">
        <v>59</v>
      </c>
      <c r="B225" s="222">
        <v>5674</v>
      </c>
      <c r="C225" s="50" t="s">
        <v>1117</v>
      </c>
      <c r="D225" s="50" t="s">
        <v>1118</v>
      </c>
      <c r="E225" s="51" t="s">
        <v>187</v>
      </c>
      <c r="F225" s="30">
        <v>0</v>
      </c>
      <c r="G225" s="30">
        <v>0</v>
      </c>
      <c r="H225" s="30" t="str">
        <f t="shared" si="18"/>
        <v>YOK</v>
      </c>
      <c r="I225" s="226" t="s">
        <v>1185</v>
      </c>
      <c r="J225" s="31">
        <v>1</v>
      </c>
      <c r="K225" s="32">
        <v>0</v>
      </c>
      <c r="L225" s="32"/>
      <c r="M225" s="33"/>
      <c r="N225"/>
    </row>
    <row r="226" spans="1:14" s="21" customFormat="1" ht="39.950000000000003" customHeight="1">
      <c r="A226" s="9">
        <v>60</v>
      </c>
      <c r="B226" s="222">
        <v>5673</v>
      </c>
      <c r="C226" s="50" t="s">
        <v>1115</v>
      </c>
      <c r="D226" s="50" t="s">
        <v>1119</v>
      </c>
      <c r="E226" s="51" t="s">
        <v>187</v>
      </c>
      <c r="F226" s="30">
        <v>7.5</v>
      </c>
      <c r="G226" s="30">
        <v>2.5</v>
      </c>
      <c r="H226" s="30">
        <f t="shared" ref="H226:H228" si="20">IF(G226&gt;0,(G226*1.5)+F226,"YOK")</f>
        <v>11.25</v>
      </c>
      <c r="I226" s="226" t="s">
        <v>811</v>
      </c>
      <c r="J226" s="31"/>
      <c r="K226" s="32">
        <v>1</v>
      </c>
      <c r="L226" s="32"/>
      <c r="M226" s="33"/>
      <c r="N226"/>
    </row>
    <row r="227" spans="1:14" s="21" customFormat="1" ht="39.950000000000003" customHeight="1">
      <c r="A227" s="9">
        <v>61</v>
      </c>
      <c r="B227" s="222">
        <v>5613</v>
      </c>
      <c r="C227" s="50" t="s">
        <v>1019</v>
      </c>
      <c r="D227" s="50" t="s">
        <v>1022</v>
      </c>
      <c r="E227" s="51" t="s">
        <v>187</v>
      </c>
      <c r="F227" s="30">
        <v>7.5</v>
      </c>
      <c r="G227" s="30">
        <v>2.5</v>
      </c>
      <c r="H227" s="30">
        <f t="shared" ref="H227" si="21">IF(G227&gt;0,(G227*1.5)+F227,"YOK")</f>
        <v>11.25</v>
      </c>
      <c r="I227" s="226" t="s">
        <v>811</v>
      </c>
      <c r="J227" s="31"/>
      <c r="K227" s="32">
        <v>1</v>
      </c>
      <c r="L227" s="32"/>
      <c r="M227" s="33"/>
      <c r="N227"/>
    </row>
    <row r="228" spans="1:14" s="21" customFormat="1" ht="39.950000000000003" customHeight="1">
      <c r="A228" s="9">
        <v>62</v>
      </c>
      <c r="B228" s="222">
        <v>5675</v>
      </c>
      <c r="C228" s="50" t="s">
        <v>1116</v>
      </c>
      <c r="D228" s="50" t="s">
        <v>1120</v>
      </c>
      <c r="E228" s="51" t="s">
        <v>187</v>
      </c>
      <c r="F228" s="30">
        <v>7.5</v>
      </c>
      <c r="G228" s="30">
        <v>2.5</v>
      </c>
      <c r="H228" s="30">
        <f t="shared" si="20"/>
        <v>11.25</v>
      </c>
      <c r="I228" s="226" t="s">
        <v>811</v>
      </c>
      <c r="J228" s="31"/>
      <c r="K228" s="32">
        <v>1</v>
      </c>
      <c r="L228" s="32"/>
      <c r="M228" s="33"/>
      <c r="N228"/>
    </row>
    <row r="229" spans="1:14" s="21" customFormat="1" ht="39.950000000000003" customHeight="1">
      <c r="A229" s="9">
        <v>63</v>
      </c>
      <c r="B229" s="222">
        <v>5695</v>
      </c>
      <c r="C229" s="50" t="s">
        <v>1153</v>
      </c>
      <c r="D229" s="50" t="s">
        <v>1152</v>
      </c>
      <c r="E229" s="51" t="s">
        <v>187</v>
      </c>
      <c r="F229" s="30">
        <v>7.5</v>
      </c>
      <c r="G229" s="30">
        <v>2.5</v>
      </c>
      <c r="H229" s="30">
        <f t="shared" ref="H229" si="22">IF(G229&gt;0,(G229*1.5)+F229,"YOK")</f>
        <v>11.25</v>
      </c>
      <c r="I229" s="226" t="s">
        <v>811</v>
      </c>
      <c r="J229" s="31"/>
      <c r="K229" s="32">
        <v>1</v>
      </c>
      <c r="L229" s="32"/>
      <c r="M229" s="33"/>
      <c r="N229"/>
    </row>
    <row r="230" spans="1:14" s="21" customFormat="1" ht="39.950000000000003" customHeight="1">
      <c r="A230" s="9">
        <v>64</v>
      </c>
      <c r="B230" s="222">
        <v>5828</v>
      </c>
      <c r="C230" s="50" t="s">
        <v>1292</v>
      </c>
      <c r="D230" s="50" t="s">
        <v>1293</v>
      </c>
      <c r="E230" s="51" t="s">
        <v>187</v>
      </c>
      <c r="F230" s="30">
        <v>7.5</v>
      </c>
      <c r="G230" s="30">
        <v>2.5</v>
      </c>
      <c r="H230" s="30">
        <f t="shared" ref="H230" si="23">IF(G230&gt;0,(G230*1.5)+F230,"YOK")</f>
        <v>11.25</v>
      </c>
      <c r="I230" s="226" t="s">
        <v>811</v>
      </c>
      <c r="J230" s="31"/>
      <c r="K230" s="32">
        <v>1</v>
      </c>
      <c r="L230" s="32"/>
      <c r="M230" s="33"/>
      <c r="N230"/>
    </row>
    <row r="231" spans="1:14" s="21" customFormat="1" ht="39.950000000000003" customHeight="1">
      <c r="A231" s="9">
        <v>65</v>
      </c>
      <c r="B231" s="222">
        <v>5903</v>
      </c>
      <c r="C231" s="50" t="s">
        <v>1438</v>
      </c>
      <c r="D231" s="50" t="s">
        <v>1588</v>
      </c>
      <c r="E231" s="51" t="s">
        <v>187</v>
      </c>
      <c r="F231" s="30">
        <v>7.5</v>
      </c>
      <c r="G231" s="30">
        <v>2.5</v>
      </c>
      <c r="H231" s="30">
        <f t="shared" ref="H231" si="24">IF(G231&gt;0,(G231*1.5)+F231,"YOK")</f>
        <v>11.25</v>
      </c>
      <c r="I231" s="226" t="s">
        <v>811</v>
      </c>
      <c r="J231" s="31"/>
      <c r="K231" s="32">
        <v>1</v>
      </c>
      <c r="L231" s="32"/>
      <c r="M231" s="33"/>
      <c r="N231"/>
    </row>
    <row r="232" spans="1:14" s="21" customFormat="1" ht="39.950000000000003" customHeight="1">
      <c r="A232" s="9">
        <v>66</v>
      </c>
      <c r="B232" s="222">
        <v>5952</v>
      </c>
      <c r="C232" s="50" t="s">
        <v>1513</v>
      </c>
      <c r="D232" s="50" t="s">
        <v>1514</v>
      </c>
      <c r="E232" s="51" t="s">
        <v>187</v>
      </c>
      <c r="F232" s="30">
        <v>7.5</v>
      </c>
      <c r="G232" s="30">
        <v>2.5</v>
      </c>
      <c r="H232" s="30">
        <f t="shared" ref="H232" si="25">IF(G232&gt;0,(G232*1.5)+F232,"YOK")</f>
        <v>11.25</v>
      </c>
      <c r="I232" s="226" t="s">
        <v>811</v>
      </c>
      <c r="J232" s="31"/>
      <c r="K232" s="32">
        <v>1</v>
      </c>
      <c r="L232" s="32"/>
      <c r="M232" s="33"/>
      <c r="N232"/>
    </row>
    <row r="233" spans="1:14" s="21" customFormat="1" ht="39.950000000000003" customHeight="1">
      <c r="A233" s="9">
        <v>67</v>
      </c>
      <c r="B233" s="222">
        <v>5371</v>
      </c>
      <c r="C233" s="50" t="s">
        <v>744</v>
      </c>
      <c r="D233" s="50" t="s">
        <v>745</v>
      </c>
      <c r="E233" s="51" t="s">
        <v>187</v>
      </c>
      <c r="F233" s="30">
        <v>7.5</v>
      </c>
      <c r="G233" s="30">
        <v>2.5</v>
      </c>
      <c r="H233" s="30">
        <f t="shared" ref="H233" si="26">IF(G233&gt;0,(G233*1.5)+F233,"YOK")</f>
        <v>11.25</v>
      </c>
      <c r="I233" s="226" t="s">
        <v>811</v>
      </c>
      <c r="J233" s="31"/>
      <c r="K233" s="32">
        <v>1</v>
      </c>
      <c r="L233" s="32"/>
      <c r="M233" s="33"/>
      <c r="N233"/>
    </row>
    <row r="234" spans="1:14" s="21" customFormat="1" ht="39.950000000000003" customHeight="1">
      <c r="A234" s="9">
        <v>68</v>
      </c>
      <c r="B234" s="222">
        <v>5971</v>
      </c>
      <c r="C234" s="50" t="s">
        <v>1551</v>
      </c>
      <c r="D234" s="50" t="s">
        <v>1552</v>
      </c>
      <c r="E234" s="51" t="s">
        <v>187</v>
      </c>
      <c r="F234" s="30">
        <v>7.5</v>
      </c>
      <c r="G234" s="30">
        <v>2.5</v>
      </c>
      <c r="H234" s="30">
        <f t="shared" ref="H234" si="27">IF(G234&gt;0,(G234*1.5)+F234,"YOK")</f>
        <v>11.25</v>
      </c>
      <c r="I234" s="226" t="s">
        <v>811</v>
      </c>
      <c r="J234" s="31"/>
      <c r="K234" s="32">
        <v>1</v>
      </c>
      <c r="L234" s="32"/>
      <c r="M234" s="33"/>
      <c r="N234"/>
    </row>
    <row r="235" spans="1:14" s="21" customFormat="1" ht="39.950000000000003" customHeight="1">
      <c r="A235" s="9">
        <v>69</v>
      </c>
      <c r="B235" s="222">
        <v>5970</v>
      </c>
      <c r="C235" s="50" t="s">
        <v>1554</v>
      </c>
      <c r="D235" s="50" t="s">
        <v>1553</v>
      </c>
      <c r="E235" s="51" t="s">
        <v>187</v>
      </c>
      <c r="F235" s="30">
        <v>7.5</v>
      </c>
      <c r="G235" s="30">
        <v>2.5</v>
      </c>
      <c r="H235" s="30">
        <f t="shared" ref="H235:H236" si="28">IF(G235&gt;0,(G235*1.5)+F235,"YOK")</f>
        <v>11.25</v>
      </c>
      <c r="I235" s="226" t="s">
        <v>811</v>
      </c>
      <c r="J235" s="31"/>
      <c r="K235" s="32">
        <v>1</v>
      </c>
      <c r="L235" s="32"/>
      <c r="M235" s="33"/>
      <c r="N235"/>
    </row>
    <row r="236" spans="1:14" s="21" customFormat="1" ht="39.950000000000003" customHeight="1">
      <c r="A236" s="9">
        <v>70</v>
      </c>
      <c r="B236" s="222">
        <v>5969</v>
      </c>
      <c r="C236" s="50" t="s">
        <v>1555</v>
      </c>
      <c r="D236" s="50" t="s">
        <v>1556</v>
      </c>
      <c r="E236" s="51" t="s">
        <v>187</v>
      </c>
      <c r="F236" s="30">
        <v>7.5</v>
      </c>
      <c r="G236" s="30">
        <v>2.5</v>
      </c>
      <c r="H236" s="30">
        <f t="shared" si="28"/>
        <v>11.25</v>
      </c>
      <c r="I236" s="226" t="s">
        <v>811</v>
      </c>
      <c r="J236" s="31"/>
      <c r="K236" s="32">
        <v>1</v>
      </c>
      <c r="L236" s="32"/>
      <c r="M236" s="33"/>
      <c r="N236"/>
    </row>
    <row r="237" spans="1:14" s="21" customFormat="1" ht="39.950000000000003" customHeight="1">
      <c r="A237" s="9">
        <v>71</v>
      </c>
      <c r="B237" s="222">
        <v>6282</v>
      </c>
      <c r="C237" s="50" t="s">
        <v>2289</v>
      </c>
      <c r="D237" s="50" t="s">
        <v>2288</v>
      </c>
      <c r="E237" s="51" t="s">
        <v>187</v>
      </c>
      <c r="F237" s="30">
        <v>7.5</v>
      </c>
      <c r="G237" s="30">
        <v>2.5</v>
      </c>
      <c r="H237" s="30">
        <f t="shared" ref="H237:H238" si="29">IF(G237&gt;0,(G237*1.5)+F237,"YOK")</f>
        <v>11.25</v>
      </c>
      <c r="I237" s="226" t="s">
        <v>811</v>
      </c>
      <c r="J237" s="31"/>
      <c r="K237" s="32">
        <v>1</v>
      </c>
      <c r="L237" s="32"/>
      <c r="M237" s="33"/>
      <c r="N237"/>
    </row>
    <row r="238" spans="1:14" s="21" customFormat="1" ht="39.950000000000003" customHeight="1">
      <c r="A238" s="9">
        <v>72</v>
      </c>
      <c r="B238" s="222">
        <v>6283</v>
      </c>
      <c r="C238" s="185" t="s">
        <v>2363</v>
      </c>
      <c r="D238" s="50" t="s">
        <v>2364</v>
      </c>
      <c r="E238" s="51" t="s">
        <v>187</v>
      </c>
      <c r="F238" s="30">
        <v>0</v>
      </c>
      <c r="G238" s="30">
        <v>0</v>
      </c>
      <c r="H238" s="30" t="str">
        <f t="shared" si="29"/>
        <v>YOK</v>
      </c>
      <c r="I238" s="226" t="s">
        <v>1185</v>
      </c>
      <c r="J238" s="31">
        <v>1</v>
      </c>
      <c r="K238" s="32">
        <v>0</v>
      </c>
      <c r="L238" s="32"/>
      <c r="M238" s="33"/>
      <c r="N238"/>
    </row>
    <row r="239" spans="1:14" s="21" customFormat="1" ht="39.950000000000003" customHeight="1">
      <c r="A239" s="9">
        <v>73</v>
      </c>
      <c r="B239" s="222">
        <v>6284</v>
      </c>
      <c r="C239" s="50" t="s">
        <v>2290</v>
      </c>
      <c r="D239" s="50" t="s">
        <v>2291</v>
      </c>
      <c r="E239" s="51" t="s">
        <v>187</v>
      </c>
      <c r="F239" s="30">
        <v>7.5</v>
      </c>
      <c r="G239" s="30">
        <v>2.5</v>
      </c>
      <c r="H239" s="30">
        <f t="shared" ref="H239:H241" si="30">IF(G239&gt;0,(G239*1.5)+F239,"YOK")</f>
        <v>11.25</v>
      </c>
      <c r="I239" s="226" t="s">
        <v>811</v>
      </c>
      <c r="J239" s="31"/>
      <c r="K239" s="32">
        <v>1</v>
      </c>
      <c r="L239" s="32"/>
      <c r="M239" s="33"/>
      <c r="N239"/>
    </row>
    <row r="240" spans="1:14" s="21" customFormat="1" ht="39.950000000000003" customHeight="1">
      <c r="A240" s="9">
        <v>74</v>
      </c>
      <c r="B240" s="222">
        <v>6321</v>
      </c>
      <c r="C240" s="185" t="s">
        <v>2342</v>
      </c>
      <c r="D240" s="50" t="s">
        <v>2343</v>
      </c>
      <c r="E240" s="51" t="s">
        <v>187</v>
      </c>
      <c r="F240" s="30">
        <v>7.5</v>
      </c>
      <c r="G240" s="30">
        <v>2.5</v>
      </c>
      <c r="H240" s="30">
        <f t="shared" ref="H240" si="31">IF(G240&gt;0,(G240*1.5)+F240,"YOK")</f>
        <v>11.25</v>
      </c>
      <c r="I240" s="226" t="s">
        <v>811</v>
      </c>
      <c r="J240" s="31"/>
      <c r="K240" s="32">
        <v>1</v>
      </c>
      <c r="L240" s="32"/>
      <c r="M240" s="33"/>
      <c r="N240"/>
    </row>
    <row r="241" spans="1:14" s="21" customFormat="1" ht="39.950000000000003" customHeight="1">
      <c r="A241" s="9">
        <v>75</v>
      </c>
      <c r="B241" s="222">
        <v>6322</v>
      </c>
      <c r="C241" s="185" t="s">
        <v>2344</v>
      </c>
      <c r="D241" s="50" t="s">
        <v>2345</v>
      </c>
      <c r="E241" s="51" t="s">
        <v>187</v>
      </c>
      <c r="F241" s="30">
        <v>7.5</v>
      </c>
      <c r="G241" s="30">
        <v>2.5</v>
      </c>
      <c r="H241" s="30">
        <f t="shared" si="30"/>
        <v>11.25</v>
      </c>
      <c r="I241" s="226" t="s">
        <v>811</v>
      </c>
      <c r="J241" s="31"/>
      <c r="K241" s="32">
        <v>1</v>
      </c>
      <c r="L241" s="32"/>
      <c r="M241" s="33"/>
      <c r="N241"/>
    </row>
    <row r="242" spans="1:14" s="21" customFormat="1" ht="39.950000000000003" customHeight="1">
      <c r="A242" s="9">
        <v>76</v>
      </c>
      <c r="B242" s="222">
        <v>6336</v>
      </c>
      <c r="C242" s="50" t="s">
        <v>2383</v>
      </c>
      <c r="D242" s="50" t="s">
        <v>2384</v>
      </c>
      <c r="E242" s="51" t="s">
        <v>187</v>
      </c>
      <c r="F242" s="30">
        <v>7.5</v>
      </c>
      <c r="G242" s="30">
        <v>2.5</v>
      </c>
      <c r="H242" s="30">
        <f t="shared" ref="H242" si="32">IF(G242&gt;0,(G242*1.5)+F242,"YOK")</f>
        <v>11.25</v>
      </c>
      <c r="I242" s="226" t="s">
        <v>811</v>
      </c>
      <c r="J242" s="31"/>
      <c r="K242" s="32">
        <v>1</v>
      </c>
      <c r="L242" s="32"/>
      <c r="M242" s="33"/>
      <c r="N242"/>
    </row>
    <row r="243" spans="1:14" s="21" customFormat="1" ht="39.950000000000003" customHeight="1">
      <c r="A243" s="9">
        <v>77</v>
      </c>
      <c r="B243" s="222">
        <v>6337</v>
      </c>
      <c r="C243" s="50" t="s">
        <v>2385</v>
      </c>
      <c r="D243" s="50" t="s">
        <v>2386</v>
      </c>
      <c r="E243" s="51" t="s">
        <v>187</v>
      </c>
      <c r="F243" s="30">
        <v>7.5</v>
      </c>
      <c r="G243" s="30">
        <v>2.5</v>
      </c>
      <c r="H243" s="30">
        <f t="shared" ref="H243" si="33">IF(G243&gt;0,(G243*1.5)+F243,"YOK")</f>
        <v>11.25</v>
      </c>
      <c r="I243" s="226" t="s">
        <v>811</v>
      </c>
      <c r="J243" s="31"/>
      <c r="K243" s="32">
        <v>1</v>
      </c>
      <c r="L243" s="32"/>
      <c r="M243" s="33"/>
      <c r="N243"/>
    </row>
    <row r="244" spans="1:14" s="21" customFormat="1" ht="39.950000000000003" customHeight="1">
      <c r="A244" s="9">
        <v>78</v>
      </c>
      <c r="B244" s="222">
        <v>6341</v>
      </c>
      <c r="C244" s="50" t="s">
        <v>2395</v>
      </c>
      <c r="D244" s="50" t="s">
        <v>2396</v>
      </c>
      <c r="E244" s="51" t="s">
        <v>187</v>
      </c>
      <c r="F244" s="30">
        <v>7.5</v>
      </c>
      <c r="G244" s="30">
        <v>2.5</v>
      </c>
      <c r="H244" s="30">
        <f t="shared" ref="H244" si="34">IF(G244&gt;0,(G244*1.5)+F244,"YOK")</f>
        <v>11.25</v>
      </c>
      <c r="I244" s="226" t="s">
        <v>811</v>
      </c>
      <c r="J244" s="31"/>
      <c r="K244" s="32">
        <v>1</v>
      </c>
      <c r="L244" s="32"/>
      <c r="M244" s="33"/>
      <c r="N244"/>
    </row>
    <row r="245" spans="1:14" s="21" customFormat="1" ht="39.950000000000003" customHeight="1">
      <c r="A245" s="9">
        <v>79</v>
      </c>
      <c r="B245" s="222">
        <v>6346</v>
      </c>
      <c r="C245" s="50" t="s">
        <v>2398</v>
      </c>
      <c r="D245" s="50" t="s">
        <v>2400</v>
      </c>
      <c r="E245" s="51" t="s">
        <v>187</v>
      </c>
      <c r="F245" s="30">
        <v>7.5</v>
      </c>
      <c r="G245" s="30">
        <v>2.5</v>
      </c>
      <c r="H245" s="30">
        <f t="shared" ref="H245" si="35">IF(G245&gt;0,(G245*1.5)+F245,"YOK")</f>
        <v>11.25</v>
      </c>
      <c r="I245" s="226" t="s">
        <v>811</v>
      </c>
      <c r="J245" s="31"/>
      <c r="K245" s="32">
        <v>1</v>
      </c>
      <c r="L245" s="32"/>
      <c r="M245" s="33"/>
      <c r="N245"/>
    </row>
    <row r="246" spans="1:14" s="21" customFormat="1" ht="39.950000000000003" customHeight="1">
      <c r="A246" s="9">
        <v>80</v>
      </c>
      <c r="B246" s="222">
        <v>6347</v>
      </c>
      <c r="C246" s="50" t="s">
        <v>2399</v>
      </c>
      <c r="D246" s="50" t="s">
        <v>2401</v>
      </c>
      <c r="E246" s="51" t="s">
        <v>187</v>
      </c>
      <c r="F246" s="30">
        <v>7.5</v>
      </c>
      <c r="G246" s="30">
        <v>2.5</v>
      </c>
      <c r="H246" s="30">
        <f t="shared" ref="H246" si="36">IF(G246&gt;0,(G246*1.5)+F246,"YOK")</f>
        <v>11.25</v>
      </c>
      <c r="I246" s="226" t="s">
        <v>811</v>
      </c>
      <c r="J246" s="31"/>
      <c r="K246" s="32">
        <v>1</v>
      </c>
      <c r="L246" s="32"/>
      <c r="M246" s="33"/>
      <c r="N246"/>
    </row>
    <row r="247" spans="1:14" s="21" customFormat="1" ht="39.950000000000003" customHeight="1">
      <c r="A247" s="9">
        <v>81</v>
      </c>
      <c r="B247" s="222">
        <v>6358</v>
      </c>
      <c r="C247" s="185" t="s">
        <v>2426</v>
      </c>
      <c r="D247" s="50" t="s">
        <v>2427</v>
      </c>
      <c r="E247" s="51" t="s">
        <v>187</v>
      </c>
      <c r="F247" s="30">
        <v>7.5</v>
      </c>
      <c r="G247" s="30">
        <v>2.5</v>
      </c>
      <c r="H247" s="30">
        <f t="shared" ref="H247" si="37">IF(G247&gt;0,(G247*1.5)+F247,"YOK")</f>
        <v>11.25</v>
      </c>
      <c r="I247" s="226" t="s">
        <v>811</v>
      </c>
      <c r="J247" s="31"/>
      <c r="K247" s="32">
        <v>1</v>
      </c>
      <c r="L247" s="32"/>
      <c r="M247" s="33"/>
      <c r="N247"/>
    </row>
    <row r="248" spans="1:14" s="21" customFormat="1" ht="39.950000000000003" customHeight="1">
      <c r="A248" s="9">
        <v>82</v>
      </c>
      <c r="B248" s="222">
        <v>6379</v>
      </c>
      <c r="C248" s="50" t="s">
        <v>2484</v>
      </c>
      <c r="D248" s="50" t="s">
        <v>2485</v>
      </c>
      <c r="E248" s="51" t="s">
        <v>187</v>
      </c>
      <c r="F248" s="30">
        <v>0</v>
      </c>
      <c r="G248" s="30">
        <v>0</v>
      </c>
      <c r="H248" s="30" t="str">
        <f t="shared" ref="H248" si="38">IF(G248&gt;0,(G248*1.5)+F248,"YOK")</f>
        <v>YOK</v>
      </c>
      <c r="I248" s="226" t="s">
        <v>1185</v>
      </c>
      <c r="J248" s="31">
        <v>1</v>
      </c>
      <c r="K248" s="32">
        <v>0</v>
      </c>
      <c r="L248" s="32"/>
      <c r="M248" s="33"/>
      <c r="N248"/>
    </row>
    <row r="249" spans="1:14" s="21" customFormat="1" ht="39.950000000000003" customHeight="1">
      <c r="A249" s="9">
        <v>83</v>
      </c>
      <c r="B249" s="222">
        <v>6393</v>
      </c>
      <c r="C249" s="50" t="s">
        <v>2486</v>
      </c>
      <c r="D249" s="185" t="s">
        <v>2487</v>
      </c>
      <c r="E249" s="51" t="s">
        <v>187</v>
      </c>
      <c r="F249" s="30">
        <v>7.5</v>
      </c>
      <c r="G249" s="30">
        <v>2.5</v>
      </c>
      <c r="H249" s="30">
        <f t="shared" ref="H249" si="39">IF(G249&gt;0,(G249*1.5)+F249,"YOK")</f>
        <v>11.25</v>
      </c>
      <c r="I249" s="226" t="s">
        <v>811</v>
      </c>
      <c r="J249" s="31"/>
      <c r="K249" s="32">
        <v>1</v>
      </c>
      <c r="L249" s="32"/>
      <c r="M249" s="33"/>
      <c r="N249"/>
    </row>
    <row r="250" spans="1:14" s="21" customFormat="1" ht="39.950000000000003" customHeight="1">
      <c r="A250" s="9">
        <v>84</v>
      </c>
      <c r="B250" s="222">
        <v>6394</v>
      </c>
      <c r="C250" s="50" t="s">
        <v>2488</v>
      </c>
      <c r="D250" s="50" t="s">
        <v>2489</v>
      </c>
      <c r="E250" s="51" t="s">
        <v>187</v>
      </c>
      <c r="F250" s="30">
        <v>7.5</v>
      </c>
      <c r="G250" s="30">
        <v>2.5</v>
      </c>
      <c r="H250" s="30">
        <f t="shared" ref="H250" si="40">IF(G250&gt;0,(G250*1.5)+F250,"YOK")</f>
        <v>11.25</v>
      </c>
      <c r="I250" s="226" t="s">
        <v>811</v>
      </c>
      <c r="J250" s="31"/>
      <c r="K250" s="32">
        <v>1</v>
      </c>
      <c r="L250" s="32"/>
      <c r="M250" s="33"/>
      <c r="N250"/>
    </row>
    <row r="251" spans="1:14" s="21" customFormat="1" ht="39.950000000000003" customHeight="1">
      <c r="A251" s="9">
        <v>85</v>
      </c>
      <c r="B251" s="222">
        <v>6395</v>
      </c>
      <c r="C251" s="50" t="s">
        <v>2490</v>
      </c>
      <c r="D251" s="50" t="s">
        <v>2491</v>
      </c>
      <c r="E251" s="51" t="s">
        <v>187</v>
      </c>
      <c r="F251" s="30">
        <v>7.5</v>
      </c>
      <c r="G251" s="30">
        <v>2.5</v>
      </c>
      <c r="H251" s="30">
        <f t="shared" ref="H251:H256" si="41">IF(G251&gt;0,(G251*1.5)+F251,"YOK")</f>
        <v>11.25</v>
      </c>
      <c r="I251" s="226" t="s">
        <v>811</v>
      </c>
      <c r="J251" s="31"/>
      <c r="K251" s="32">
        <v>1</v>
      </c>
      <c r="L251" s="32"/>
      <c r="M251" s="33"/>
      <c r="N251"/>
    </row>
    <row r="252" spans="1:14" s="21" customFormat="1" ht="39.950000000000003" customHeight="1">
      <c r="A252" s="9">
        <v>86</v>
      </c>
      <c r="B252" s="222">
        <v>6396</v>
      </c>
      <c r="C252" s="50" t="s">
        <v>2492</v>
      </c>
      <c r="D252" s="50" t="s">
        <v>2493</v>
      </c>
      <c r="E252" s="51" t="s">
        <v>187</v>
      </c>
      <c r="F252" s="30">
        <v>7.5</v>
      </c>
      <c r="G252" s="30">
        <v>2.5</v>
      </c>
      <c r="H252" s="30">
        <f t="shared" ref="H252" si="42">IF(G252&gt;0,(G252*1.5)+F252,"YOK")</f>
        <v>11.25</v>
      </c>
      <c r="I252" s="226" t="s">
        <v>811</v>
      </c>
      <c r="J252" s="31"/>
      <c r="K252" s="32">
        <v>1</v>
      </c>
      <c r="L252" s="32"/>
      <c r="M252" s="33"/>
      <c r="N252"/>
    </row>
    <row r="253" spans="1:14" s="21" customFormat="1" ht="39.950000000000003" customHeight="1">
      <c r="A253" s="9">
        <v>87</v>
      </c>
      <c r="B253" s="222">
        <v>6397</v>
      </c>
      <c r="C253" s="50" t="s">
        <v>2494</v>
      </c>
      <c r="D253" s="50" t="s">
        <v>2495</v>
      </c>
      <c r="E253" s="51" t="s">
        <v>187</v>
      </c>
      <c r="F253" s="30">
        <v>7.5</v>
      </c>
      <c r="G253" s="30">
        <v>0</v>
      </c>
      <c r="H253" s="30">
        <v>7.5</v>
      </c>
      <c r="I253" s="247" t="s">
        <v>3457</v>
      </c>
      <c r="J253" s="31">
        <v>1</v>
      </c>
      <c r="K253" s="32">
        <v>0</v>
      </c>
      <c r="L253" s="32"/>
      <c r="M253" s="33"/>
      <c r="N253"/>
    </row>
    <row r="254" spans="1:14" s="21" customFormat="1" ht="39.950000000000003" customHeight="1">
      <c r="A254" s="9">
        <v>88</v>
      </c>
      <c r="B254" s="222">
        <v>6400</v>
      </c>
      <c r="C254" s="50" t="s">
        <v>2496</v>
      </c>
      <c r="D254" s="50" t="s">
        <v>2497</v>
      </c>
      <c r="E254" s="51" t="s">
        <v>187</v>
      </c>
      <c r="F254" s="30">
        <v>7.5</v>
      </c>
      <c r="G254" s="30">
        <v>2.5</v>
      </c>
      <c r="H254" s="30">
        <f t="shared" si="41"/>
        <v>11.25</v>
      </c>
      <c r="I254" s="226" t="s">
        <v>811</v>
      </c>
      <c r="J254" s="31"/>
      <c r="K254" s="32">
        <v>1</v>
      </c>
      <c r="L254" s="32"/>
      <c r="M254" s="33"/>
      <c r="N254"/>
    </row>
    <row r="255" spans="1:14" s="21" customFormat="1" ht="39.950000000000003" customHeight="1">
      <c r="A255" s="9">
        <v>89</v>
      </c>
      <c r="B255" s="222">
        <v>6401</v>
      </c>
      <c r="C255" s="50" t="s">
        <v>2498</v>
      </c>
      <c r="D255" s="50" t="s">
        <v>2499</v>
      </c>
      <c r="E255" s="51" t="s">
        <v>187</v>
      </c>
      <c r="F255" s="30">
        <v>0</v>
      </c>
      <c r="G255" s="30">
        <v>0</v>
      </c>
      <c r="H255" s="30" t="str">
        <f t="shared" si="41"/>
        <v>YOK</v>
      </c>
      <c r="I255" s="226" t="s">
        <v>1185</v>
      </c>
      <c r="J255" s="31">
        <v>1</v>
      </c>
      <c r="K255" s="32">
        <v>0</v>
      </c>
      <c r="L255" s="32"/>
      <c r="M255" s="33"/>
      <c r="N255"/>
    </row>
    <row r="256" spans="1:14" s="21" customFormat="1" ht="39.950000000000003" customHeight="1">
      <c r="A256" s="9">
        <v>90</v>
      </c>
      <c r="B256" s="222">
        <v>6402</v>
      </c>
      <c r="C256" s="50" t="s">
        <v>2500</v>
      </c>
      <c r="D256" s="50" t="s">
        <v>2501</v>
      </c>
      <c r="E256" s="51" t="s">
        <v>187</v>
      </c>
      <c r="F256" s="30">
        <v>7.5</v>
      </c>
      <c r="G256" s="30">
        <v>2.5</v>
      </c>
      <c r="H256" s="30">
        <f t="shared" si="41"/>
        <v>11.25</v>
      </c>
      <c r="I256" s="226" t="s">
        <v>811</v>
      </c>
      <c r="J256" s="31"/>
      <c r="K256" s="32">
        <v>1</v>
      </c>
      <c r="L256" s="32"/>
      <c r="M256" s="33"/>
      <c r="N256"/>
    </row>
    <row r="257" spans="1:14" s="21" customFormat="1" ht="39.950000000000003" customHeight="1">
      <c r="A257" s="9">
        <v>91</v>
      </c>
      <c r="B257" s="222">
        <v>6522</v>
      </c>
      <c r="C257" s="185" t="s">
        <v>2654</v>
      </c>
      <c r="D257" s="50" t="s">
        <v>2655</v>
      </c>
      <c r="E257" s="51" t="s">
        <v>187</v>
      </c>
      <c r="F257" s="30">
        <v>7.5</v>
      </c>
      <c r="G257" s="30">
        <v>2.5</v>
      </c>
      <c r="H257" s="30">
        <f t="shared" ref="H257:H259" si="43">IF(G257&gt;0,(G257*1.5)+F257,"YOK")</f>
        <v>11.25</v>
      </c>
      <c r="I257" s="226" t="s">
        <v>811</v>
      </c>
      <c r="J257" s="31"/>
      <c r="K257" s="32">
        <v>1</v>
      </c>
      <c r="L257" s="32"/>
      <c r="M257" s="33"/>
      <c r="N257"/>
    </row>
    <row r="258" spans="1:14" s="21" customFormat="1" ht="39.950000000000003" customHeight="1">
      <c r="A258" s="9">
        <v>92</v>
      </c>
      <c r="B258" s="222">
        <v>6523</v>
      </c>
      <c r="C258" s="185" t="s">
        <v>2656</v>
      </c>
      <c r="D258" s="50" t="s">
        <v>2657</v>
      </c>
      <c r="E258" s="51" t="s">
        <v>187</v>
      </c>
      <c r="F258" s="30">
        <v>7.5</v>
      </c>
      <c r="G258" s="30">
        <v>2.5</v>
      </c>
      <c r="H258" s="30">
        <f t="shared" si="43"/>
        <v>11.25</v>
      </c>
      <c r="I258" s="226" t="s">
        <v>811</v>
      </c>
      <c r="J258" s="31"/>
      <c r="K258" s="32">
        <v>1</v>
      </c>
      <c r="L258" s="32"/>
      <c r="M258" s="33"/>
      <c r="N258"/>
    </row>
    <row r="259" spans="1:14" s="21" customFormat="1" ht="39.950000000000003" customHeight="1">
      <c r="A259" s="9">
        <v>93</v>
      </c>
      <c r="B259" s="222">
        <v>6524</v>
      </c>
      <c r="C259" s="185" t="s">
        <v>2658</v>
      </c>
      <c r="D259" s="50" t="s">
        <v>2659</v>
      </c>
      <c r="E259" s="51" t="s">
        <v>187</v>
      </c>
      <c r="F259" s="30">
        <v>7.5</v>
      </c>
      <c r="G259" s="30">
        <v>2.5</v>
      </c>
      <c r="H259" s="30">
        <f t="shared" si="43"/>
        <v>11.25</v>
      </c>
      <c r="I259" s="226" t="s">
        <v>811</v>
      </c>
      <c r="J259" s="31"/>
      <c r="K259" s="32">
        <v>1</v>
      </c>
      <c r="L259" s="32"/>
      <c r="M259" s="33"/>
      <c r="N259"/>
    </row>
    <row r="260" spans="1:14" s="21" customFormat="1" ht="39.950000000000003" customHeight="1">
      <c r="A260" s="9">
        <v>94</v>
      </c>
      <c r="B260" s="207">
        <v>6595</v>
      </c>
      <c r="C260" s="185" t="s">
        <v>2362</v>
      </c>
      <c r="D260" s="50" t="s">
        <v>2808</v>
      </c>
      <c r="E260" s="51" t="s">
        <v>187</v>
      </c>
      <c r="F260" s="30">
        <v>7.5</v>
      </c>
      <c r="G260" s="30">
        <v>2.5</v>
      </c>
      <c r="H260" s="30">
        <f t="shared" ref="H260" si="44">IF(G260&gt;0,(G260*1.5)+F260,"YOK")</f>
        <v>11.25</v>
      </c>
      <c r="I260" s="226" t="s">
        <v>811</v>
      </c>
      <c r="J260" s="31"/>
      <c r="K260" s="32">
        <v>1</v>
      </c>
      <c r="L260" s="32"/>
      <c r="M260" s="33"/>
      <c r="N260"/>
    </row>
    <row r="261" spans="1:14" s="21" customFormat="1" ht="39.950000000000003" customHeight="1">
      <c r="A261" s="9">
        <v>95</v>
      </c>
      <c r="B261" s="222">
        <v>6601</v>
      </c>
      <c r="C261" s="185" t="s">
        <v>2863</v>
      </c>
      <c r="D261" s="50" t="s">
        <v>2864</v>
      </c>
      <c r="E261" s="51" t="s">
        <v>187</v>
      </c>
      <c r="F261" s="30">
        <v>7.5</v>
      </c>
      <c r="G261" s="30">
        <v>2.5</v>
      </c>
      <c r="H261" s="30">
        <f t="shared" ref="H261" si="45">IF(G261&gt;0,(G261*1.5)+F261,"YOK")</f>
        <v>11.25</v>
      </c>
      <c r="I261" s="226" t="s">
        <v>811</v>
      </c>
      <c r="J261" s="31"/>
      <c r="K261" s="32">
        <v>1</v>
      </c>
      <c r="L261" s="32"/>
      <c r="M261" s="33"/>
      <c r="N261"/>
    </row>
    <row r="262" spans="1:14" s="21" customFormat="1" ht="39.950000000000003" customHeight="1">
      <c r="A262" s="9">
        <v>96</v>
      </c>
      <c r="B262" s="222">
        <v>6630</v>
      </c>
      <c r="C262" s="185" t="s">
        <v>2912</v>
      </c>
      <c r="D262" s="50" t="s">
        <v>2913</v>
      </c>
      <c r="E262" s="51" t="s">
        <v>187</v>
      </c>
      <c r="F262" s="30">
        <v>7.5</v>
      </c>
      <c r="G262" s="30">
        <v>2.5</v>
      </c>
      <c r="H262" s="30">
        <f t="shared" ref="H262" si="46">IF(G262&gt;0,(G262*1.5)+F262,"YOK")</f>
        <v>11.25</v>
      </c>
      <c r="I262" s="226" t="s">
        <v>811</v>
      </c>
      <c r="J262" s="31"/>
      <c r="K262" s="32">
        <v>1</v>
      </c>
      <c r="L262" s="32"/>
      <c r="M262" s="33"/>
      <c r="N262"/>
    </row>
    <row r="263" spans="1:14" s="21" customFormat="1" ht="39.950000000000003" customHeight="1">
      <c r="A263" s="9">
        <v>97</v>
      </c>
      <c r="B263" s="222">
        <v>6631</v>
      </c>
      <c r="C263" s="185" t="s">
        <v>2914</v>
      </c>
      <c r="D263" s="50" t="s">
        <v>2915</v>
      </c>
      <c r="E263" s="51" t="s">
        <v>187</v>
      </c>
      <c r="F263" s="30">
        <v>7.5</v>
      </c>
      <c r="G263" s="30">
        <v>2.5</v>
      </c>
      <c r="H263" s="30">
        <f t="shared" ref="H263:H270" si="47">IF(G263&gt;0,(G263*1.5)+F263,"YOK")</f>
        <v>11.25</v>
      </c>
      <c r="I263" s="226" t="s">
        <v>811</v>
      </c>
      <c r="J263" s="31"/>
      <c r="K263" s="32">
        <v>1</v>
      </c>
      <c r="L263" s="32"/>
      <c r="M263" s="33"/>
      <c r="N263"/>
    </row>
    <row r="264" spans="1:14" s="21" customFormat="1" ht="39.950000000000003" customHeight="1">
      <c r="A264" s="9">
        <v>98</v>
      </c>
      <c r="B264" s="222">
        <v>6632</v>
      </c>
      <c r="C264" s="185" t="s">
        <v>2916</v>
      </c>
      <c r="D264" s="50" t="s">
        <v>2917</v>
      </c>
      <c r="E264" s="51" t="s">
        <v>187</v>
      </c>
      <c r="F264" s="30">
        <v>7.5</v>
      </c>
      <c r="G264" s="30">
        <v>2.5</v>
      </c>
      <c r="H264" s="30">
        <f t="shared" si="47"/>
        <v>11.25</v>
      </c>
      <c r="I264" s="226" t="s">
        <v>811</v>
      </c>
      <c r="J264" s="31"/>
      <c r="K264" s="32">
        <v>1</v>
      </c>
      <c r="L264" s="32"/>
      <c r="M264" s="33"/>
      <c r="N264"/>
    </row>
    <row r="265" spans="1:14" s="21" customFormat="1" ht="39.950000000000003" customHeight="1">
      <c r="A265" s="9">
        <v>99</v>
      </c>
      <c r="B265" s="222">
        <v>6634</v>
      </c>
      <c r="C265" s="185" t="s">
        <v>2918</v>
      </c>
      <c r="D265" s="50" t="s">
        <v>2919</v>
      </c>
      <c r="E265" s="51" t="s">
        <v>187</v>
      </c>
      <c r="F265" s="30">
        <v>7.5</v>
      </c>
      <c r="G265" s="30">
        <v>2.5</v>
      </c>
      <c r="H265" s="30">
        <f t="shared" si="47"/>
        <v>11.25</v>
      </c>
      <c r="I265" s="226" t="s">
        <v>811</v>
      </c>
      <c r="J265" s="31"/>
      <c r="K265" s="32">
        <v>1</v>
      </c>
      <c r="L265" s="32"/>
      <c r="M265" s="33"/>
      <c r="N265"/>
    </row>
    <row r="266" spans="1:14" s="21" customFormat="1" ht="39.950000000000003" customHeight="1">
      <c r="A266" s="9">
        <v>100</v>
      </c>
      <c r="B266" s="222">
        <v>6635</v>
      </c>
      <c r="C266" s="185" t="s">
        <v>2920</v>
      </c>
      <c r="D266" s="50" t="s">
        <v>2921</v>
      </c>
      <c r="E266" s="51" t="s">
        <v>187</v>
      </c>
      <c r="F266" s="30">
        <v>7.5</v>
      </c>
      <c r="G266" s="30">
        <v>2.5</v>
      </c>
      <c r="H266" s="30">
        <f t="shared" si="47"/>
        <v>11.25</v>
      </c>
      <c r="I266" s="226" t="s">
        <v>811</v>
      </c>
      <c r="J266" s="31"/>
      <c r="K266" s="32">
        <v>1</v>
      </c>
      <c r="L266" s="32"/>
      <c r="M266" s="33"/>
      <c r="N266"/>
    </row>
    <row r="267" spans="1:14" s="21" customFormat="1" ht="39.950000000000003" customHeight="1">
      <c r="A267" s="9">
        <v>101</v>
      </c>
      <c r="B267" s="222">
        <v>6636</v>
      </c>
      <c r="C267" s="185" t="s">
        <v>2922</v>
      </c>
      <c r="D267" s="50" t="s">
        <v>2923</v>
      </c>
      <c r="E267" s="51" t="s">
        <v>187</v>
      </c>
      <c r="F267" s="30">
        <v>7.5</v>
      </c>
      <c r="G267" s="30">
        <v>2.5</v>
      </c>
      <c r="H267" s="30">
        <f t="shared" ref="H267" si="48">IF(G267&gt;0,(G267*1.5)+F267,"YOK")</f>
        <v>11.25</v>
      </c>
      <c r="I267" s="226" t="s">
        <v>811</v>
      </c>
      <c r="J267" s="31"/>
      <c r="K267" s="32">
        <v>1</v>
      </c>
      <c r="L267" s="32"/>
      <c r="M267" s="33"/>
      <c r="N267"/>
    </row>
    <row r="268" spans="1:14" s="21" customFormat="1" ht="39.950000000000003" customHeight="1">
      <c r="A268" s="9">
        <v>102</v>
      </c>
      <c r="B268" s="222">
        <v>6637</v>
      </c>
      <c r="C268" s="185" t="s">
        <v>2924</v>
      </c>
      <c r="D268" s="50" t="s">
        <v>2925</v>
      </c>
      <c r="E268" s="51" t="s">
        <v>187</v>
      </c>
      <c r="F268" s="30">
        <v>7.5</v>
      </c>
      <c r="G268" s="30">
        <v>2.5</v>
      </c>
      <c r="H268" s="30">
        <f t="shared" ref="H268" si="49">IF(G268&gt;0,(G268*1.5)+F268,"YOK")</f>
        <v>11.25</v>
      </c>
      <c r="I268" s="226" t="s">
        <v>811</v>
      </c>
      <c r="J268" s="31"/>
      <c r="K268" s="32">
        <v>1</v>
      </c>
      <c r="L268" s="32"/>
      <c r="M268" s="33"/>
      <c r="N268"/>
    </row>
    <row r="269" spans="1:14" s="21" customFormat="1" ht="39.950000000000003" customHeight="1">
      <c r="A269" s="9">
        <v>103</v>
      </c>
      <c r="B269" s="222">
        <v>6639</v>
      </c>
      <c r="C269" s="185" t="s">
        <v>2926</v>
      </c>
      <c r="D269" s="50" t="s">
        <v>2927</v>
      </c>
      <c r="E269" s="51" t="s">
        <v>187</v>
      </c>
      <c r="F269" s="30">
        <v>0</v>
      </c>
      <c r="G269" s="30">
        <v>0</v>
      </c>
      <c r="H269" s="30" t="str">
        <f t="shared" ref="H269" si="50">IF(G269&gt;0,(G269*1.5)+F269,"YOK")</f>
        <v>YOK</v>
      </c>
      <c r="I269" s="226" t="s">
        <v>1185</v>
      </c>
      <c r="J269" s="31">
        <v>1</v>
      </c>
      <c r="K269" s="32">
        <v>0</v>
      </c>
      <c r="L269" s="32"/>
      <c r="M269" s="33"/>
      <c r="N269"/>
    </row>
    <row r="270" spans="1:14" s="21" customFormat="1" ht="39.950000000000003" customHeight="1">
      <c r="A270" s="9">
        <v>104</v>
      </c>
      <c r="B270" s="222">
        <v>6640</v>
      </c>
      <c r="C270" s="185" t="s">
        <v>2928</v>
      </c>
      <c r="D270" s="50" t="s">
        <v>2929</v>
      </c>
      <c r="E270" s="51" t="s">
        <v>187</v>
      </c>
      <c r="F270" s="30">
        <v>7.5</v>
      </c>
      <c r="G270" s="30">
        <v>2.5</v>
      </c>
      <c r="H270" s="30">
        <f t="shared" si="47"/>
        <v>11.25</v>
      </c>
      <c r="I270" s="226" t="s">
        <v>811</v>
      </c>
      <c r="J270" s="31"/>
      <c r="K270" s="32">
        <v>1</v>
      </c>
      <c r="L270" s="32"/>
      <c r="M270" s="33"/>
      <c r="N270"/>
    </row>
    <row r="271" spans="1:14" s="21" customFormat="1" ht="39.950000000000003" customHeight="1">
      <c r="A271" s="9">
        <v>105</v>
      </c>
      <c r="B271" s="222">
        <v>6684</v>
      </c>
      <c r="C271" s="185" t="s">
        <v>3038</v>
      </c>
      <c r="D271" s="50" t="s">
        <v>3039</v>
      </c>
      <c r="E271" s="51" t="s">
        <v>187</v>
      </c>
      <c r="F271" s="30">
        <v>7.5</v>
      </c>
      <c r="G271" s="30">
        <v>2.5</v>
      </c>
      <c r="H271" s="30">
        <f t="shared" ref="H271:H272" si="51">IF(G271&gt;0,(G271*1.5)+F271,"YOK")</f>
        <v>11.25</v>
      </c>
      <c r="I271" s="226" t="s">
        <v>811</v>
      </c>
      <c r="J271" s="31"/>
      <c r="K271" s="32">
        <v>1</v>
      </c>
      <c r="L271" s="32"/>
      <c r="M271" s="33"/>
      <c r="N271"/>
    </row>
    <row r="272" spans="1:14" s="21" customFormat="1" ht="39.950000000000003" customHeight="1">
      <c r="A272" s="9">
        <v>106</v>
      </c>
      <c r="B272" s="222">
        <v>6725</v>
      </c>
      <c r="C272" s="185" t="s">
        <v>3207</v>
      </c>
      <c r="D272" s="50" t="s">
        <v>3208</v>
      </c>
      <c r="E272" s="51" t="s">
        <v>187</v>
      </c>
      <c r="F272" s="30">
        <v>0</v>
      </c>
      <c r="G272" s="30">
        <v>0</v>
      </c>
      <c r="H272" s="30" t="str">
        <f t="shared" si="51"/>
        <v>YOK</v>
      </c>
      <c r="I272" s="226" t="s">
        <v>1185</v>
      </c>
      <c r="J272" s="31">
        <v>1</v>
      </c>
      <c r="K272" s="32">
        <v>0</v>
      </c>
      <c r="L272" s="32"/>
      <c r="M272" s="33"/>
      <c r="N272"/>
    </row>
    <row r="273" spans="1:14" s="21" customFormat="1" ht="39.950000000000003" customHeight="1">
      <c r="A273" s="9">
        <v>107</v>
      </c>
      <c r="B273" s="222">
        <v>6734</v>
      </c>
      <c r="C273" s="185" t="s">
        <v>3234</v>
      </c>
      <c r="D273" s="50" t="s">
        <v>3235</v>
      </c>
      <c r="E273" s="51" t="s">
        <v>187</v>
      </c>
      <c r="F273" s="30">
        <v>7.5</v>
      </c>
      <c r="G273" s="30">
        <v>2.5</v>
      </c>
      <c r="H273" s="30">
        <f t="shared" ref="H273:H275" si="52">IF(G273&gt;0,(G273*1.5)+F273,"YOK")</f>
        <v>11.25</v>
      </c>
      <c r="I273" s="226" t="s">
        <v>811</v>
      </c>
      <c r="J273" s="31"/>
      <c r="K273" s="32">
        <v>1</v>
      </c>
      <c r="L273" s="32"/>
      <c r="M273" s="33"/>
      <c r="N273"/>
    </row>
    <row r="274" spans="1:14" s="21" customFormat="1" ht="39.950000000000003" customHeight="1">
      <c r="A274" s="9">
        <v>108</v>
      </c>
      <c r="B274" s="222">
        <v>6735</v>
      </c>
      <c r="C274" s="185" t="s">
        <v>3236</v>
      </c>
      <c r="D274" s="50" t="s">
        <v>3237</v>
      </c>
      <c r="E274" s="51" t="s">
        <v>187</v>
      </c>
      <c r="F274" s="30">
        <v>7.5</v>
      </c>
      <c r="G274" s="30">
        <v>2.5</v>
      </c>
      <c r="H274" s="30">
        <f t="shared" ref="H274" si="53">IF(G274&gt;0,(G274*1.5)+F274,"YOK")</f>
        <v>11.25</v>
      </c>
      <c r="I274" s="226" t="s">
        <v>811</v>
      </c>
      <c r="J274" s="31"/>
      <c r="K274" s="32">
        <v>1</v>
      </c>
      <c r="L274" s="32"/>
      <c r="M274" s="33"/>
      <c r="N274"/>
    </row>
    <row r="275" spans="1:14" s="21" customFormat="1" ht="39.950000000000003" customHeight="1">
      <c r="A275" s="9">
        <v>109</v>
      </c>
      <c r="B275" s="222">
        <v>6741</v>
      </c>
      <c r="C275" s="185" t="s">
        <v>3246</v>
      </c>
      <c r="D275" s="50" t="s">
        <v>3247</v>
      </c>
      <c r="E275" s="51" t="s">
        <v>187</v>
      </c>
      <c r="F275" s="30">
        <v>7.5</v>
      </c>
      <c r="G275" s="30">
        <v>2.5</v>
      </c>
      <c r="H275" s="30">
        <f t="shared" si="52"/>
        <v>11.25</v>
      </c>
      <c r="I275" s="226" t="s">
        <v>811</v>
      </c>
      <c r="J275" s="31"/>
      <c r="K275" s="32">
        <v>1</v>
      </c>
      <c r="L275" s="32"/>
      <c r="M275" s="33"/>
      <c r="N275"/>
    </row>
    <row r="276" spans="1:14" s="21" customFormat="1" ht="39.950000000000003" customHeight="1">
      <c r="A276" s="9">
        <v>110</v>
      </c>
      <c r="B276" s="222">
        <v>6776</v>
      </c>
      <c r="C276" s="185" t="s">
        <v>3291</v>
      </c>
      <c r="D276" s="50" t="s">
        <v>3292</v>
      </c>
      <c r="E276" s="51" t="s">
        <v>187</v>
      </c>
      <c r="F276" s="30">
        <v>7.5</v>
      </c>
      <c r="G276" s="30">
        <v>2.5</v>
      </c>
      <c r="H276" s="30">
        <f t="shared" ref="H276" si="54">IF(G276&gt;0,(G276*1.5)+F276,"YOK")</f>
        <v>11.25</v>
      </c>
      <c r="I276" s="226" t="s">
        <v>811</v>
      </c>
      <c r="J276" s="31"/>
      <c r="K276" s="32">
        <v>1</v>
      </c>
      <c r="L276" s="32"/>
      <c r="M276" s="33"/>
      <c r="N276"/>
    </row>
    <row r="277" spans="1:14" s="21" customFormat="1" ht="39.950000000000003" customHeight="1">
      <c r="A277" s="9">
        <v>111</v>
      </c>
      <c r="B277" s="222">
        <v>6782</v>
      </c>
      <c r="C277" s="185" t="s">
        <v>3378</v>
      </c>
      <c r="D277" s="50" t="s">
        <v>3379</v>
      </c>
      <c r="E277" s="51" t="s">
        <v>187</v>
      </c>
      <c r="F277" s="30">
        <v>0</v>
      </c>
      <c r="G277" s="30">
        <v>0</v>
      </c>
      <c r="H277" s="30" t="str">
        <f t="shared" ref="H277:H281" si="55">IF(G277&gt;0,(G277*1.5)+F277,"YOK")</f>
        <v>YOK</v>
      </c>
      <c r="I277" s="226" t="s">
        <v>1185</v>
      </c>
      <c r="J277" s="31">
        <v>1</v>
      </c>
      <c r="K277" s="32">
        <v>0</v>
      </c>
      <c r="L277" s="32"/>
      <c r="M277" s="33"/>
      <c r="N277"/>
    </row>
    <row r="278" spans="1:14" s="21" customFormat="1" ht="39.950000000000003" customHeight="1">
      <c r="A278" s="9">
        <v>112</v>
      </c>
      <c r="B278" s="222">
        <v>6783</v>
      </c>
      <c r="C278" s="185" t="s">
        <v>3380</v>
      </c>
      <c r="D278" s="50" t="s">
        <v>3381</v>
      </c>
      <c r="E278" s="51" t="s">
        <v>187</v>
      </c>
      <c r="F278" s="30">
        <v>7.5</v>
      </c>
      <c r="G278" s="30">
        <v>2.5</v>
      </c>
      <c r="H278" s="30">
        <f t="shared" si="55"/>
        <v>11.25</v>
      </c>
      <c r="I278" s="226" t="s">
        <v>811</v>
      </c>
      <c r="J278" s="31"/>
      <c r="K278" s="32">
        <v>1</v>
      </c>
      <c r="L278" s="32"/>
      <c r="M278" s="33"/>
      <c r="N278"/>
    </row>
    <row r="279" spans="1:14" s="21" customFormat="1" ht="39.950000000000003" customHeight="1">
      <c r="A279" s="9">
        <v>113</v>
      </c>
      <c r="B279" s="222">
        <v>6795</v>
      </c>
      <c r="C279" s="185" t="s">
        <v>3382</v>
      </c>
      <c r="D279" s="50" t="s">
        <v>3383</v>
      </c>
      <c r="E279" s="51" t="s">
        <v>187</v>
      </c>
      <c r="F279" s="30">
        <v>7.5</v>
      </c>
      <c r="G279" s="30">
        <v>2.5</v>
      </c>
      <c r="H279" s="30">
        <f t="shared" ref="H279" si="56">IF(G279&gt;0,(G279*1.5)+F279,"YOK")</f>
        <v>11.25</v>
      </c>
      <c r="I279" s="226" t="s">
        <v>811</v>
      </c>
      <c r="J279" s="31"/>
      <c r="K279" s="32">
        <v>1</v>
      </c>
      <c r="L279" s="32"/>
      <c r="M279" s="33"/>
      <c r="N279"/>
    </row>
    <row r="280" spans="1:14" s="21" customFormat="1" ht="39.950000000000003" customHeight="1">
      <c r="A280" s="9">
        <v>114</v>
      </c>
      <c r="B280" s="222">
        <v>6796</v>
      </c>
      <c r="C280" s="185" t="s">
        <v>3384</v>
      </c>
      <c r="D280" s="50" t="s">
        <v>3385</v>
      </c>
      <c r="E280" s="51" t="s">
        <v>187</v>
      </c>
      <c r="F280" s="30">
        <v>7.5</v>
      </c>
      <c r="G280" s="30">
        <v>2.5</v>
      </c>
      <c r="H280" s="30">
        <f t="shared" si="55"/>
        <v>11.25</v>
      </c>
      <c r="I280" s="226" t="s">
        <v>811</v>
      </c>
      <c r="J280" s="31"/>
      <c r="K280" s="32">
        <v>1</v>
      </c>
      <c r="L280" s="32"/>
      <c r="M280" s="33"/>
      <c r="N280"/>
    </row>
    <row r="281" spans="1:14" s="21" customFormat="1" ht="39.950000000000003" customHeight="1">
      <c r="A281" s="9">
        <v>115</v>
      </c>
      <c r="B281" s="222">
        <v>6848</v>
      </c>
      <c r="C281" s="185" t="s">
        <v>3666</v>
      </c>
      <c r="D281" s="50" t="s">
        <v>3667</v>
      </c>
      <c r="E281" s="51" t="s">
        <v>187</v>
      </c>
      <c r="F281" s="30">
        <v>0</v>
      </c>
      <c r="G281" s="30">
        <v>0</v>
      </c>
      <c r="H281" s="30" t="str">
        <f t="shared" ref="H281" si="57">IF(G281&gt;0,(G281*1.5)+F281,"YOK")</f>
        <v>YOK</v>
      </c>
      <c r="I281" s="226" t="s">
        <v>1185</v>
      </c>
      <c r="J281" s="31">
        <v>1</v>
      </c>
      <c r="K281" s="32">
        <v>0</v>
      </c>
      <c r="L281" s="32"/>
      <c r="M281" s="33"/>
      <c r="N281"/>
    </row>
    <row r="282" spans="1:14" s="21" customFormat="1" ht="39.950000000000003" customHeight="1">
      <c r="A282" s="9">
        <v>116</v>
      </c>
      <c r="B282" s="207" t="s">
        <v>979</v>
      </c>
      <c r="C282" s="185" t="s">
        <v>2612</v>
      </c>
      <c r="D282" s="50" t="s">
        <v>2613</v>
      </c>
      <c r="E282" s="51" t="s">
        <v>187</v>
      </c>
      <c r="F282" s="30">
        <v>7.5</v>
      </c>
      <c r="G282" s="30">
        <v>2.5</v>
      </c>
      <c r="H282" s="30">
        <f>IF(G282&gt;0,(G282*1.5)+F282,"YOK")</f>
        <v>11.25</v>
      </c>
      <c r="I282" s="22" t="s">
        <v>1102</v>
      </c>
      <c r="J282" s="31"/>
      <c r="K282" s="32">
        <v>1</v>
      </c>
      <c r="L282" s="32"/>
      <c r="M282" s="33"/>
      <c r="N282"/>
    </row>
    <row r="283" spans="1:14" s="21" customFormat="1" ht="39.950000000000003" customHeight="1">
      <c r="A283" s="9">
        <v>117</v>
      </c>
      <c r="B283" s="207" t="s">
        <v>979</v>
      </c>
      <c r="C283" s="185" t="s">
        <v>2614</v>
      </c>
      <c r="D283" s="50" t="s">
        <v>2615</v>
      </c>
      <c r="E283" s="51" t="s">
        <v>187</v>
      </c>
      <c r="F283" s="30">
        <v>7.5</v>
      </c>
      <c r="G283" s="30">
        <v>2.5</v>
      </c>
      <c r="H283" s="30">
        <f>IF(G283&gt;0,(G283*1.5)+F283,"YOK")</f>
        <v>11.25</v>
      </c>
      <c r="I283" s="22" t="s">
        <v>1102</v>
      </c>
      <c r="J283" s="31"/>
      <c r="K283" s="32">
        <v>1</v>
      </c>
      <c r="L283" s="32"/>
      <c r="M283" s="33"/>
      <c r="N283"/>
    </row>
    <row r="284" spans="1:14" s="21" customFormat="1" ht="39.950000000000003" customHeight="1">
      <c r="A284" s="9">
        <v>118</v>
      </c>
      <c r="B284" s="207" t="s">
        <v>979</v>
      </c>
      <c r="C284" s="185" t="s">
        <v>3128</v>
      </c>
      <c r="D284" s="50" t="s">
        <v>3129</v>
      </c>
      <c r="E284" s="51" t="s">
        <v>187</v>
      </c>
      <c r="F284" s="30">
        <v>7.5</v>
      </c>
      <c r="G284" s="30">
        <v>2.5</v>
      </c>
      <c r="H284" s="30">
        <f>IF(G284&gt;0,(G284*1.5)+F284,"YOK")</f>
        <v>11.25</v>
      </c>
      <c r="I284" s="22" t="s">
        <v>1102</v>
      </c>
      <c r="J284" s="31"/>
      <c r="K284" s="32">
        <v>1</v>
      </c>
      <c r="L284" s="32"/>
      <c r="M284" s="33"/>
      <c r="N284"/>
    </row>
    <row r="285" spans="1:14" s="21" customFormat="1" ht="39.950000000000003" customHeight="1">
      <c r="A285" s="9">
        <v>119</v>
      </c>
      <c r="B285" s="207" t="s">
        <v>979</v>
      </c>
      <c r="C285" s="185" t="s">
        <v>3334</v>
      </c>
      <c r="D285" s="50" t="s">
        <v>3335</v>
      </c>
      <c r="E285" s="51" t="s">
        <v>187</v>
      </c>
      <c r="F285" s="30">
        <v>0</v>
      </c>
      <c r="G285" s="30">
        <v>0</v>
      </c>
      <c r="H285" s="30" t="str">
        <f t="shared" ref="H285" si="58">IF(G285&gt;0,(G285*1.5)+F285,"YOK")</f>
        <v>YOK</v>
      </c>
      <c r="I285" s="224" t="s">
        <v>3669</v>
      </c>
      <c r="J285" s="31">
        <v>1</v>
      </c>
      <c r="K285" s="32">
        <v>0</v>
      </c>
      <c r="L285" s="32"/>
      <c r="M285" s="33"/>
      <c r="N285"/>
    </row>
    <row r="286" spans="1:14" s="21" customFormat="1" ht="39.950000000000003" customHeight="1">
      <c r="A286" s="9">
        <v>120</v>
      </c>
      <c r="B286" s="207" t="s">
        <v>979</v>
      </c>
      <c r="C286" s="185" t="s">
        <v>3336</v>
      </c>
      <c r="D286" s="50" t="s">
        <v>3337</v>
      </c>
      <c r="E286" s="51" t="s">
        <v>187</v>
      </c>
      <c r="F286" s="30">
        <v>7.5</v>
      </c>
      <c r="G286" s="30">
        <v>2.5</v>
      </c>
      <c r="H286" s="30">
        <f t="shared" ref="H286:H298" si="59">IF(G286&gt;0,(G286*1.5)+F286,"YOK")</f>
        <v>11.25</v>
      </c>
      <c r="I286" s="22" t="s">
        <v>1102</v>
      </c>
      <c r="J286" s="31"/>
      <c r="K286" s="32">
        <v>1</v>
      </c>
      <c r="L286" s="32"/>
      <c r="M286" s="33"/>
      <c r="N286"/>
    </row>
    <row r="287" spans="1:14" s="21" customFormat="1" ht="39.950000000000003" customHeight="1">
      <c r="A287" s="9">
        <v>121</v>
      </c>
      <c r="B287" s="207" t="s">
        <v>979</v>
      </c>
      <c r="C287" s="185" t="s">
        <v>3338</v>
      </c>
      <c r="D287" s="50" t="s">
        <v>3339</v>
      </c>
      <c r="E287" s="51" t="s">
        <v>187</v>
      </c>
      <c r="F287" s="30">
        <v>7.5</v>
      </c>
      <c r="G287" s="30">
        <v>2.5</v>
      </c>
      <c r="H287" s="30">
        <f t="shared" ref="H287" si="60">IF(G287&gt;0,(G287*1.5)+F287,"YOK")</f>
        <v>11.25</v>
      </c>
      <c r="I287" s="22" t="s">
        <v>1102</v>
      </c>
      <c r="J287" s="31"/>
      <c r="K287" s="32">
        <v>1</v>
      </c>
      <c r="L287" s="32"/>
      <c r="M287" s="33"/>
      <c r="N287"/>
    </row>
    <row r="288" spans="1:14" s="21" customFormat="1" ht="39.950000000000003" customHeight="1">
      <c r="A288" s="9">
        <v>122</v>
      </c>
      <c r="B288" s="207" t="s">
        <v>979</v>
      </c>
      <c r="C288" s="185" t="s">
        <v>3340</v>
      </c>
      <c r="D288" s="50" t="s">
        <v>3341</v>
      </c>
      <c r="E288" s="51" t="s">
        <v>187</v>
      </c>
      <c r="F288" s="30">
        <v>7.5</v>
      </c>
      <c r="G288" s="30">
        <v>2.5</v>
      </c>
      <c r="H288" s="30">
        <f t="shared" si="59"/>
        <v>11.25</v>
      </c>
      <c r="I288" s="22" t="s">
        <v>1102</v>
      </c>
      <c r="J288" s="31"/>
      <c r="K288" s="32">
        <v>1</v>
      </c>
      <c r="L288" s="32"/>
      <c r="M288" s="33"/>
      <c r="N288"/>
    </row>
    <row r="289" spans="1:14" s="21" customFormat="1" ht="39.950000000000003" customHeight="1">
      <c r="A289" s="9">
        <v>123</v>
      </c>
      <c r="B289" s="207" t="s">
        <v>979</v>
      </c>
      <c r="C289" s="185" t="s">
        <v>3342</v>
      </c>
      <c r="D289" s="50" t="s">
        <v>3343</v>
      </c>
      <c r="E289" s="51" t="s">
        <v>187</v>
      </c>
      <c r="F289" s="30">
        <v>7.5</v>
      </c>
      <c r="G289" s="30">
        <v>2.5</v>
      </c>
      <c r="H289" s="30">
        <f t="shared" si="59"/>
        <v>11.25</v>
      </c>
      <c r="I289" s="22" t="s">
        <v>1102</v>
      </c>
      <c r="J289" s="31"/>
      <c r="K289" s="32">
        <v>1</v>
      </c>
      <c r="L289" s="32"/>
      <c r="M289" s="33"/>
      <c r="N289"/>
    </row>
    <row r="290" spans="1:14" s="21" customFormat="1" ht="39.950000000000003" customHeight="1">
      <c r="A290" s="9">
        <v>124</v>
      </c>
      <c r="B290" s="207" t="s">
        <v>979</v>
      </c>
      <c r="C290" s="185" t="s">
        <v>3344</v>
      </c>
      <c r="D290" s="50" t="s">
        <v>3345</v>
      </c>
      <c r="E290" s="51" t="s">
        <v>187</v>
      </c>
      <c r="F290" s="30">
        <v>7.5</v>
      </c>
      <c r="G290" s="30">
        <v>2.5</v>
      </c>
      <c r="H290" s="30">
        <f t="shared" si="59"/>
        <v>11.25</v>
      </c>
      <c r="I290" s="22" t="s">
        <v>1102</v>
      </c>
      <c r="J290" s="31"/>
      <c r="K290" s="32">
        <v>1</v>
      </c>
      <c r="L290" s="32"/>
      <c r="M290" s="33"/>
      <c r="N290"/>
    </row>
    <row r="291" spans="1:14" s="21" customFormat="1" ht="39.950000000000003" customHeight="1">
      <c r="A291" s="9">
        <v>125</v>
      </c>
      <c r="B291" s="207" t="s">
        <v>979</v>
      </c>
      <c r="C291" s="185" t="s">
        <v>3346</v>
      </c>
      <c r="D291" s="50" t="s">
        <v>3347</v>
      </c>
      <c r="E291" s="51" t="s">
        <v>187</v>
      </c>
      <c r="F291" s="30">
        <v>0</v>
      </c>
      <c r="G291" s="30">
        <v>0</v>
      </c>
      <c r="H291" s="30" t="str">
        <f t="shared" si="59"/>
        <v>YOK</v>
      </c>
      <c r="I291" s="224" t="s">
        <v>3669</v>
      </c>
      <c r="J291" s="31">
        <v>1</v>
      </c>
      <c r="K291" s="32">
        <v>0</v>
      </c>
      <c r="L291" s="32"/>
      <c r="M291" s="33"/>
      <c r="N291"/>
    </row>
    <row r="292" spans="1:14" s="21" customFormat="1" ht="39.950000000000003" customHeight="1">
      <c r="A292" s="9">
        <v>126</v>
      </c>
      <c r="B292" s="207" t="s">
        <v>979</v>
      </c>
      <c r="C292" s="185" t="s">
        <v>3348</v>
      </c>
      <c r="D292" s="50" t="s">
        <v>3349</v>
      </c>
      <c r="E292" s="51" t="s">
        <v>187</v>
      </c>
      <c r="F292" s="30">
        <v>7.5</v>
      </c>
      <c r="G292" s="30">
        <v>2.5</v>
      </c>
      <c r="H292" s="30">
        <f t="shared" si="59"/>
        <v>11.25</v>
      </c>
      <c r="I292" s="22" t="s">
        <v>1102</v>
      </c>
      <c r="J292" s="31"/>
      <c r="K292" s="32">
        <v>1</v>
      </c>
      <c r="L292" s="32"/>
      <c r="M292" s="33"/>
      <c r="N292"/>
    </row>
    <row r="293" spans="1:14" s="21" customFormat="1" ht="39.950000000000003" customHeight="1">
      <c r="A293" s="9">
        <v>127</v>
      </c>
      <c r="B293" s="207" t="s">
        <v>979</v>
      </c>
      <c r="C293" s="185" t="s">
        <v>3350</v>
      </c>
      <c r="D293" s="50" t="s">
        <v>3351</v>
      </c>
      <c r="E293" s="51" t="s">
        <v>187</v>
      </c>
      <c r="F293" s="30">
        <v>7.5</v>
      </c>
      <c r="G293" s="30">
        <v>2.5</v>
      </c>
      <c r="H293" s="30">
        <f t="shared" si="59"/>
        <v>11.25</v>
      </c>
      <c r="I293" s="22" t="s">
        <v>1102</v>
      </c>
      <c r="J293" s="31"/>
      <c r="K293" s="32">
        <v>1</v>
      </c>
      <c r="L293" s="32"/>
      <c r="M293" s="33"/>
      <c r="N293"/>
    </row>
    <row r="294" spans="1:14" s="21" customFormat="1" ht="39.950000000000003" customHeight="1">
      <c r="A294" s="9">
        <v>128</v>
      </c>
      <c r="B294" s="207" t="s">
        <v>979</v>
      </c>
      <c r="C294" s="185" t="s">
        <v>3352</v>
      </c>
      <c r="D294" s="50" t="s">
        <v>3353</v>
      </c>
      <c r="E294" s="51" t="s">
        <v>187</v>
      </c>
      <c r="F294" s="30">
        <v>7.5</v>
      </c>
      <c r="G294" s="30">
        <v>2.5</v>
      </c>
      <c r="H294" s="30">
        <f t="shared" si="59"/>
        <v>11.25</v>
      </c>
      <c r="I294" s="22" t="s">
        <v>1102</v>
      </c>
      <c r="J294" s="31"/>
      <c r="K294" s="32">
        <v>1</v>
      </c>
      <c r="L294" s="32"/>
      <c r="M294" s="33"/>
      <c r="N294"/>
    </row>
    <row r="295" spans="1:14" s="21" customFormat="1" ht="39.950000000000003" customHeight="1">
      <c r="A295" s="9">
        <v>129</v>
      </c>
      <c r="B295" s="207" t="s">
        <v>979</v>
      </c>
      <c r="C295" s="185" t="s">
        <v>3356</v>
      </c>
      <c r="D295" s="50" t="s">
        <v>3357</v>
      </c>
      <c r="E295" s="51" t="s">
        <v>187</v>
      </c>
      <c r="F295" s="30">
        <v>7.5</v>
      </c>
      <c r="G295" s="30">
        <v>2.5</v>
      </c>
      <c r="H295" s="30">
        <f t="shared" si="59"/>
        <v>11.25</v>
      </c>
      <c r="I295" s="22" t="s">
        <v>1102</v>
      </c>
      <c r="J295" s="31"/>
      <c r="K295" s="32">
        <v>1</v>
      </c>
      <c r="L295" s="32"/>
      <c r="M295" s="33"/>
      <c r="N295"/>
    </row>
    <row r="296" spans="1:14" s="21" customFormat="1" ht="39.950000000000003" customHeight="1">
      <c r="A296" s="9">
        <v>130</v>
      </c>
      <c r="B296" s="207" t="s">
        <v>979</v>
      </c>
      <c r="C296" s="185" t="s">
        <v>3358</v>
      </c>
      <c r="D296" s="50" t="s">
        <v>3359</v>
      </c>
      <c r="E296" s="51" t="s">
        <v>187</v>
      </c>
      <c r="F296" s="30">
        <v>7.5</v>
      </c>
      <c r="G296" s="30">
        <v>2.5</v>
      </c>
      <c r="H296" s="30">
        <f t="shared" si="59"/>
        <v>11.25</v>
      </c>
      <c r="I296" s="22" t="s">
        <v>1102</v>
      </c>
      <c r="J296" s="31"/>
      <c r="K296" s="32">
        <v>1</v>
      </c>
      <c r="L296" s="32"/>
      <c r="M296" s="33"/>
      <c r="N296"/>
    </row>
    <row r="297" spans="1:14" s="21" customFormat="1" ht="39.950000000000003" customHeight="1">
      <c r="A297" s="9">
        <v>131</v>
      </c>
      <c r="B297" s="207" t="s">
        <v>979</v>
      </c>
      <c r="C297" s="185" t="s">
        <v>3360</v>
      </c>
      <c r="D297" s="50" t="s">
        <v>3361</v>
      </c>
      <c r="E297" s="51" t="s">
        <v>187</v>
      </c>
      <c r="F297" s="30">
        <v>7.5</v>
      </c>
      <c r="G297" s="30">
        <v>2.5</v>
      </c>
      <c r="H297" s="30">
        <f t="shared" ref="H297" si="61">IF(G297&gt;0,(G297*1.5)+F297,"YOK")</f>
        <v>11.25</v>
      </c>
      <c r="I297" s="22" t="s">
        <v>1102</v>
      </c>
      <c r="J297" s="31"/>
      <c r="K297" s="32">
        <v>1</v>
      </c>
      <c r="L297" s="32"/>
      <c r="M297" s="33"/>
      <c r="N297"/>
    </row>
    <row r="298" spans="1:14" s="21" customFormat="1" ht="39.950000000000003" customHeight="1">
      <c r="A298" s="9">
        <v>132</v>
      </c>
      <c r="B298" s="207" t="s">
        <v>979</v>
      </c>
      <c r="C298" s="185" t="s">
        <v>3362</v>
      </c>
      <c r="D298" s="50" t="s">
        <v>3363</v>
      </c>
      <c r="E298" s="51" t="s">
        <v>187</v>
      </c>
      <c r="F298" s="30">
        <v>7.5</v>
      </c>
      <c r="G298" s="30">
        <v>2.5</v>
      </c>
      <c r="H298" s="30">
        <f t="shared" si="59"/>
        <v>11.25</v>
      </c>
      <c r="I298" s="22" t="s">
        <v>1102</v>
      </c>
      <c r="J298" s="31"/>
      <c r="K298" s="32">
        <v>1</v>
      </c>
      <c r="L298" s="32"/>
      <c r="M298" s="33"/>
      <c r="N298"/>
    </row>
    <row r="299" spans="1:14" s="21" customFormat="1" ht="39.950000000000003" customHeight="1">
      <c r="A299" s="9">
        <v>133</v>
      </c>
      <c r="B299" s="207" t="s">
        <v>979</v>
      </c>
      <c r="C299" s="185" t="s">
        <v>3364</v>
      </c>
      <c r="D299" s="50" t="s">
        <v>3365</v>
      </c>
      <c r="E299" s="51" t="s">
        <v>187</v>
      </c>
      <c r="F299" s="30">
        <v>7.5</v>
      </c>
      <c r="G299" s="30">
        <v>2.5</v>
      </c>
      <c r="H299" s="30">
        <f t="shared" ref="H299" si="62">IF(G299&gt;0,(G299*1.5)+F299,"YOK")</f>
        <v>11.25</v>
      </c>
      <c r="I299" s="22" t="s">
        <v>1102</v>
      </c>
      <c r="J299" s="31"/>
      <c r="K299" s="32">
        <v>1</v>
      </c>
      <c r="L299" s="32"/>
      <c r="M299" s="33"/>
      <c r="N299"/>
    </row>
    <row r="300" spans="1:14" s="21" customFormat="1" ht="39.950000000000003" customHeight="1">
      <c r="A300" s="9">
        <v>134</v>
      </c>
      <c r="B300" s="207" t="s">
        <v>979</v>
      </c>
      <c r="C300" s="185" t="s">
        <v>3432</v>
      </c>
      <c r="D300" s="50" t="s">
        <v>3433</v>
      </c>
      <c r="E300" s="51" t="s">
        <v>187</v>
      </c>
      <c r="F300" s="30">
        <v>7.5</v>
      </c>
      <c r="G300" s="30">
        <v>2.5</v>
      </c>
      <c r="H300" s="30">
        <f t="shared" ref="H300:H311" si="63">IF(G300&gt;0,(G300*1.5)+F300,"YOK")</f>
        <v>11.25</v>
      </c>
      <c r="I300" s="22" t="s">
        <v>1102</v>
      </c>
      <c r="J300" s="31"/>
      <c r="K300" s="32">
        <v>1</v>
      </c>
      <c r="L300" s="32"/>
      <c r="M300" s="33"/>
      <c r="N300"/>
    </row>
    <row r="301" spans="1:14" s="21" customFormat="1" ht="39.950000000000003" customHeight="1">
      <c r="A301" s="9">
        <v>135</v>
      </c>
      <c r="B301" s="207" t="s">
        <v>979</v>
      </c>
      <c r="C301" s="185" t="s">
        <v>3434</v>
      </c>
      <c r="D301" s="50" t="s">
        <v>3435</v>
      </c>
      <c r="E301" s="51" t="s">
        <v>187</v>
      </c>
      <c r="F301" s="30">
        <v>7.5</v>
      </c>
      <c r="G301" s="30">
        <v>2.5</v>
      </c>
      <c r="H301" s="30">
        <f t="shared" si="63"/>
        <v>11.25</v>
      </c>
      <c r="I301" s="22" t="s">
        <v>1102</v>
      </c>
      <c r="J301" s="31"/>
      <c r="K301" s="32">
        <v>1</v>
      </c>
      <c r="L301" s="32"/>
      <c r="M301" s="33"/>
      <c r="N301"/>
    </row>
    <row r="302" spans="1:14" s="21" customFormat="1" ht="39.950000000000003" customHeight="1">
      <c r="A302" s="9">
        <v>136</v>
      </c>
      <c r="B302" s="207" t="s">
        <v>979</v>
      </c>
      <c r="C302" s="185" t="s">
        <v>338</v>
      </c>
      <c r="D302" s="50" t="s">
        <v>3436</v>
      </c>
      <c r="E302" s="51" t="s">
        <v>187</v>
      </c>
      <c r="F302" s="30">
        <v>7.5</v>
      </c>
      <c r="G302" s="30">
        <v>2.5</v>
      </c>
      <c r="H302" s="30">
        <f t="shared" si="63"/>
        <v>11.25</v>
      </c>
      <c r="I302" s="22" t="s">
        <v>1102</v>
      </c>
      <c r="J302" s="31"/>
      <c r="K302" s="32">
        <v>1</v>
      </c>
      <c r="L302" s="32"/>
      <c r="M302" s="33"/>
      <c r="N302"/>
    </row>
    <row r="303" spans="1:14" s="21" customFormat="1" ht="39.950000000000003" customHeight="1">
      <c r="A303" s="9">
        <v>137</v>
      </c>
      <c r="B303" s="207" t="s">
        <v>979</v>
      </c>
      <c r="C303" s="185" t="s">
        <v>3437</v>
      </c>
      <c r="D303" s="50" t="s">
        <v>3438</v>
      </c>
      <c r="E303" s="51" t="s">
        <v>187</v>
      </c>
      <c r="F303" s="30">
        <v>7.5</v>
      </c>
      <c r="G303" s="30">
        <v>2.5</v>
      </c>
      <c r="H303" s="30">
        <f t="shared" si="63"/>
        <v>11.25</v>
      </c>
      <c r="I303" s="22" t="s">
        <v>1102</v>
      </c>
      <c r="J303" s="31"/>
      <c r="K303" s="32">
        <v>1</v>
      </c>
      <c r="L303" s="32"/>
      <c r="M303" s="33"/>
      <c r="N303"/>
    </row>
    <row r="304" spans="1:14" s="21" customFormat="1" ht="39.950000000000003" customHeight="1">
      <c r="A304" s="9">
        <v>138</v>
      </c>
      <c r="B304" s="207" t="s">
        <v>979</v>
      </c>
      <c r="C304" s="185" t="s">
        <v>3439</v>
      </c>
      <c r="D304" s="50" t="s">
        <v>3440</v>
      </c>
      <c r="E304" s="51" t="s">
        <v>187</v>
      </c>
      <c r="F304" s="30">
        <v>7.5</v>
      </c>
      <c r="G304" s="30">
        <v>2.5</v>
      </c>
      <c r="H304" s="30">
        <f t="shared" si="63"/>
        <v>11.25</v>
      </c>
      <c r="I304" s="22" t="s">
        <v>1102</v>
      </c>
      <c r="J304" s="31"/>
      <c r="K304" s="32">
        <v>1</v>
      </c>
      <c r="L304" s="32"/>
      <c r="M304" s="33"/>
      <c r="N304"/>
    </row>
    <row r="305" spans="1:14" s="21" customFormat="1" ht="39.950000000000003" customHeight="1">
      <c r="A305" s="9">
        <v>139</v>
      </c>
      <c r="B305" s="207" t="s">
        <v>979</v>
      </c>
      <c r="C305" s="185" t="s">
        <v>3441</v>
      </c>
      <c r="D305" s="50" t="s">
        <v>3442</v>
      </c>
      <c r="E305" s="51" t="s">
        <v>187</v>
      </c>
      <c r="F305" s="30">
        <v>7.5</v>
      </c>
      <c r="G305" s="30">
        <v>2.5</v>
      </c>
      <c r="H305" s="30">
        <f t="shared" si="63"/>
        <v>11.25</v>
      </c>
      <c r="I305" s="22" t="s">
        <v>1102</v>
      </c>
      <c r="J305" s="31"/>
      <c r="K305" s="32">
        <v>1</v>
      </c>
      <c r="L305" s="32"/>
      <c r="M305" s="33"/>
      <c r="N305"/>
    </row>
    <row r="306" spans="1:14" s="21" customFormat="1" ht="39.950000000000003" customHeight="1">
      <c r="A306" s="9">
        <v>140</v>
      </c>
      <c r="B306" s="207" t="s">
        <v>979</v>
      </c>
      <c r="C306" s="185" t="s">
        <v>3443</v>
      </c>
      <c r="D306" s="50" t="s">
        <v>3444</v>
      </c>
      <c r="E306" s="51" t="s">
        <v>187</v>
      </c>
      <c r="F306" s="30">
        <v>7.5</v>
      </c>
      <c r="G306" s="30">
        <v>2.5</v>
      </c>
      <c r="H306" s="30">
        <f t="shared" ref="H306" si="64">IF(G306&gt;0,(G306*1.5)+F306,"YOK")</f>
        <v>11.25</v>
      </c>
      <c r="I306" s="22" t="s">
        <v>1102</v>
      </c>
      <c r="J306" s="31"/>
      <c r="K306" s="32">
        <v>1</v>
      </c>
      <c r="L306" s="32"/>
      <c r="M306" s="33"/>
      <c r="N306"/>
    </row>
    <row r="307" spans="1:14" s="21" customFormat="1" ht="39.950000000000003" customHeight="1">
      <c r="A307" s="9">
        <v>141</v>
      </c>
      <c r="B307" s="207" t="s">
        <v>979</v>
      </c>
      <c r="C307" s="185" t="s">
        <v>3445</v>
      </c>
      <c r="D307" s="50" t="s">
        <v>3446</v>
      </c>
      <c r="E307" s="51" t="s">
        <v>187</v>
      </c>
      <c r="F307" s="30">
        <v>7.5</v>
      </c>
      <c r="G307" s="30">
        <v>2.5</v>
      </c>
      <c r="H307" s="30">
        <f t="shared" si="63"/>
        <v>11.25</v>
      </c>
      <c r="I307" s="22" t="s">
        <v>1102</v>
      </c>
      <c r="J307" s="31"/>
      <c r="K307" s="32">
        <v>1</v>
      </c>
      <c r="L307" s="32"/>
      <c r="M307" s="33"/>
      <c r="N307"/>
    </row>
    <row r="308" spans="1:14" s="21" customFormat="1" ht="39.950000000000003" customHeight="1">
      <c r="A308" s="9">
        <v>142</v>
      </c>
      <c r="B308" s="207" t="s">
        <v>979</v>
      </c>
      <c r="C308" s="185" t="s">
        <v>3447</v>
      </c>
      <c r="D308" s="50" t="s">
        <v>3448</v>
      </c>
      <c r="E308" s="51" t="s">
        <v>187</v>
      </c>
      <c r="F308" s="30">
        <v>7.5</v>
      </c>
      <c r="G308" s="30">
        <v>2.5</v>
      </c>
      <c r="H308" s="30">
        <f t="shared" si="63"/>
        <v>11.25</v>
      </c>
      <c r="I308" s="22" t="s">
        <v>1102</v>
      </c>
      <c r="J308" s="31"/>
      <c r="K308" s="32">
        <v>1</v>
      </c>
      <c r="L308" s="32"/>
      <c r="M308" s="33"/>
      <c r="N308"/>
    </row>
    <row r="309" spans="1:14" s="21" customFormat="1" ht="39.950000000000003" customHeight="1">
      <c r="A309" s="9">
        <v>143</v>
      </c>
      <c r="B309" s="207" t="s">
        <v>979</v>
      </c>
      <c r="C309" s="185" t="s">
        <v>3449</v>
      </c>
      <c r="D309" s="50" t="s">
        <v>3450</v>
      </c>
      <c r="E309" s="51" t="s">
        <v>187</v>
      </c>
      <c r="F309" s="30">
        <v>7.5</v>
      </c>
      <c r="G309" s="30">
        <v>2.5</v>
      </c>
      <c r="H309" s="30">
        <f t="shared" si="63"/>
        <v>11.25</v>
      </c>
      <c r="I309" s="22" t="s">
        <v>1102</v>
      </c>
      <c r="J309" s="31"/>
      <c r="K309" s="32">
        <v>1</v>
      </c>
      <c r="L309" s="32"/>
      <c r="M309" s="33"/>
      <c r="N309"/>
    </row>
    <row r="310" spans="1:14" s="21" customFormat="1" ht="39.950000000000003" customHeight="1">
      <c r="A310" s="9">
        <v>144</v>
      </c>
      <c r="B310" s="207" t="s">
        <v>979</v>
      </c>
      <c r="C310" s="185" t="s">
        <v>3451</v>
      </c>
      <c r="D310" s="50" t="s">
        <v>3452</v>
      </c>
      <c r="E310" s="51" t="s">
        <v>187</v>
      </c>
      <c r="F310" s="30">
        <v>7.5</v>
      </c>
      <c r="G310" s="30">
        <v>2.5</v>
      </c>
      <c r="H310" s="30">
        <f t="shared" si="63"/>
        <v>11.25</v>
      </c>
      <c r="I310" s="22" t="s">
        <v>1102</v>
      </c>
      <c r="J310" s="31"/>
      <c r="K310" s="32">
        <v>1</v>
      </c>
      <c r="L310" s="32"/>
      <c r="M310" s="33"/>
      <c r="N310"/>
    </row>
    <row r="311" spans="1:14" s="21" customFormat="1" ht="39.950000000000003" customHeight="1">
      <c r="A311" s="9">
        <v>145</v>
      </c>
      <c r="B311" s="207" t="s">
        <v>979</v>
      </c>
      <c r="C311" s="185" t="s">
        <v>3453</v>
      </c>
      <c r="D311" s="50" t="s">
        <v>3454</v>
      </c>
      <c r="E311" s="51" t="s">
        <v>187</v>
      </c>
      <c r="F311" s="30">
        <v>7.5</v>
      </c>
      <c r="G311" s="30">
        <v>2.5</v>
      </c>
      <c r="H311" s="30">
        <f t="shared" si="63"/>
        <v>11.25</v>
      </c>
      <c r="I311" s="22" t="s">
        <v>1102</v>
      </c>
      <c r="J311" s="31"/>
      <c r="K311" s="32">
        <v>1</v>
      </c>
      <c r="L311" s="32"/>
      <c r="M311" s="33"/>
      <c r="N311"/>
    </row>
    <row r="312" spans="1:14" s="21" customFormat="1" ht="39.950000000000003" customHeight="1">
      <c r="A312" s="9">
        <v>146</v>
      </c>
      <c r="B312" s="207" t="s">
        <v>979</v>
      </c>
      <c r="C312" s="185" t="s">
        <v>3502</v>
      </c>
      <c r="D312" s="50" t="s">
        <v>3503</v>
      </c>
      <c r="E312" s="51" t="s">
        <v>187</v>
      </c>
      <c r="F312" s="30">
        <v>0</v>
      </c>
      <c r="G312" s="30">
        <v>0</v>
      </c>
      <c r="H312" s="30" t="str">
        <f t="shared" ref="H312:H349" si="65">IF(G312&gt;0,(G312*1.5)+F312,"YOK")</f>
        <v>YOK</v>
      </c>
      <c r="I312" s="224" t="s">
        <v>3669</v>
      </c>
      <c r="J312" s="31">
        <v>1</v>
      </c>
      <c r="K312" s="32">
        <v>0</v>
      </c>
      <c r="L312" s="32"/>
      <c r="M312" s="33"/>
      <c r="N312"/>
    </row>
    <row r="313" spans="1:14" s="21" customFormat="1" ht="39.950000000000003" customHeight="1">
      <c r="A313" s="9">
        <v>147</v>
      </c>
      <c r="B313" s="207" t="s">
        <v>979</v>
      </c>
      <c r="C313" s="185" t="s">
        <v>3504</v>
      </c>
      <c r="D313" s="50" t="s">
        <v>3505</v>
      </c>
      <c r="E313" s="51" t="s">
        <v>187</v>
      </c>
      <c r="F313" s="30">
        <v>7.5</v>
      </c>
      <c r="G313" s="30">
        <v>2.5</v>
      </c>
      <c r="H313" s="30">
        <f t="shared" si="65"/>
        <v>11.25</v>
      </c>
      <c r="I313" s="22" t="s">
        <v>1102</v>
      </c>
      <c r="J313" s="31"/>
      <c r="K313" s="32">
        <v>1</v>
      </c>
      <c r="L313" s="32"/>
      <c r="M313" s="33"/>
      <c r="N313"/>
    </row>
    <row r="314" spans="1:14" s="21" customFormat="1" ht="39.950000000000003" customHeight="1">
      <c r="A314" s="9">
        <v>148</v>
      </c>
      <c r="B314" s="207" t="s">
        <v>979</v>
      </c>
      <c r="C314" s="185" t="s">
        <v>3506</v>
      </c>
      <c r="D314" s="50" t="s">
        <v>3507</v>
      </c>
      <c r="E314" s="51" t="s">
        <v>187</v>
      </c>
      <c r="F314" s="30">
        <v>7.5</v>
      </c>
      <c r="G314" s="30">
        <v>2.5</v>
      </c>
      <c r="H314" s="30">
        <f t="shared" si="65"/>
        <v>11.25</v>
      </c>
      <c r="I314" s="22" t="s">
        <v>1102</v>
      </c>
      <c r="J314" s="31"/>
      <c r="K314" s="32">
        <v>1</v>
      </c>
      <c r="L314" s="32"/>
      <c r="M314" s="33"/>
      <c r="N314"/>
    </row>
    <row r="315" spans="1:14" s="21" customFormat="1" ht="39.950000000000003" customHeight="1">
      <c r="A315" s="9">
        <v>149</v>
      </c>
      <c r="B315" s="207" t="s">
        <v>979</v>
      </c>
      <c r="C315" s="185" t="s">
        <v>3508</v>
      </c>
      <c r="D315" s="50" t="s">
        <v>3509</v>
      </c>
      <c r="E315" s="51" t="s">
        <v>187</v>
      </c>
      <c r="F315" s="30">
        <v>7.5</v>
      </c>
      <c r="G315" s="30">
        <v>2.5</v>
      </c>
      <c r="H315" s="30">
        <f t="shared" si="65"/>
        <v>11.25</v>
      </c>
      <c r="I315" s="22" t="s">
        <v>1102</v>
      </c>
      <c r="J315" s="31"/>
      <c r="K315" s="32">
        <v>1</v>
      </c>
      <c r="L315" s="32"/>
      <c r="M315" s="33"/>
      <c r="N315"/>
    </row>
    <row r="316" spans="1:14" s="21" customFormat="1" ht="39.950000000000003" customHeight="1">
      <c r="A316" s="9">
        <v>150</v>
      </c>
      <c r="B316" s="207" t="s">
        <v>979</v>
      </c>
      <c r="C316" s="185" t="s">
        <v>3510</v>
      </c>
      <c r="D316" s="50" t="s">
        <v>3511</v>
      </c>
      <c r="E316" s="51" t="s">
        <v>187</v>
      </c>
      <c r="F316" s="30">
        <v>7.5</v>
      </c>
      <c r="G316" s="30">
        <v>2.5</v>
      </c>
      <c r="H316" s="30">
        <f t="shared" si="65"/>
        <v>11.25</v>
      </c>
      <c r="I316" s="22" t="s">
        <v>1102</v>
      </c>
      <c r="J316" s="31"/>
      <c r="K316" s="32">
        <v>1</v>
      </c>
      <c r="L316" s="32"/>
      <c r="M316" s="33"/>
      <c r="N316"/>
    </row>
    <row r="317" spans="1:14" s="21" customFormat="1" ht="39.950000000000003" customHeight="1">
      <c r="A317" s="9">
        <v>151</v>
      </c>
      <c r="B317" s="207" t="s">
        <v>979</v>
      </c>
      <c r="C317" s="185" t="s">
        <v>3512</v>
      </c>
      <c r="D317" s="50" t="s">
        <v>3513</v>
      </c>
      <c r="E317" s="51" t="s">
        <v>187</v>
      </c>
      <c r="F317" s="30">
        <v>7.5</v>
      </c>
      <c r="G317" s="30">
        <v>2.5</v>
      </c>
      <c r="H317" s="30">
        <f t="shared" si="65"/>
        <v>11.25</v>
      </c>
      <c r="I317" s="22" t="s">
        <v>1102</v>
      </c>
      <c r="J317" s="31"/>
      <c r="K317" s="32">
        <v>1</v>
      </c>
      <c r="L317" s="32"/>
      <c r="M317" s="33"/>
      <c r="N317"/>
    </row>
    <row r="318" spans="1:14" s="21" customFormat="1" ht="39.950000000000003" customHeight="1">
      <c r="A318" s="9">
        <v>152</v>
      </c>
      <c r="B318" s="207" t="s">
        <v>979</v>
      </c>
      <c r="C318" s="185" t="s">
        <v>3514</v>
      </c>
      <c r="D318" s="50" t="s">
        <v>3515</v>
      </c>
      <c r="E318" s="51" t="s">
        <v>187</v>
      </c>
      <c r="F318" s="30">
        <v>7.5</v>
      </c>
      <c r="G318" s="30">
        <v>2.5</v>
      </c>
      <c r="H318" s="30">
        <f t="shared" ref="H318" si="66">IF(G318&gt;0,(G318*1.5)+F318,"YOK")</f>
        <v>11.25</v>
      </c>
      <c r="I318" s="22" t="s">
        <v>1102</v>
      </c>
      <c r="J318" s="31"/>
      <c r="K318" s="32">
        <v>1</v>
      </c>
      <c r="L318" s="32"/>
      <c r="M318" s="33"/>
      <c r="N318"/>
    </row>
    <row r="319" spans="1:14" s="21" customFormat="1" ht="39.950000000000003" customHeight="1">
      <c r="A319" s="9">
        <v>153</v>
      </c>
      <c r="B319" s="207" t="s">
        <v>979</v>
      </c>
      <c r="C319" s="185" t="s">
        <v>3516</v>
      </c>
      <c r="D319" s="50" t="s">
        <v>3517</v>
      </c>
      <c r="E319" s="51" t="s">
        <v>187</v>
      </c>
      <c r="F319" s="30">
        <v>7.5</v>
      </c>
      <c r="G319" s="30">
        <v>2.5</v>
      </c>
      <c r="H319" s="30">
        <f t="shared" si="65"/>
        <v>11.25</v>
      </c>
      <c r="I319" s="22" t="s">
        <v>1102</v>
      </c>
      <c r="J319" s="31"/>
      <c r="K319" s="32">
        <v>1</v>
      </c>
      <c r="L319" s="32"/>
      <c r="M319" s="33"/>
      <c r="N319"/>
    </row>
    <row r="320" spans="1:14" s="21" customFormat="1" ht="39.950000000000003" customHeight="1">
      <c r="A320" s="9">
        <v>154</v>
      </c>
      <c r="B320" s="207" t="s">
        <v>979</v>
      </c>
      <c r="C320" s="185" t="s">
        <v>3518</v>
      </c>
      <c r="D320" s="50" t="s">
        <v>3519</v>
      </c>
      <c r="E320" s="51" t="s">
        <v>187</v>
      </c>
      <c r="F320" s="30">
        <v>7.5</v>
      </c>
      <c r="G320" s="30">
        <v>2.5</v>
      </c>
      <c r="H320" s="30">
        <f t="shared" si="65"/>
        <v>11.25</v>
      </c>
      <c r="I320" s="22" t="s">
        <v>1102</v>
      </c>
      <c r="J320" s="31"/>
      <c r="K320" s="32">
        <v>1</v>
      </c>
      <c r="L320" s="32"/>
      <c r="M320" s="33"/>
      <c r="N320"/>
    </row>
    <row r="321" spans="1:14" s="21" customFormat="1" ht="39.950000000000003" customHeight="1">
      <c r="A321" s="9">
        <v>155</v>
      </c>
      <c r="B321" s="207" t="s">
        <v>979</v>
      </c>
      <c r="C321" s="185" t="s">
        <v>3520</v>
      </c>
      <c r="D321" s="50" t="s">
        <v>3521</v>
      </c>
      <c r="E321" s="51" t="s">
        <v>187</v>
      </c>
      <c r="F321" s="30">
        <v>7.5</v>
      </c>
      <c r="G321" s="30">
        <v>2.5</v>
      </c>
      <c r="H321" s="30">
        <f t="shared" si="65"/>
        <v>11.25</v>
      </c>
      <c r="I321" s="22" t="s">
        <v>1102</v>
      </c>
      <c r="J321" s="31"/>
      <c r="K321" s="32">
        <v>1</v>
      </c>
      <c r="L321" s="32"/>
      <c r="M321" s="33"/>
      <c r="N321"/>
    </row>
    <row r="322" spans="1:14" s="21" customFormat="1" ht="39.950000000000003" customHeight="1">
      <c r="A322" s="9">
        <v>156</v>
      </c>
      <c r="B322" s="207" t="s">
        <v>979</v>
      </c>
      <c r="C322" s="185" t="s">
        <v>3522</v>
      </c>
      <c r="D322" s="50" t="s">
        <v>3523</v>
      </c>
      <c r="E322" s="51" t="s">
        <v>187</v>
      </c>
      <c r="F322" s="30">
        <v>7.5</v>
      </c>
      <c r="G322" s="30">
        <v>2.5</v>
      </c>
      <c r="H322" s="30">
        <f t="shared" si="65"/>
        <v>11.25</v>
      </c>
      <c r="I322" s="22" t="s">
        <v>1102</v>
      </c>
      <c r="J322" s="31"/>
      <c r="K322" s="32">
        <v>1</v>
      </c>
      <c r="L322" s="32"/>
      <c r="M322" s="33"/>
      <c r="N322"/>
    </row>
    <row r="323" spans="1:14" s="21" customFormat="1" ht="39.950000000000003" customHeight="1">
      <c r="A323" s="9">
        <v>157</v>
      </c>
      <c r="B323" s="207" t="s">
        <v>979</v>
      </c>
      <c r="C323" s="185" t="s">
        <v>3524</v>
      </c>
      <c r="D323" s="50" t="s">
        <v>3525</v>
      </c>
      <c r="E323" s="51" t="s">
        <v>187</v>
      </c>
      <c r="F323" s="30">
        <v>7.5</v>
      </c>
      <c r="G323" s="30">
        <v>2.5</v>
      </c>
      <c r="H323" s="30">
        <f t="shared" si="65"/>
        <v>11.25</v>
      </c>
      <c r="I323" s="22" t="s">
        <v>1102</v>
      </c>
      <c r="J323" s="31"/>
      <c r="K323" s="32">
        <v>1</v>
      </c>
      <c r="L323" s="32"/>
      <c r="M323" s="33"/>
      <c r="N323"/>
    </row>
    <row r="324" spans="1:14" s="21" customFormat="1" ht="39.950000000000003" customHeight="1">
      <c r="A324" s="9">
        <v>158</v>
      </c>
      <c r="B324" s="207" t="s">
        <v>979</v>
      </c>
      <c r="C324" s="185" t="s">
        <v>3526</v>
      </c>
      <c r="D324" s="50" t="s">
        <v>3527</v>
      </c>
      <c r="E324" s="51" t="s">
        <v>187</v>
      </c>
      <c r="F324" s="30">
        <v>7.5</v>
      </c>
      <c r="G324" s="30">
        <v>2.5</v>
      </c>
      <c r="H324" s="30">
        <f t="shared" si="65"/>
        <v>11.25</v>
      </c>
      <c r="I324" s="22" t="s">
        <v>1102</v>
      </c>
      <c r="J324" s="31"/>
      <c r="K324" s="32">
        <v>1</v>
      </c>
      <c r="L324" s="32"/>
      <c r="M324" s="33"/>
      <c r="N324"/>
    </row>
    <row r="325" spans="1:14" s="21" customFormat="1" ht="39.950000000000003" customHeight="1">
      <c r="A325" s="9">
        <v>159</v>
      </c>
      <c r="B325" s="207" t="s">
        <v>979</v>
      </c>
      <c r="C325" s="185" t="s">
        <v>3528</v>
      </c>
      <c r="D325" s="50" t="s">
        <v>3529</v>
      </c>
      <c r="E325" s="51" t="s">
        <v>187</v>
      </c>
      <c r="F325" s="30">
        <v>7.5</v>
      </c>
      <c r="G325" s="30">
        <v>2.5</v>
      </c>
      <c r="H325" s="30">
        <f t="shared" si="65"/>
        <v>11.25</v>
      </c>
      <c r="I325" s="22" t="s">
        <v>1102</v>
      </c>
      <c r="J325" s="31"/>
      <c r="K325" s="32">
        <v>1</v>
      </c>
      <c r="L325" s="32"/>
      <c r="M325" s="33"/>
      <c r="N325"/>
    </row>
    <row r="326" spans="1:14" s="21" customFormat="1" ht="39.950000000000003" customHeight="1">
      <c r="A326" s="9">
        <v>160</v>
      </c>
      <c r="B326" s="207" t="s">
        <v>979</v>
      </c>
      <c r="C326" s="185" t="s">
        <v>3530</v>
      </c>
      <c r="D326" s="50" t="s">
        <v>3531</v>
      </c>
      <c r="E326" s="51" t="s">
        <v>187</v>
      </c>
      <c r="F326" s="30">
        <v>0</v>
      </c>
      <c r="G326" s="30">
        <v>0</v>
      </c>
      <c r="H326" s="30" t="str">
        <f t="shared" ref="H326" si="67">IF(G326&gt;0,(G326*1.5)+F326,"YOK")</f>
        <v>YOK</v>
      </c>
      <c r="I326" s="224" t="s">
        <v>3669</v>
      </c>
      <c r="J326" s="31">
        <v>1</v>
      </c>
      <c r="K326" s="32">
        <v>0</v>
      </c>
      <c r="L326" s="32"/>
      <c r="M326" s="33"/>
      <c r="N326"/>
    </row>
    <row r="327" spans="1:14" s="21" customFormat="1" ht="39.950000000000003" customHeight="1">
      <c r="A327" s="9">
        <v>161</v>
      </c>
      <c r="B327" s="207" t="s">
        <v>979</v>
      </c>
      <c r="C327" s="185" t="s">
        <v>3532</v>
      </c>
      <c r="D327" s="50" t="s">
        <v>3533</v>
      </c>
      <c r="E327" s="51" t="s">
        <v>187</v>
      </c>
      <c r="F327" s="30">
        <v>7.5</v>
      </c>
      <c r="G327" s="30">
        <v>2.5</v>
      </c>
      <c r="H327" s="30">
        <f t="shared" si="65"/>
        <v>11.25</v>
      </c>
      <c r="I327" s="22" t="s">
        <v>1102</v>
      </c>
      <c r="J327" s="31"/>
      <c r="K327" s="32">
        <v>1</v>
      </c>
      <c r="L327" s="32"/>
      <c r="M327" s="33"/>
      <c r="N327"/>
    </row>
    <row r="328" spans="1:14" s="21" customFormat="1" ht="39.950000000000003" customHeight="1">
      <c r="A328" s="9">
        <v>162</v>
      </c>
      <c r="B328" s="207" t="s">
        <v>979</v>
      </c>
      <c r="C328" s="185" t="s">
        <v>3534</v>
      </c>
      <c r="D328" s="50" t="s">
        <v>3535</v>
      </c>
      <c r="E328" s="51" t="s">
        <v>187</v>
      </c>
      <c r="F328" s="30">
        <v>7.5</v>
      </c>
      <c r="G328" s="30">
        <v>2.5</v>
      </c>
      <c r="H328" s="30">
        <f t="shared" si="65"/>
        <v>11.25</v>
      </c>
      <c r="I328" s="22" t="s">
        <v>1102</v>
      </c>
      <c r="J328" s="31"/>
      <c r="K328" s="32">
        <v>1</v>
      </c>
      <c r="L328" s="32"/>
      <c r="M328" s="33"/>
      <c r="N328"/>
    </row>
    <row r="329" spans="1:14" s="21" customFormat="1" ht="39.950000000000003" customHeight="1">
      <c r="A329" s="9">
        <v>163</v>
      </c>
      <c r="B329" s="207" t="s">
        <v>979</v>
      </c>
      <c r="C329" s="185" t="s">
        <v>3536</v>
      </c>
      <c r="D329" s="50" t="s">
        <v>3537</v>
      </c>
      <c r="E329" s="51" t="s">
        <v>187</v>
      </c>
      <c r="F329" s="30">
        <v>7.5</v>
      </c>
      <c r="G329" s="30">
        <v>2.5</v>
      </c>
      <c r="H329" s="30">
        <f t="shared" si="65"/>
        <v>11.25</v>
      </c>
      <c r="I329" s="22" t="s">
        <v>1102</v>
      </c>
      <c r="J329" s="31"/>
      <c r="K329" s="32">
        <v>1</v>
      </c>
      <c r="L329" s="32"/>
      <c r="M329" s="33"/>
      <c r="N329"/>
    </row>
    <row r="330" spans="1:14" s="21" customFormat="1" ht="39.950000000000003" customHeight="1">
      <c r="A330" s="9">
        <v>164</v>
      </c>
      <c r="B330" s="207" t="s">
        <v>979</v>
      </c>
      <c r="C330" s="185" t="s">
        <v>3538</v>
      </c>
      <c r="D330" s="50" t="s">
        <v>3539</v>
      </c>
      <c r="E330" s="51" t="s">
        <v>187</v>
      </c>
      <c r="F330" s="30">
        <v>7.5</v>
      </c>
      <c r="G330" s="30">
        <v>2.5</v>
      </c>
      <c r="H330" s="30">
        <f t="shared" si="65"/>
        <v>11.25</v>
      </c>
      <c r="I330" s="22" t="s">
        <v>1102</v>
      </c>
      <c r="J330" s="31"/>
      <c r="K330" s="32">
        <v>1</v>
      </c>
      <c r="L330" s="32"/>
      <c r="M330" s="33"/>
      <c r="N330"/>
    </row>
    <row r="331" spans="1:14" s="21" customFormat="1" ht="39.950000000000003" customHeight="1">
      <c r="A331" s="9">
        <v>165</v>
      </c>
      <c r="B331" s="207" t="s">
        <v>979</v>
      </c>
      <c r="C331" s="185" t="s">
        <v>3540</v>
      </c>
      <c r="D331" s="50" t="s">
        <v>3541</v>
      </c>
      <c r="E331" s="51" t="s">
        <v>187</v>
      </c>
      <c r="F331" s="30">
        <v>7.5</v>
      </c>
      <c r="G331" s="30">
        <v>2.5</v>
      </c>
      <c r="H331" s="30">
        <f t="shared" si="65"/>
        <v>11.25</v>
      </c>
      <c r="I331" s="22" t="s">
        <v>1102</v>
      </c>
      <c r="J331" s="31"/>
      <c r="K331" s="32">
        <v>1</v>
      </c>
      <c r="L331" s="32"/>
      <c r="M331" s="33"/>
      <c r="N331"/>
    </row>
    <row r="332" spans="1:14" s="21" customFormat="1" ht="39.950000000000003" customHeight="1">
      <c r="A332" s="9">
        <v>166</v>
      </c>
      <c r="B332" s="207" t="s">
        <v>979</v>
      </c>
      <c r="C332" s="185" t="s">
        <v>3542</v>
      </c>
      <c r="D332" s="50" t="s">
        <v>3543</v>
      </c>
      <c r="E332" s="51" t="s">
        <v>187</v>
      </c>
      <c r="F332" s="30">
        <v>7.5</v>
      </c>
      <c r="G332" s="30">
        <v>2.5</v>
      </c>
      <c r="H332" s="30">
        <f t="shared" si="65"/>
        <v>11.25</v>
      </c>
      <c r="I332" s="22" t="s">
        <v>1102</v>
      </c>
      <c r="J332" s="31"/>
      <c r="K332" s="32">
        <v>1</v>
      </c>
      <c r="L332" s="32"/>
      <c r="M332" s="33"/>
      <c r="N332"/>
    </row>
    <row r="333" spans="1:14" s="21" customFormat="1" ht="39.950000000000003" customHeight="1">
      <c r="A333" s="9">
        <v>167</v>
      </c>
      <c r="B333" s="207" t="s">
        <v>979</v>
      </c>
      <c r="C333" s="185" t="s">
        <v>3544</v>
      </c>
      <c r="D333" s="50" t="s">
        <v>3545</v>
      </c>
      <c r="E333" s="51" t="s">
        <v>187</v>
      </c>
      <c r="F333" s="30">
        <v>7.5</v>
      </c>
      <c r="G333" s="30">
        <v>2.5</v>
      </c>
      <c r="H333" s="30">
        <f t="shared" si="65"/>
        <v>11.25</v>
      </c>
      <c r="I333" s="22" t="s">
        <v>1102</v>
      </c>
      <c r="J333" s="31"/>
      <c r="K333" s="32">
        <v>1</v>
      </c>
      <c r="L333" s="32"/>
      <c r="M333" s="33"/>
      <c r="N333"/>
    </row>
    <row r="334" spans="1:14" s="21" customFormat="1" ht="39.950000000000003" customHeight="1">
      <c r="A334" s="9">
        <v>168</v>
      </c>
      <c r="B334" s="207" t="s">
        <v>979</v>
      </c>
      <c r="C334" s="185" t="s">
        <v>3546</v>
      </c>
      <c r="D334" s="50" t="s">
        <v>3547</v>
      </c>
      <c r="E334" s="51" t="s">
        <v>187</v>
      </c>
      <c r="F334" s="30">
        <v>7.5</v>
      </c>
      <c r="G334" s="30">
        <v>2.5</v>
      </c>
      <c r="H334" s="30">
        <f t="shared" si="65"/>
        <v>11.25</v>
      </c>
      <c r="I334" s="22" t="s">
        <v>1102</v>
      </c>
      <c r="J334" s="31"/>
      <c r="K334" s="32">
        <v>1</v>
      </c>
      <c r="L334" s="32"/>
      <c r="M334" s="33"/>
      <c r="N334"/>
    </row>
    <row r="335" spans="1:14" s="21" customFormat="1" ht="39.950000000000003" customHeight="1">
      <c r="A335" s="9">
        <v>169</v>
      </c>
      <c r="B335" s="207" t="s">
        <v>979</v>
      </c>
      <c r="C335" s="185" t="s">
        <v>3548</v>
      </c>
      <c r="D335" s="50" t="s">
        <v>3549</v>
      </c>
      <c r="E335" s="51" t="s">
        <v>187</v>
      </c>
      <c r="F335" s="30">
        <v>7.5</v>
      </c>
      <c r="G335" s="30">
        <v>2.5</v>
      </c>
      <c r="H335" s="30">
        <f t="shared" si="65"/>
        <v>11.25</v>
      </c>
      <c r="I335" s="22" t="s">
        <v>1102</v>
      </c>
      <c r="J335" s="31"/>
      <c r="K335" s="32">
        <v>1</v>
      </c>
      <c r="L335" s="32"/>
      <c r="M335" s="33"/>
      <c r="N335"/>
    </row>
    <row r="336" spans="1:14" s="21" customFormat="1" ht="39.950000000000003" customHeight="1">
      <c r="A336" s="9">
        <v>170</v>
      </c>
      <c r="B336" s="207" t="s">
        <v>979</v>
      </c>
      <c r="C336" s="185" t="s">
        <v>3550</v>
      </c>
      <c r="D336" s="50" t="s">
        <v>3551</v>
      </c>
      <c r="E336" s="51" t="s">
        <v>187</v>
      </c>
      <c r="F336" s="30">
        <v>7.5</v>
      </c>
      <c r="G336" s="30">
        <v>2.5</v>
      </c>
      <c r="H336" s="30">
        <f t="shared" si="65"/>
        <v>11.25</v>
      </c>
      <c r="I336" s="22" t="s">
        <v>1102</v>
      </c>
      <c r="J336" s="31"/>
      <c r="K336" s="32">
        <v>1</v>
      </c>
      <c r="L336" s="32"/>
      <c r="M336" s="33"/>
      <c r="N336"/>
    </row>
    <row r="337" spans="1:14" s="21" customFormat="1" ht="39.950000000000003" customHeight="1">
      <c r="A337" s="9">
        <v>171</v>
      </c>
      <c r="B337" s="207" t="s">
        <v>979</v>
      </c>
      <c r="C337" s="185" t="s">
        <v>3552</v>
      </c>
      <c r="D337" s="50" t="s">
        <v>3553</v>
      </c>
      <c r="E337" s="51" t="s">
        <v>187</v>
      </c>
      <c r="F337" s="30">
        <v>7.5</v>
      </c>
      <c r="G337" s="30">
        <v>2.5</v>
      </c>
      <c r="H337" s="30">
        <f t="shared" si="65"/>
        <v>11.25</v>
      </c>
      <c r="I337" s="22" t="s">
        <v>1102</v>
      </c>
      <c r="J337" s="31"/>
      <c r="K337" s="32">
        <v>1</v>
      </c>
      <c r="L337" s="32"/>
      <c r="M337" s="33"/>
      <c r="N337"/>
    </row>
    <row r="338" spans="1:14" s="21" customFormat="1" ht="39.950000000000003" customHeight="1">
      <c r="A338" s="9">
        <v>172</v>
      </c>
      <c r="B338" s="207" t="s">
        <v>979</v>
      </c>
      <c r="C338" s="185" t="s">
        <v>3554</v>
      </c>
      <c r="D338" s="50" t="s">
        <v>3555</v>
      </c>
      <c r="E338" s="51" t="s">
        <v>187</v>
      </c>
      <c r="F338" s="30">
        <v>7.5</v>
      </c>
      <c r="G338" s="30">
        <v>2.5</v>
      </c>
      <c r="H338" s="30">
        <f t="shared" si="65"/>
        <v>11.25</v>
      </c>
      <c r="I338" s="22" t="s">
        <v>1102</v>
      </c>
      <c r="J338" s="31"/>
      <c r="K338" s="32">
        <v>1</v>
      </c>
      <c r="L338" s="32"/>
      <c r="M338" s="33"/>
      <c r="N338"/>
    </row>
    <row r="339" spans="1:14" s="21" customFormat="1" ht="39.950000000000003" customHeight="1">
      <c r="A339" s="9">
        <v>173</v>
      </c>
      <c r="B339" s="207" t="s">
        <v>979</v>
      </c>
      <c r="C339" s="185" t="s">
        <v>3556</v>
      </c>
      <c r="D339" s="50" t="s">
        <v>3557</v>
      </c>
      <c r="E339" s="51" t="s">
        <v>187</v>
      </c>
      <c r="F339" s="30">
        <v>7.5</v>
      </c>
      <c r="G339" s="30">
        <v>2.5</v>
      </c>
      <c r="H339" s="30">
        <f t="shared" si="65"/>
        <v>11.25</v>
      </c>
      <c r="I339" s="22" t="s">
        <v>1102</v>
      </c>
      <c r="J339" s="31"/>
      <c r="K339" s="32">
        <v>1</v>
      </c>
      <c r="L339" s="32"/>
      <c r="M339" s="33"/>
      <c r="N339"/>
    </row>
    <row r="340" spans="1:14" s="21" customFormat="1" ht="39.950000000000003" customHeight="1">
      <c r="A340" s="9">
        <v>174</v>
      </c>
      <c r="B340" s="207" t="s">
        <v>979</v>
      </c>
      <c r="C340" s="185" t="s">
        <v>3558</v>
      </c>
      <c r="D340" s="50" t="s">
        <v>3559</v>
      </c>
      <c r="E340" s="51" t="s">
        <v>187</v>
      </c>
      <c r="F340" s="30">
        <v>7.5</v>
      </c>
      <c r="G340" s="30">
        <v>2.5</v>
      </c>
      <c r="H340" s="30">
        <f t="shared" ref="H340" si="68">IF(G340&gt;0,(G340*1.5)+F340,"YOK")</f>
        <v>11.25</v>
      </c>
      <c r="I340" s="22" t="s">
        <v>1102</v>
      </c>
      <c r="J340" s="31"/>
      <c r="K340" s="32">
        <v>1</v>
      </c>
      <c r="L340" s="32"/>
      <c r="M340" s="33"/>
      <c r="N340"/>
    </row>
    <row r="341" spans="1:14" s="21" customFormat="1" ht="39.950000000000003" customHeight="1">
      <c r="A341" s="9">
        <v>175</v>
      </c>
      <c r="B341" s="207" t="s">
        <v>979</v>
      </c>
      <c r="C341" s="185" t="s">
        <v>3560</v>
      </c>
      <c r="D341" s="50" t="s">
        <v>3561</v>
      </c>
      <c r="E341" s="51" t="s">
        <v>187</v>
      </c>
      <c r="F341" s="30">
        <v>7.5</v>
      </c>
      <c r="G341" s="30">
        <v>2.5</v>
      </c>
      <c r="H341" s="30">
        <f t="shared" si="65"/>
        <v>11.25</v>
      </c>
      <c r="I341" s="22" t="s">
        <v>1102</v>
      </c>
      <c r="J341" s="31"/>
      <c r="K341" s="32">
        <v>1</v>
      </c>
      <c r="L341" s="32"/>
      <c r="M341" s="33"/>
      <c r="N341"/>
    </row>
    <row r="342" spans="1:14" s="21" customFormat="1" ht="39.950000000000003" customHeight="1">
      <c r="A342" s="9">
        <v>176</v>
      </c>
      <c r="B342" s="207" t="s">
        <v>979</v>
      </c>
      <c r="C342" s="185" t="s">
        <v>3562</v>
      </c>
      <c r="D342" s="50" t="s">
        <v>3563</v>
      </c>
      <c r="E342" s="51" t="s">
        <v>187</v>
      </c>
      <c r="F342" s="30">
        <v>7.5</v>
      </c>
      <c r="G342" s="30">
        <v>2.5</v>
      </c>
      <c r="H342" s="30">
        <f t="shared" si="65"/>
        <v>11.25</v>
      </c>
      <c r="I342" s="22" t="s">
        <v>1102</v>
      </c>
      <c r="J342" s="31"/>
      <c r="K342" s="32">
        <v>1</v>
      </c>
      <c r="L342" s="32"/>
      <c r="M342" s="33"/>
      <c r="N342"/>
    </row>
    <row r="343" spans="1:14" s="21" customFormat="1" ht="39.950000000000003" customHeight="1">
      <c r="A343" s="9">
        <v>177</v>
      </c>
      <c r="B343" s="207" t="s">
        <v>979</v>
      </c>
      <c r="C343" s="185" t="s">
        <v>3564</v>
      </c>
      <c r="D343" s="50" t="s">
        <v>3565</v>
      </c>
      <c r="E343" s="51" t="s">
        <v>187</v>
      </c>
      <c r="F343" s="30">
        <v>7.5</v>
      </c>
      <c r="G343" s="30">
        <v>2.5</v>
      </c>
      <c r="H343" s="30">
        <f t="shared" si="65"/>
        <v>11.25</v>
      </c>
      <c r="I343" s="22" t="s">
        <v>1102</v>
      </c>
      <c r="J343" s="31"/>
      <c r="K343" s="32">
        <v>1</v>
      </c>
      <c r="L343" s="32"/>
      <c r="M343" s="33"/>
      <c r="N343"/>
    </row>
    <row r="344" spans="1:14" s="21" customFormat="1" ht="39.950000000000003" customHeight="1">
      <c r="A344" s="9">
        <v>178</v>
      </c>
      <c r="B344" s="207" t="s">
        <v>979</v>
      </c>
      <c r="C344" s="185" t="s">
        <v>3566</v>
      </c>
      <c r="D344" s="50" t="s">
        <v>3567</v>
      </c>
      <c r="E344" s="51" t="s">
        <v>187</v>
      </c>
      <c r="F344" s="30">
        <v>0</v>
      </c>
      <c r="G344" s="30">
        <v>0</v>
      </c>
      <c r="H344" s="30" t="str">
        <f t="shared" ref="H344:H345" si="69">IF(G344&gt;0,(G344*1.5)+F344,"YOK")</f>
        <v>YOK</v>
      </c>
      <c r="I344" s="224" t="s">
        <v>3669</v>
      </c>
      <c r="J344" s="31">
        <v>1</v>
      </c>
      <c r="K344" s="32">
        <v>0</v>
      </c>
      <c r="L344" s="32"/>
      <c r="M344" s="33"/>
      <c r="N344"/>
    </row>
    <row r="345" spans="1:14" s="21" customFormat="1" ht="39.950000000000003" customHeight="1">
      <c r="A345" s="9">
        <v>179</v>
      </c>
      <c r="B345" s="207" t="s">
        <v>979</v>
      </c>
      <c r="C345" s="185" t="s">
        <v>3568</v>
      </c>
      <c r="D345" s="50" t="s">
        <v>3569</v>
      </c>
      <c r="E345" s="51" t="s">
        <v>187</v>
      </c>
      <c r="F345" s="30">
        <v>0</v>
      </c>
      <c r="G345" s="30">
        <v>0</v>
      </c>
      <c r="H345" s="30" t="str">
        <f t="shared" si="69"/>
        <v>YOK</v>
      </c>
      <c r="I345" s="224" t="s">
        <v>3669</v>
      </c>
      <c r="J345" s="31">
        <v>1</v>
      </c>
      <c r="K345" s="32">
        <v>0</v>
      </c>
      <c r="L345" s="32"/>
      <c r="M345" s="33"/>
      <c r="N345"/>
    </row>
    <row r="346" spans="1:14" s="21" customFormat="1" ht="39.950000000000003" customHeight="1">
      <c r="A346" s="9">
        <v>180</v>
      </c>
      <c r="B346" s="207" t="s">
        <v>979</v>
      </c>
      <c r="C346" s="185" t="s">
        <v>3570</v>
      </c>
      <c r="D346" s="50" t="s">
        <v>3571</v>
      </c>
      <c r="E346" s="51" t="s">
        <v>187</v>
      </c>
      <c r="F346" s="30">
        <v>7.5</v>
      </c>
      <c r="G346" s="30">
        <v>2.5</v>
      </c>
      <c r="H346" s="30">
        <f t="shared" si="65"/>
        <v>11.25</v>
      </c>
      <c r="I346" s="22" t="s">
        <v>1102</v>
      </c>
      <c r="J346" s="31"/>
      <c r="K346" s="32">
        <v>1</v>
      </c>
      <c r="L346" s="32"/>
      <c r="M346" s="33"/>
      <c r="N346"/>
    </row>
    <row r="347" spans="1:14" s="21" customFormat="1" ht="39.950000000000003" customHeight="1">
      <c r="A347" s="9">
        <v>181</v>
      </c>
      <c r="B347" s="207" t="s">
        <v>979</v>
      </c>
      <c r="C347" s="185" t="s">
        <v>3572</v>
      </c>
      <c r="D347" s="50" t="s">
        <v>3573</v>
      </c>
      <c r="E347" s="51" t="s">
        <v>187</v>
      </c>
      <c r="F347" s="30">
        <v>7.5</v>
      </c>
      <c r="G347" s="30">
        <v>2.5</v>
      </c>
      <c r="H347" s="30">
        <f t="shared" si="65"/>
        <v>11.25</v>
      </c>
      <c r="I347" s="22" t="s">
        <v>1102</v>
      </c>
      <c r="J347" s="31"/>
      <c r="K347" s="32">
        <v>1</v>
      </c>
      <c r="L347" s="32"/>
      <c r="M347" s="33"/>
      <c r="N347"/>
    </row>
    <row r="348" spans="1:14" s="21" customFormat="1" ht="39.950000000000003" customHeight="1">
      <c r="A348" s="9">
        <v>182</v>
      </c>
      <c r="B348" s="207" t="s">
        <v>979</v>
      </c>
      <c r="C348" s="185" t="s">
        <v>3574</v>
      </c>
      <c r="D348" s="50" t="s">
        <v>3575</v>
      </c>
      <c r="E348" s="51" t="s">
        <v>187</v>
      </c>
      <c r="F348" s="30">
        <v>0</v>
      </c>
      <c r="G348" s="30">
        <v>0</v>
      </c>
      <c r="H348" s="30" t="str">
        <f t="shared" ref="H348" si="70">IF(G348&gt;0,(G348*1.5)+F348,"YOK")</f>
        <v>YOK</v>
      </c>
      <c r="I348" s="224" t="s">
        <v>3669</v>
      </c>
      <c r="J348" s="31">
        <v>1</v>
      </c>
      <c r="K348" s="32">
        <v>0</v>
      </c>
      <c r="L348" s="32"/>
      <c r="M348" s="33"/>
      <c r="N348"/>
    </row>
    <row r="349" spans="1:14" s="21" customFormat="1" ht="39.950000000000003" customHeight="1">
      <c r="A349" s="9">
        <v>183</v>
      </c>
      <c r="B349" s="207" t="s">
        <v>979</v>
      </c>
      <c r="C349" s="185" t="s">
        <v>3576</v>
      </c>
      <c r="D349" s="50" t="s">
        <v>3577</v>
      </c>
      <c r="E349" s="51" t="s">
        <v>187</v>
      </c>
      <c r="F349" s="30">
        <v>7.5</v>
      </c>
      <c r="G349" s="30">
        <v>2.5</v>
      </c>
      <c r="H349" s="30">
        <f t="shared" si="65"/>
        <v>11.25</v>
      </c>
      <c r="I349" s="22" t="s">
        <v>1102</v>
      </c>
      <c r="J349" s="31"/>
      <c r="K349" s="32">
        <v>1</v>
      </c>
      <c r="L349" s="32"/>
      <c r="M349" s="33"/>
      <c r="N349"/>
    </row>
    <row r="350" spans="1:14" s="21" customFormat="1" ht="39.950000000000003" customHeight="1">
      <c r="A350" s="9">
        <v>184</v>
      </c>
      <c r="B350" s="222">
        <v>6338</v>
      </c>
      <c r="C350" s="50" t="s">
        <v>2387</v>
      </c>
      <c r="D350" s="50" t="s">
        <v>2388</v>
      </c>
      <c r="E350" s="51" t="s">
        <v>187</v>
      </c>
      <c r="F350" s="13">
        <v>0</v>
      </c>
      <c r="G350" s="30"/>
      <c r="H350" s="30"/>
      <c r="I350" s="227" t="s">
        <v>221</v>
      </c>
      <c r="J350" s="31"/>
      <c r="K350" s="32">
        <v>0</v>
      </c>
      <c r="L350" s="32"/>
      <c r="M350" s="33">
        <v>1</v>
      </c>
      <c r="N350"/>
    </row>
    <row r="351" spans="1:14" s="21" customFormat="1" ht="39.950000000000003" customHeight="1">
      <c r="A351" s="9">
        <v>185</v>
      </c>
      <c r="B351" s="222">
        <v>6692</v>
      </c>
      <c r="C351" s="185" t="s">
        <v>3059</v>
      </c>
      <c r="D351" s="50" t="s">
        <v>3060</v>
      </c>
      <c r="E351" s="51" t="s">
        <v>187</v>
      </c>
      <c r="F351" s="13">
        <v>0</v>
      </c>
      <c r="G351" s="30"/>
      <c r="H351" s="30"/>
      <c r="I351" s="227" t="s">
        <v>221</v>
      </c>
      <c r="J351" s="31"/>
      <c r="K351" s="32">
        <v>0</v>
      </c>
      <c r="L351" s="32"/>
      <c r="M351" s="33">
        <v>1</v>
      </c>
      <c r="N351"/>
    </row>
    <row r="352" spans="1:14" s="21" customFormat="1" ht="39.950000000000003" customHeight="1">
      <c r="A352" s="9">
        <v>186</v>
      </c>
      <c r="B352" s="222">
        <v>5257</v>
      </c>
      <c r="C352" s="50" t="s">
        <v>209</v>
      </c>
      <c r="D352" s="50" t="s">
        <v>210</v>
      </c>
      <c r="E352" s="51" t="s">
        <v>187</v>
      </c>
      <c r="F352" s="13">
        <v>0</v>
      </c>
      <c r="G352" s="30"/>
      <c r="H352" s="30"/>
      <c r="I352" s="227" t="s">
        <v>221</v>
      </c>
      <c r="J352" s="31"/>
      <c r="K352" s="32">
        <v>0</v>
      </c>
      <c r="L352" s="32"/>
      <c r="M352" s="33">
        <v>1</v>
      </c>
      <c r="N352" s="33"/>
    </row>
    <row r="353" spans="1:14" s="21" customFormat="1" ht="39.950000000000003" customHeight="1">
      <c r="A353" s="9">
        <v>187</v>
      </c>
      <c r="B353" s="222">
        <v>4516</v>
      </c>
      <c r="C353" s="185" t="s">
        <v>193</v>
      </c>
      <c r="D353" s="50" t="s">
        <v>194</v>
      </c>
      <c r="E353" s="51" t="s">
        <v>187</v>
      </c>
      <c r="F353" s="30">
        <v>7.5</v>
      </c>
      <c r="G353" s="30">
        <v>2.5</v>
      </c>
      <c r="H353" s="30">
        <f>IF(G353&gt;0,(G353*1.5)+F353,"YOK")</f>
        <v>11.25</v>
      </c>
      <c r="I353" s="227" t="s">
        <v>70</v>
      </c>
      <c r="J353" s="31"/>
      <c r="K353" s="32">
        <v>0</v>
      </c>
      <c r="L353" s="32"/>
      <c r="M353" s="33">
        <v>1</v>
      </c>
      <c r="N353"/>
    </row>
    <row r="354" spans="1:14" s="21" customFormat="1" ht="39.950000000000003" customHeight="1">
      <c r="A354" s="9">
        <v>188</v>
      </c>
      <c r="B354" s="222">
        <v>4702</v>
      </c>
      <c r="C354" s="185" t="s">
        <v>197</v>
      </c>
      <c r="D354" s="50" t="s">
        <v>198</v>
      </c>
      <c r="E354" s="51" t="s">
        <v>187</v>
      </c>
      <c r="F354" s="30">
        <v>7.5</v>
      </c>
      <c r="G354" s="30">
        <v>2.5</v>
      </c>
      <c r="H354" s="30">
        <f t="shared" ref="H354" si="71">IF(G354&gt;0,(G354*1.5)+F354,"YOK")</f>
        <v>11.25</v>
      </c>
      <c r="I354" s="227" t="s">
        <v>70</v>
      </c>
      <c r="J354" s="31"/>
      <c r="K354" s="32">
        <v>0</v>
      </c>
      <c r="L354" s="32"/>
      <c r="M354" s="33">
        <v>1</v>
      </c>
      <c r="N354"/>
    </row>
    <row r="355" spans="1:14" s="21" customFormat="1" ht="39.950000000000003" customHeight="1">
      <c r="A355" s="9">
        <v>189</v>
      </c>
      <c r="B355" s="222">
        <v>4228</v>
      </c>
      <c r="C355" s="185" t="s">
        <v>211</v>
      </c>
      <c r="D355" s="50" t="s">
        <v>212</v>
      </c>
      <c r="E355" s="51" t="s">
        <v>187</v>
      </c>
      <c r="F355" s="30">
        <v>7.5</v>
      </c>
      <c r="G355" s="30">
        <v>2.5</v>
      </c>
      <c r="H355" s="30">
        <f t="shared" ref="H355" si="72">IF(G355&gt;0,(G355*1.5)+F355,"YOK")</f>
        <v>11.25</v>
      </c>
      <c r="I355" s="227" t="s">
        <v>70</v>
      </c>
      <c r="J355" s="31"/>
      <c r="K355" s="32">
        <v>0</v>
      </c>
      <c r="L355" s="32"/>
      <c r="M355" s="33">
        <v>1</v>
      </c>
      <c r="N355"/>
    </row>
    <row r="356" spans="1:14" s="21" customFormat="1" ht="39.950000000000003" customHeight="1">
      <c r="A356" s="9">
        <v>190</v>
      </c>
      <c r="B356" s="222">
        <v>6627</v>
      </c>
      <c r="C356" s="185" t="s">
        <v>2906</v>
      </c>
      <c r="D356" s="50" t="s">
        <v>2907</v>
      </c>
      <c r="E356" s="51" t="s">
        <v>187</v>
      </c>
      <c r="F356" s="30">
        <v>7.5</v>
      </c>
      <c r="G356" s="30">
        <v>2.5</v>
      </c>
      <c r="H356" s="30">
        <f>IF(G356&gt;0,(G356*1.5)+F356,"YOK")</f>
        <v>11.25</v>
      </c>
      <c r="I356" s="227" t="s">
        <v>70</v>
      </c>
      <c r="J356" s="31"/>
      <c r="K356" s="32">
        <v>0</v>
      </c>
      <c r="L356" s="32"/>
      <c r="M356" s="33">
        <v>1</v>
      </c>
      <c r="N356"/>
    </row>
    <row r="357" spans="1:14" s="21" customFormat="1" ht="39.950000000000003" customHeight="1">
      <c r="A357" s="9">
        <v>191</v>
      </c>
      <c r="B357" s="222">
        <v>6628</v>
      </c>
      <c r="C357" s="185" t="s">
        <v>2908</v>
      </c>
      <c r="D357" s="50" t="s">
        <v>2909</v>
      </c>
      <c r="E357" s="51" t="s">
        <v>187</v>
      </c>
      <c r="F357" s="30">
        <v>7.5</v>
      </c>
      <c r="G357" s="30">
        <v>2.5</v>
      </c>
      <c r="H357" s="30">
        <f>IF(G357&gt;0,(G357*1.5)+F357,"YOK")</f>
        <v>11.25</v>
      </c>
      <c r="I357" s="227" t="s">
        <v>70</v>
      </c>
      <c r="J357" s="31"/>
      <c r="K357" s="32">
        <v>0</v>
      </c>
      <c r="L357" s="32"/>
      <c r="M357" s="33">
        <v>1</v>
      </c>
      <c r="N357"/>
    </row>
    <row r="358" spans="1:14" s="21" customFormat="1" ht="39.950000000000003" customHeight="1">
      <c r="A358" s="9">
        <v>192</v>
      </c>
      <c r="B358" s="222">
        <v>6629</v>
      </c>
      <c r="C358" s="185" t="s">
        <v>2910</v>
      </c>
      <c r="D358" s="50" t="s">
        <v>2911</v>
      </c>
      <c r="E358" s="51" t="s">
        <v>187</v>
      </c>
      <c r="F358" s="30">
        <v>7.5</v>
      </c>
      <c r="G358" s="30">
        <v>2.5</v>
      </c>
      <c r="H358" s="30">
        <f>IF(G358&gt;0,(G358*1.5)+F358,"YOK")</f>
        <v>11.25</v>
      </c>
      <c r="I358" s="227" t="s">
        <v>70</v>
      </c>
      <c r="J358" s="31"/>
      <c r="K358" s="32">
        <v>0</v>
      </c>
      <c r="L358" s="32"/>
      <c r="M358" s="33">
        <v>1</v>
      </c>
      <c r="N358"/>
    </row>
    <row r="359" spans="1:14" s="21" customFormat="1" ht="39.950000000000003" customHeight="1">
      <c r="A359" s="9">
        <v>193</v>
      </c>
      <c r="B359" s="222">
        <v>5869</v>
      </c>
      <c r="C359" s="185" t="s">
        <v>1384</v>
      </c>
      <c r="D359" s="50" t="s">
        <v>1385</v>
      </c>
      <c r="E359" s="51" t="s">
        <v>187</v>
      </c>
      <c r="F359" s="30">
        <v>7.5</v>
      </c>
      <c r="G359" s="30">
        <v>2.5</v>
      </c>
      <c r="H359" s="30">
        <f t="shared" ref="H359" si="73">IF(G359&gt;0,(G359*1.5)+F359,"YOK")</f>
        <v>11.25</v>
      </c>
      <c r="I359" s="227" t="s">
        <v>118</v>
      </c>
      <c r="J359" s="31"/>
      <c r="K359" s="32">
        <v>0</v>
      </c>
      <c r="L359" s="32"/>
      <c r="M359" s="33">
        <v>1</v>
      </c>
      <c r="N359"/>
    </row>
    <row r="360" spans="1:14" s="21" customFormat="1" ht="39.950000000000003" customHeight="1">
      <c r="A360" s="9">
        <v>194</v>
      </c>
      <c r="B360" s="222">
        <v>4892</v>
      </c>
      <c r="C360" s="185" t="s">
        <v>213</v>
      </c>
      <c r="D360" s="50" t="s">
        <v>214</v>
      </c>
      <c r="E360" s="51" t="s">
        <v>187</v>
      </c>
      <c r="F360" s="30">
        <v>7.5</v>
      </c>
      <c r="G360" s="30">
        <v>2.5</v>
      </c>
      <c r="H360" s="30">
        <f>IF(G360&gt;0,(G360*1.5)+F360,"YOK")</f>
        <v>11.25</v>
      </c>
      <c r="I360" s="227" t="s">
        <v>118</v>
      </c>
      <c r="J360" s="31"/>
      <c r="K360" s="32">
        <v>0</v>
      </c>
      <c r="L360" s="32"/>
      <c r="M360" s="33">
        <v>1</v>
      </c>
      <c r="N360"/>
    </row>
    <row r="361" spans="1:14" s="21" customFormat="1" ht="39.950000000000003" customHeight="1">
      <c r="A361" s="9">
        <v>195</v>
      </c>
      <c r="B361" s="222">
        <v>6243</v>
      </c>
      <c r="C361" s="50" t="s">
        <v>2162</v>
      </c>
      <c r="D361" s="50" t="s">
        <v>2163</v>
      </c>
      <c r="E361" s="51" t="s">
        <v>187</v>
      </c>
      <c r="F361" s="30">
        <v>7.5</v>
      </c>
      <c r="G361" s="30">
        <v>2.5</v>
      </c>
      <c r="H361" s="30">
        <f t="shared" ref="H361" si="74">IF(G361&gt;0,(G361*1.5)+F361,"YOK")</f>
        <v>11.25</v>
      </c>
      <c r="I361" s="227" t="s">
        <v>118</v>
      </c>
      <c r="J361" s="31"/>
      <c r="K361" s="32">
        <v>0</v>
      </c>
      <c r="L361" s="32"/>
      <c r="M361" s="33">
        <v>1</v>
      </c>
      <c r="N361"/>
    </row>
    <row r="362" spans="1:14" s="21" customFormat="1" ht="39.950000000000003" customHeight="1">
      <c r="A362" s="9">
        <v>196</v>
      </c>
      <c r="B362" s="222">
        <v>5689</v>
      </c>
      <c r="C362" s="185" t="s">
        <v>1150</v>
      </c>
      <c r="D362" s="185" t="s">
        <v>1151</v>
      </c>
      <c r="E362" s="51" t="s">
        <v>187</v>
      </c>
      <c r="F362" s="30">
        <v>7.5</v>
      </c>
      <c r="G362" s="30">
        <v>2.5</v>
      </c>
      <c r="H362" s="30">
        <f t="shared" ref="H362" si="75">IF(G362&gt;0,(G362*1.5)+F362,"YOK")</f>
        <v>11.25</v>
      </c>
      <c r="I362" s="227" t="s">
        <v>1354</v>
      </c>
      <c r="J362" s="31"/>
      <c r="K362" s="32">
        <v>0</v>
      </c>
      <c r="L362" s="32"/>
      <c r="M362" s="33">
        <v>1</v>
      </c>
      <c r="N362"/>
    </row>
    <row r="363" spans="1:14" s="21" customFormat="1" ht="39.950000000000003" customHeight="1">
      <c r="A363" s="9">
        <v>197</v>
      </c>
      <c r="B363" s="222">
        <v>6353</v>
      </c>
      <c r="C363" s="50" t="s">
        <v>2397</v>
      </c>
      <c r="D363" s="50" t="s">
        <v>3001</v>
      </c>
      <c r="E363" s="51" t="s">
        <v>187</v>
      </c>
      <c r="F363" s="30">
        <v>7.5</v>
      </c>
      <c r="G363" s="30">
        <v>2.5</v>
      </c>
      <c r="H363" s="30">
        <f t="shared" ref="H363" si="76">IF(G363&gt;0,(G363*1.5)+F363,"YOK")</f>
        <v>11.25</v>
      </c>
      <c r="I363" s="227" t="s">
        <v>104</v>
      </c>
      <c r="J363" s="31"/>
      <c r="K363" s="32">
        <v>0</v>
      </c>
      <c r="L363" s="32"/>
      <c r="M363" s="33">
        <v>1</v>
      </c>
      <c r="N363"/>
    </row>
    <row r="364" spans="1:14" s="21" customFormat="1" ht="39.950000000000003" customHeight="1">
      <c r="A364" s="9">
        <v>198</v>
      </c>
      <c r="B364" s="222">
        <v>6730</v>
      </c>
      <c r="C364" s="185" t="s">
        <v>3226</v>
      </c>
      <c r="D364" s="50" t="s">
        <v>3227</v>
      </c>
      <c r="E364" s="51" t="s">
        <v>187</v>
      </c>
      <c r="F364" s="30">
        <v>7.5</v>
      </c>
      <c r="G364" s="30">
        <v>2.5</v>
      </c>
      <c r="H364" s="30">
        <f t="shared" ref="H364:H380" si="77">IF(G364&gt;0,(G364*1.5)+F364,"YOK")</f>
        <v>11.25</v>
      </c>
      <c r="I364" s="47" t="s">
        <v>132</v>
      </c>
      <c r="J364" s="31"/>
      <c r="K364" s="32">
        <v>1</v>
      </c>
      <c r="L364" s="32">
        <v>1</v>
      </c>
      <c r="M364" s="33"/>
      <c r="N364"/>
    </row>
    <row r="365" spans="1:14" s="21" customFormat="1" ht="39.950000000000003" customHeight="1">
      <c r="A365" s="9">
        <v>199</v>
      </c>
      <c r="B365" s="222">
        <v>6731</v>
      </c>
      <c r="C365" s="185" t="s">
        <v>3228</v>
      </c>
      <c r="D365" s="50" t="s">
        <v>3229</v>
      </c>
      <c r="E365" s="51" t="s">
        <v>187</v>
      </c>
      <c r="F365" s="30">
        <v>7.5</v>
      </c>
      <c r="G365" s="30">
        <v>2.5</v>
      </c>
      <c r="H365" s="30">
        <f t="shared" si="77"/>
        <v>11.25</v>
      </c>
      <c r="I365" s="47" t="s">
        <v>132</v>
      </c>
      <c r="J365" s="31"/>
      <c r="K365" s="32">
        <v>1</v>
      </c>
      <c r="L365" s="32">
        <v>1</v>
      </c>
      <c r="M365" s="33"/>
      <c r="N365"/>
    </row>
    <row r="366" spans="1:14" s="21" customFormat="1" ht="39.950000000000003" customHeight="1">
      <c r="A366" s="9">
        <v>200</v>
      </c>
      <c r="B366" s="222">
        <v>6732</v>
      </c>
      <c r="C366" s="185" t="s">
        <v>3230</v>
      </c>
      <c r="D366" s="50" t="s">
        <v>3231</v>
      </c>
      <c r="E366" s="51" t="s">
        <v>187</v>
      </c>
      <c r="F366" s="30">
        <v>7.5</v>
      </c>
      <c r="G366" s="30">
        <v>2.5</v>
      </c>
      <c r="H366" s="30">
        <f t="shared" si="77"/>
        <v>11.25</v>
      </c>
      <c r="I366" s="47" t="s">
        <v>132</v>
      </c>
      <c r="J366" s="31"/>
      <c r="K366" s="32">
        <v>1</v>
      </c>
      <c r="L366" s="32">
        <v>1</v>
      </c>
      <c r="M366" s="33"/>
      <c r="N366"/>
    </row>
    <row r="367" spans="1:14" s="21" customFormat="1" ht="39.950000000000003" customHeight="1">
      <c r="A367" s="9">
        <v>201</v>
      </c>
      <c r="B367" s="222">
        <v>6733</v>
      </c>
      <c r="C367" s="185" t="s">
        <v>3232</v>
      </c>
      <c r="D367" s="50" t="s">
        <v>3233</v>
      </c>
      <c r="E367" s="51" t="s">
        <v>187</v>
      </c>
      <c r="F367" s="30">
        <v>7.5</v>
      </c>
      <c r="G367" s="30">
        <v>2.5</v>
      </c>
      <c r="H367" s="30">
        <f t="shared" si="77"/>
        <v>11.25</v>
      </c>
      <c r="I367" s="47" t="s">
        <v>132</v>
      </c>
      <c r="J367" s="31"/>
      <c r="K367" s="32">
        <v>1</v>
      </c>
      <c r="L367" s="32">
        <v>1</v>
      </c>
      <c r="M367" s="33"/>
      <c r="N367"/>
    </row>
    <row r="368" spans="1:14" s="21" customFormat="1" ht="39.950000000000003" customHeight="1">
      <c r="A368" s="9">
        <v>202</v>
      </c>
      <c r="B368" s="222">
        <v>6736</v>
      </c>
      <c r="C368" s="185" t="s">
        <v>3238</v>
      </c>
      <c r="D368" s="50" t="s">
        <v>3239</v>
      </c>
      <c r="E368" s="51" t="s">
        <v>187</v>
      </c>
      <c r="F368" s="30">
        <v>7.5</v>
      </c>
      <c r="G368" s="30">
        <v>2.5</v>
      </c>
      <c r="H368" s="30">
        <f t="shared" si="77"/>
        <v>11.25</v>
      </c>
      <c r="I368" s="47" t="s">
        <v>132</v>
      </c>
      <c r="J368" s="31"/>
      <c r="K368" s="32">
        <v>1</v>
      </c>
      <c r="L368" s="32">
        <v>1</v>
      </c>
      <c r="M368" s="33"/>
      <c r="N368"/>
    </row>
    <row r="369" spans="1:16" s="21" customFormat="1" ht="39.950000000000003" customHeight="1">
      <c r="A369" s="9">
        <v>203</v>
      </c>
      <c r="B369" s="222">
        <v>6737</v>
      </c>
      <c r="C369" s="185" t="s">
        <v>3240</v>
      </c>
      <c r="D369" s="50" t="s">
        <v>3241</v>
      </c>
      <c r="E369" s="51" t="s">
        <v>187</v>
      </c>
      <c r="F369" s="30">
        <v>7.5</v>
      </c>
      <c r="G369" s="30">
        <v>2.5</v>
      </c>
      <c r="H369" s="30">
        <f t="shared" si="77"/>
        <v>11.25</v>
      </c>
      <c r="I369" s="47" t="s">
        <v>132</v>
      </c>
      <c r="J369" s="31"/>
      <c r="K369" s="32">
        <v>1</v>
      </c>
      <c r="L369" s="32">
        <v>1</v>
      </c>
      <c r="M369" s="33"/>
      <c r="N369"/>
    </row>
    <row r="370" spans="1:16" s="21" customFormat="1" ht="39.950000000000003" customHeight="1">
      <c r="A370" s="9">
        <v>204</v>
      </c>
      <c r="B370" s="222">
        <v>6738</v>
      </c>
      <c r="C370" s="185" t="s">
        <v>3242</v>
      </c>
      <c r="D370" s="50" t="s">
        <v>3243</v>
      </c>
      <c r="E370" s="51" t="s">
        <v>187</v>
      </c>
      <c r="F370" s="30">
        <v>7.5</v>
      </c>
      <c r="G370" s="30">
        <v>2.5</v>
      </c>
      <c r="H370" s="30">
        <f t="shared" si="77"/>
        <v>11.25</v>
      </c>
      <c r="I370" s="47" t="s">
        <v>132</v>
      </c>
      <c r="J370" s="31"/>
      <c r="K370" s="32">
        <v>1</v>
      </c>
      <c r="L370" s="32">
        <v>1</v>
      </c>
      <c r="M370" s="33"/>
      <c r="N370"/>
    </row>
    <row r="371" spans="1:16" s="21" customFormat="1" ht="39.950000000000003" customHeight="1">
      <c r="A371" s="9">
        <v>205</v>
      </c>
      <c r="B371" s="222">
        <v>6739</v>
      </c>
      <c r="C371" s="185" t="s">
        <v>3244</v>
      </c>
      <c r="D371" s="50" t="s">
        <v>3245</v>
      </c>
      <c r="E371" s="51" t="s">
        <v>187</v>
      </c>
      <c r="F371" s="30">
        <v>7.5</v>
      </c>
      <c r="G371" s="30">
        <v>2.5</v>
      </c>
      <c r="H371" s="30">
        <f t="shared" si="77"/>
        <v>11.25</v>
      </c>
      <c r="I371" s="47" t="s">
        <v>132</v>
      </c>
      <c r="J371" s="31"/>
      <c r="K371" s="32">
        <v>1</v>
      </c>
      <c r="L371" s="32">
        <v>1</v>
      </c>
      <c r="M371" s="33"/>
      <c r="N371"/>
    </row>
    <row r="372" spans="1:16" s="21" customFormat="1" ht="39.950000000000003" customHeight="1">
      <c r="A372" s="9">
        <v>206</v>
      </c>
      <c r="B372" s="222">
        <v>6779</v>
      </c>
      <c r="C372" s="185" t="s">
        <v>3372</v>
      </c>
      <c r="D372" s="50" t="s">
        <v>3373</v>
      </c>
      <c r="E372" s="51" t="s">
        <v>187</v>
      </c>
      <c r="F372" s="30">
        <v>7.5</v>
      </c>
      <c r="G372" s="30">
        <v>2.5</v>
      </c>
      <c r="H372" s="30">
        <f t="shared" ref="H372:H378" si="78">IF(G372&gt;0,(G372*1.5)+F372,"YOK")</f>
        <v>11.25</v>
      </c>
      <c r="I372" s="47" t="s">
        <v>132</v>
      </c>
      <c r="J372" s="31"/>
      <c r="K372" s="32">
        <v>1</v>
      </c>
      <c r="L372" s="32">
        <v>1</v>
      </c>
      <c r="M372" s="33"/>
      <c r="N372"/>
    </row>
    <row r="373" spans="1:16" s="21" customFormat="1" ht="39.950000000000003" customHeight="1">
      <c r="A373" s="9">
        <v>207</v>
      </c>
      <c r="B373" s="222">
        <v>6780</v>
      </c>
      <c r="C373" s="185" t="s">
        <v>3374</v>
      </c>
      <c r="D373" s="50" t="s">
        <v>3375</v>
      </c>
      <c r="E373" s="51" t="s">
        <v>187</v>
      </c>
      <c r="F373" s="30">
        <v>7.5</v>
      </c>
      <c r="G373" s="30">
        <v>2.5</v>
      </c>
      <c r="H373" s="30">
        <f t="shared" si="78"/>
        <v>11.25</v>
      </c>
      <c r="I373" s="47" t="s">
        <v>132</v>
      </c>
      <c r="J373" s="31"/>
      <c r="K373" s="32">
        <v>1</v>
      </c>
      <c r="L373" s="32">
        <v>1</v>
      </c>
      <c r="M373" s="33"/>
      <c r="N373"/>
    </row>
    <row r="374" spans="1:16" s="21" customFormat="1" ht="39.950000000000003" customHeight="1">
      <c r="A374" s="9">
        <v>208</v>
      </c>
      <c r="B374" s="222">
        <v>6781</v>
      </c>
      <c r="C374" s="185" t="s">
        <v>3376</v>
      </c>
      <c r="D374" s="50" t="s">
        <v>3377</v>
      </c>
      <c r="E374" s="51" t="s">
        <v>187</v>
      </c>
      <c r="F374" s="30">
        <v>7.5</v>
      </c>
      <c r="G374" s="30">
        <v>2.5</v>
      </c>
      <c r="H374" s="30">
        <f t="shared" si="78"/>
        <v>11.25</v>
      </c>
      <c r="I374" s="47" t="s">
        <v>132</v>
      </c>
      <c r="J374" s="31"/>
      <c r="K374" s="32">
        <v>1</v>
      </c>
      <c r="L374" s="32">
        <v>1</v>
      </c>
      <c r="M374" s="33"/>
      <c r="N374"/>
    </row>
    <row r="375" spans="1:16" s="21" customFormat="1" ht="39.950000000000003" customHeight="1">
      <c r="A375" s="9">
        <v>209</v>
      </c>
      <c r="B375" s="222">
        <v>6809</v>
      </c>
      <c r="C375" s="185" t="s">
        <v>3386</v>
      </c>
      <c r="D375" s="50" t="s">
        <v>3387</v>
      </c>
      <c r="E375" s="51" t="s">
        <v>187</v>
      </c>
      <c r="F375" s="30">
        <v>7.5</v>
      </c>
      <c r="G375" s="30">
        <v>2.5</v>
      </c>
      <c r="H375" s="30">
        <f t="shared" si="78"/>
        <v>11.25</v>
      </c>
      <c r="I375" s="47" t="s">
        <v>132</v>
      </c>
      <c r="J375" s="31"/>
      <c r="K375" s="32">
        <v>1</v>
      </c>
      <c r="L375" s="32">
        <v>1</v>
      </c>
      <c r="M375" s="33"/>
      <c r="N375"/>
    </row>
    <row r="376" spans="1:16" s="21" customFormat="1" ht="39.950000000000003" customHeight="1">
      <c r="A376" s="9">
        <v>210</v>
      </c>
      <c r="B376" s="222">
        <v>6810</v>
      </c>
      <c r="C376" s="185" t="s">
        <v>3388</v>
      </c>
      <c r="D376" s="50" t="s">
        <v>3389</v>
      </c>
      <c r="E376" s="51" t="s">
        <v>187</v>
      </c>
      <c r="F376" s="30">
        <v>7.5</v>
      </c>
      <c r="G376" s="30">
        <v>2.5</v>
      </c>
      <c r="H376" s="30">
        <f t="shared" si="78"/>
        <v>11.25</v>
      </c>
      <c r="I376" s="47" t="s">
        <v>132</v>
      </c>
      <c r="J376" s="31"/>
      <c r="K376" s="32">
        <v>1</v>
      </c>
      <c r="L376" s="32">
        <v>1</v>
      </c>
      <c r="M376" s="33"/>
      <c r="N376"/>
    </row>
    <row r="377" spans="1:16" s="21" customFormat="1" ht="39.950000000000003" customHeight="1">
      <c r="A377" s="9">
        <v>211</v>
      </c>
      <c r="B377" s="222">
        <v>6839</v>
      </c>
      <c r="C377" s="185" t="s">
        <v>3653</v>
      </c>
      <c r="D377" s="50" t="s">
        <v>3654</v>
      </c>
      <c r="E377" s="51" t="s">
        <v>187</v>
      </c>
      <c r="F377" s="30">
        <v>7.5</v>
      </c>
      <c r="G377" s="30">
        <v>2.5</v>
      </c>
      <c r="H377" s="30">
        <f t="shared" si="78"/>
        <v>11.25</v>
      </c>
      <c r="I377" s="47" t="s">
        <v>132</v>
      </c>
      <c r="J377" s="31"/>
      <c r="K377" s="32">
        <v>1</v>
      </c>
      <c r="L377" s="32">
        <v>1</v>
      </c>
      <c r="M377" s="33"/>
      <c r="N377"/>
    </row>
    <row r="378" spans="1:16" s="21" customFormat="1" ht="39.950000000000003" customHeight="1">
      <c r="A378" s="9">
        <v>212</v>
      </c>
      <c r="B378" s="222">
        <v>6840</v>
      </c>
      <c r="C378" s="185" t="s">
        <v>3655</v>
      </c>
      <c r="D378" s="50" t="s">
        <v>3656</v>
      </c>
      <c r="E378" s="51" t="s">
        <v>187</v>
      </c>
      <c r="F378" s="30">
        <v>7.5</v>
      </c>
      <c r="G378" s="30">
        <v>2.5</v>
      </c>
      <c r="H378" s="30">
        <f t="shared" si="78"/>
        <v>11.25</v>
      </c>
      <c r="I378" s="47" t="s">
        <v>132</v>
      </c>
      <c r="J378" s="31"/>
      <c r="K378" s="32">
        <v>1</v>
      </c>
      <c r="L378" s="32">
        <v>1</v>
      </c>
      <c r="M378" s="33"/>
      <c r="N378"/>
    </row>
    <row r="379" spans="1:16" s="21" customFormat="1" ht="39.950000000000003" customHeight="1">
      <c r="A379" s="9">
        <v>213</v>
      </c>
      <c r="B379" s="222">
        <v>5614</v>
      </c>
      <c r="C379" s="50" t="s">
        <v>1020</v>
      </c>
      <c r="D379" s="50" t="s">
        <v>1021</v>
      </c>
      <c r="E379" s="51" t="s">
        <v>187</v>
      </c>
      <c r="F379" s="30">
        <v>7.5</v>
      </c>
      <c r="G379" s="30">
        <v>2.5</v>
      </c>
      <c r="H379" s="30">
        <f t="shared" si="77"/>
        <v>11.25</v>
      </c>
      <c r="I379" s="47" t="s">
        <v>132</v>
      </c>
      <c r="J379" s="31"/>
      <c r="K379" s="32">
        <v>1</v>
      </c>
      <c r="L379" s="32">
        <v>1</v>
      </c>
      <c r="M379" s="33"/>
      <c r="N379" s="33"/>
    </row>
    <row r="380" spans="1:16" s="21" customFormat="1" ht="39.950000000000003" customHeight="1">
      <c r="A380" s="9">
        <v>214</v>
      </c>
      <c r="B380" s="222">
        <v>5800</v>
      </c>
      <c r="C380" s="185" t="s">
        <v>1250</v>
      </c>
      <c r="D380" s="50" t="s">
        <v>1251</v>
      </c>
      <c r="E380" s="51" t="s">
        <v>187</v>
      </c>
      <c r="F380" s="30">
        <v>7.5</v>
      </c>
      <c r="G380" s="30">
        <v>2.5</v>
      </c>
      <c r="H380" s="30">
        <f t="shared" si="77"/>
        <v>11.25</v>
      </c>
      <c r="I380" s="47" t="s">
        <v>132</v>
      </c>
      <c r="J380" s="31"/>
      <c r="K380" s="32">
        <v>1</v>
      </c>
      <c r="L380" s="32">
        <v>1</v>
      </c>
      <c r="M380" s="33"/>
      <c r="N380"/>
    </row>
    <row r="381" spans="1:16" s="21" customFormat="1" ht="39.950000000000003" customHeight="1">
      <c r="A381" s="9">
        <v>215</v>
      </c>
      <c r="B381" s="222">
        <v>5150</v>
      </c>
      <c r="C381" s="50" t="s">
        <v>205</v>
      </c>
      <c r="D381" s="50" t="s">
        <v>206</v>
      </c>
      <c r="E381" s="51" t="s">
        <v>187</v>
      </c>
      <c r="F381" s="30">
        <v>7.5</v>
      </c>
      <c r="G381" s="30">
        <v>2.5</v>
      </c>
      <c r="H381" s="30">
        <f t="shared" ref="H381" si="79">IF(G381&gt;0,(G381*1.5)+F381,"YOK")</f>
        <v>11.25</v>
      </c>
      <c r="I381" s="47" t="s">
        <v>132</v>
      </c>
      <c r="J381" s="31"/>
      <c r="K381" s="32">
        <v>1</v>
      </c>
      <c r="L381" s="32">
        <v>1</v>
      </c>
      <c r="M381" s="33"/>
      <c r="N381" s="33"/>
    </row>
    <row r="382" spans="1:16" ht="39.950000000000003" customHeight="1">
      <c r="A382" s="40"/>
      <c r="B382" s="262" t="s">
        <v>219</v>
      </c>
      <c r="C382" s="263"/>
      <c r="D382" s="264"/>
      <c r="E382" s="46"/>
      <c r="F382" s="41"/>
      <c r="G382" s="41"/>
      <c r="H382" s="41"/>
      <c r="I382" s="42"/>
      <c r="J382" s="43">
        <f>SUM(J167:J381)</f>
        <v>19</v>
      </c>
      <c r="K382" s="43">
        <f>SUM(K167:K381)</f>
        <v>180</v>
      </c>
      <c r="L382" s="43">
        <f>SUM(L167:L381)</f>
        <v>22</v>
      </c>
      <c r="M382" s="43">
        <f>SUM(M167:M381)</f>
        <v>16</v>
      </c>
      <c r="N382" s="33"/>
      <c r="O382" s="21"/>
      <c r="P382" s="21"/>
    </row>
    <row r="383" spans="1:16" s="21" customFormat="1" ht="39.950000000000003" customHeight="1">
      <c r="A383" s="9">
        <v>1</v>
      </c>
      <c r="B383" s="207">
        <v>2041</v>
      </c>
      <c r="C383" s="11" t="s">
        <v>1103</v>
      </c>
      <c r="D383" s="11" t="s">
        <v>1104</v>
      </c>
      <c r="E383" s="12" t="s">
        <v>220</v>
      </c>
      <c r="F383" s="30" t="s">
        <v>17</v>
      </c>
      <c r="G383" s="30"/>
      <c r="H383" s="30"/>
      <c r="I383" s="224"/>
      <c r="J383" s="31"/>
      <c r="K383" s="32">
        <v>1</v>
      </c>
      <c r="L383" s="32"/>
      <c r="M383" s="33"/>
      <c r="N383" s="33"/>
    </row>
    <row r="384" spans="1:16" s="21" customFormat="1" ht="39.950000000000003" customHeight="1">
      <c r="A384" s="9">
        <v>2</v>
      </c>
      <c r="B384" s="207">
        <v>2040</v>
      </c>
      <c r="C384" s="11" t="s">
        <v>1357</v>
      </c>
      <c r="D384" s="11" t="s">
        <v>1358</v>
      </c>
      <c r="E384" s="12" t="s">
        <v>220</v>
      </c>
      <c r="F384" s="30" t="s">
        <v>17</v>
      </c>
      <c r="G384" s="30"/>
      <c r="H384" s="30"/>
      <c r="I384" s="224"/>
      <c r="J384" s="31"/>
      <c r="K384" s="32">
        <v>1</v>
      </c>
      <c r="L384" s="32"/>
      <c r="M384" s="33"/>
      <c r="N384" s="33"/>
    </row>
    <row r="385" spans="1:14" s="21" customFormat="1" ht="39.950000000000003" customHeight="1">
      <c r="A385" s="9">
        <v>3</v>
      </c>
      <c r="B385" s="207">
        <v>2049</v>
      </c>
      <c r="C385" s="11" t="s">
        <v>3056</v>
      </c>
      <c r="D385" s="11" t="s">
        <v>3057</v>
      </c>
      <c r="E385" s="12" t="s">
        <v>220</v>
      </c>
      <c r="F385" s="30" t="s">
        <v>17</v>
      </c>
      <c r="G385" s="30"/>
      <c r="H385" s="30"/>
      <c r="I385" s="224"/>
      <c r="J385" s="31"/>
      <c r="K385" s="32">
        <v>1</v>
      </c>
      <c r="L385" s="32"/>
      <c r="M385" s="33"/>
      <c r="N385" s="33"/>
    </row>
    <row r="386" spans="1:14" s="21" customFormat="1" ht="39.950000000000003" customHeight="1">
      <c r="A386" s="9">
        <v>4</v>
      </c>
      <c r="B386" s="207">
        <v>6177</v>
      </c>
      <c r="C386" s="11" t="s">
        <v>2044</v>
      </c>
      <c r="D386" s="11" t="s">
        <v>2045</v>
      </c>
      <c r="E386" s="12" t="s">
        <v>220</v>
      </c>
      <c r="F386" s="30" t="s">
        <v>17</v>
      </c>
      <c r="G386" s="30"/>
      <c r="H386" s="30"/>
      <c r="I386" s="224"/>
      <c r="J386" s="31"/>
      <c r="K386" s="32">
        <v>1</v>
      </c>
      <c r="L386" s="32"/>
      <c r="M386" s="33"/>
      <c r="N386" s="33"/>
    </row>
    <row r="387" spans="1:14" s="21" customFormat="1" ht="39.950000000000003" customHeight="1">
      <c r="A387" s="9">
        <v>5</v>
      </c>
      <c r="B387" s="222">
        <v>5756</v>
      </c>
      <c r="C387" s="11" t="s">
        <v>1213</v>
      </c>
      <c r="D387" s="11" t="s">
        <v>1214</v>
      </c>
      <c r="E387" s="12" t="s">
        <v>223</v>
      </c>
      <c r="F387" s="30" t="s">
        <v>17</v>
      </c>
      <c r="G387" s="30"/>
      <c r="H387" s="30"/>
      <c r="I387" s="224"/>
      <c r="J387" s="31"/>
      <c r="K387" s="32">
        <v>1</v>
      </c>
      <c r="L387" s="32"/>
      <c r="M387" s="33"/>
      <c r="N387" s="33"/>
    </row>
    <row r="388" spans="1:14" s="21" customFormat="1" ht="39.950000000000003" customHeight="1">
      <c r="A388" s="9">
        <v>6</v>
      </c>
      <c r="B388" s="207">
        <v>6086</v>
      </c>
      <c r="C388" s="11" t="s">
        <v>1790</v>
      </c>
      <c r="D388" s="11" t="s">
        <v>1791</v>
      </c>
      <c r="E388" s="12" t="s">
        <v>223</v>
      </c>
      <c r="F388" s="30" t="s">
        <v>17</v>
      </c>
      <c r="G388" s="30"/>
      <c r="H388" s="30"/>
      <c r="I388" s="16"/>
      <c r="J388" s="31"/>
      <c r="K388" s="32">
        <v>1</v>
      </c>
      <c r="L388" s="32"/>
      <c r="M388" s="33"/>
      <c r="N388" s="33"/>
    </row>
    <row r="389" spans="1:14" s="21" customFormat="1" ht="39.950000000000003" customHeight="1">
      <c r="A389" s="9">
        <v>7</v>
      </c>
      <c r="B389" s="207">
        <v>6470</v>
      </c>
      <c r="C389" s="231" t="s">
        <v>2575</v>
      </c>
      <c r="D389" s="11" t="s">
        <v>2576</v>
      </c>
      <c r="E389" s="12" t="s">
        <v>223</v>
      </c>
      <c r="F389" s="30" t="s">
        <v>17</v>
      </c>
      <c r="G389" s="30"/>
      <c r="H389" s="30"/>
      <c r="I389" s="16"/>
      <c r="J389" s="31"/>
      <c r="K389" s="32">
        <v>1</v>
      </c>
      <c r="L389" s="32"/>
      <c r="M389" s="33"/>
      <c r="N389" s="33"/>
    </row>
    <row r="390" spans="1:14" s="21" customFormat="1" ht="39.950000000000003" customHeight="1">
      <c r="A390" s="9">
        <v>8</v>
      </c>
      <c r="B390" s="207">
        <v>6665</v>
      </c>
      <c r="C390" s="231" t="s">
        <v>2942</v>
      </c>
      <c r="D390" s="11" t="s">
        <v>2943</v>
      </c>
      <c r="E390" s="12" t="s">
        <v>223</v>
      </c>
      <c r="F390" s="30" t="s">
        <v>17</v>
      </c>
      <c r="G390" s="30"/>
      <c r="H390" s="30"/>
      <c r="I390" s="16"/>
      <c r="J390" s="31"/>
      <c r="K390" s="32">
        <v>1</v>
      </c>
      <c r="L390" s="32"/>
      <c r="M390" s="33"/>
      <c r="N390" s="33"/>
    </row>
    <row r="391" spans="1:14" s="21" customFormat="1" ht="39.950000000000003" customHeight="1">
      <c r="A391" s="9">
        <v>9</v>
      </c>
      <c r="B391" s="207" t="s">
        <v>979</v>
      </c>
      <c r="C391" s="231" t="s">
        <v>1811</v>
      </c>
      <c r="D391" s="11" t="s">
        <v>1812</v>
      </c>
      <c r="E391" s="12" t="s">
        <v>223</v>
      </c>
      <c r="F391" s="30">
        <v>0</v>
      </c>
      <c r="G391" s="30">
        <v>0</v>
      </c>
      <c r="H391" s="30" t="s">
        <v>1356</v>
      </c>
      <c r="I391" s="224" t="s">
        <v>3669</v>
      </c>
      <c r="J391" s="31">
        <v>1</v>
      </c>
      <c r="K391" s="32">
        <v>0</v>
      </c>
      <c r="L391" s="32"/>
      <c r="M391" s="33"/>
      <c r="N391" s="33"/>
    </row>
    <row r="392" spans="1:14" s="21" customFormat="1" ht="39.950000000000003" customHeight="1">
      <c r="A392" s="9">
        <v>10</v>
      </c>
      <c r="B392" s="207" t="s">
        <v>979</v>
      </c>
      <c r="C392" s="231" t="s">
        <v>1475</v>
      </c>
      <c r="D392" s="11" t="s">
        <v>1472</v>
      </c>
      <c r="E392" s="12" t="s">
        <v>224</v>
      </c>
      <c r="F392" s="30">
        <v>7.5</v>
      </c>
      <c r="G392" s="30">
        <v>2.5</v>
      </c>
      <c r="H392" s="30">
        <f t="shared" ref="H392" si="80">IF(G392&gt;0,(G392*1.5)+F392,"YOK")</f>
        <v>11.25</v>
      </c>
      <c r="I392" s="22" t="s">
        <v>1102</v>
      </c>
      <c r="J392" s="31"/>
      <c r="K392" s="32">
        <v>1</v>
      </c>
      <c r="L392" s="32"/>
      <c r="M392" s="33"/>
      <c r="N392" s="33"/>
    </row>
    <row r="393" spans="1:14" s="21" customFormat="1" ht="39.950000000000003" customHeight="1">
      <c r="A393" s="9">
        <v>11</v>
      </c>
      <c r="B393" s="207" t="s">
        <v>979</v>
      </c>
      <c r="C393" s="231" t="s">
        <v>1476</v>
      </c>
      <c r="D393" s="11" t="s">
        <v>1473</v>
      </c>
      <c r="E393" s="12" t="s">
        <v>224</v>
      </c>
      <c r="F393" s="30">
        <v>7.5</v>
      </c>
      <c r="G393" s="30">
        <v>2.5</v>
      </c>
      <c r="H393" s="30">
        <f t="shared" ref="H393" si="81">IF(G393&gt;0,(G393*1.5)+F393,"YOK")</f>
        <v>11.25</v>
      </c>
      <c r="I393" s="22" t="s">
        <v>1102</v>
      </c>
      <c r="J393" s="31"/>
      <c r="K393" s="32">
        <v>1</v>
      </c>
      <c r="L393" s="32"/>
      <c r="M393" s="33"/>
      <c r="N393" s="33"/>
    </row>
    <row r="394" spans="1:14" s="21" customFormat="1" ht="39.950000000000003" customHeight="1">
      <c r="A394" s="9">
        <v>12</v>
      </c>
      <c r="B394" s="207" t="s">
        <v>979</v>
      </c>
      <c r="C394" s="231" t="s">
        <v>1477</v>
      </c>
      <c r="D394" s="11" t="s">
        <v>1474</v>
      </c>
      <c r="E394" s="12" t="s">
        <v>224</v>
      </c>
      <c r="F394" s="30">
        <v>7.5</v>
      </c>
      <c r="G394" s="30">
        <v>2.5</v>
      </c>
      <c r="H394" s="30">
        <f t="shared" ref="H394" si="82">IF(G394&gt;0,(G394*1.5)+F394,"YOK")</f>
        <v>11.25</v>
      </c>
      <c r="I394" s="22" t="s">
        <v>1102</v>
      </c>
      <c r="J394" s="31"/>
      <c r="K394" s="32">
        <v>1</v>
      </c>
      <c r="L394" s="32"/>
      <c r="M394" s="33"/>
      <c r="N394" s="33"/>
    </row>
    <row r="395" spans="1:14" s="21" customFormat="1" ht="39.950000000000003" customHeight="1">
      <c r="A395" s="9">
        <v>13</v>
      </c>
      <c r="B395" s="207" t="s">
        <v>979</v>
      </c>
      <c r="C395" s="231" t="s">
        <v>3105</v>
      </c>
      <c r="D395" s="11" t="s">
        <v>3106</v>
      </c>
      <c r="E395" s="12" t="s">
        <v>224</v>
      </c>
      <c r="F395" s="30">
        <v>7.5</v>
      </c>
      <c r="G395" s="30">
        <v>2.5</v>
      </c>
      <c r="H395" s="30">
        <f t="shared" ref="H395:H402" si="83">IF(G395&gt;0,(G395*1.5)+F395,"YOK")</f>
        <v>11.25</v>
      </c>
      <c r="I395" s="22" t="s">
        <v>1102</v>
      </c>
      <c r="J395" s="31"/>
      <c r="K395" s="32">
        <v>1</v>
      </c>
      <c r="L395" s="32"/>
      <c r="M395" s="33"/>
      <c r="N395" s="33"/>
    </row>
    <row r="396" spans="1:14" s="21" customFormat="1" ht="39.950000000000003" customHeight="1">
      <c r="A396" s="9">
        <v>14</v>
      </c>
      <c r="B396" s="207" t="s">
        <v>979</v>
      </c>
      <c r="C396" s="231" t="s">
        <v>3107</v>
      </c>
      <c r="D396" s="11" t="s">
        <v>3108</v>
      </c>
      <c r="E396" s="12" t="s">
        <v>224</v>
      </c>
      <c r="F396" s="30">
        <v>7.5</v>
      </c>
      <c r="G396" s="30">
        <v>2.5</v>
      </c>
      <c r="H396" s="30">
        <f t="shared" si="83"/>
        <v>11.25</v>
      </c>
      <c r="I396" s="22" t="s">
        <v>1102</v>
      </c>
      <c r="J396" s="31"/>
      <c r="K396" s="32">
        <v>1</v>
      </c>
      <c r="L396" s="32"/>
      <c r="M396" s="33"/>
      <c r="N396" s="33"/>
    </row>
    <row r="397" spans="1:14" s="21" customFormat="1" ht="39.950000000000003" customHeight="1">
      <c r="A397" s="9">
        <v>15</v>
      </c>
      <c r="B397" s="207" t="s">
        <v>979</v>
      </c>
      <c r="C397" s="231" t="s">
        <v>3109</v>
      </c>
      <c r="D397" s="11" t="s">
        <v>3110</v>
      </c>
      <c r="E397" s="12" t="s">
        <v>224</v>
      </c>
      <c r="F397" s="30">
        <v>7.5</v>
      </c>
      <c r="G397" s="30">
        <v>2.5</v>
      </c>
      <c r="H397" s="30">
        <f t="shared" si="83"/>
        <v>11.25</v>
      </c>
      <c r="I397" s="22" t="s">
        <v>1102</v>
      </c>
      <c r="J397" s="31"/>
      <c r="K397" s="32">
        <v>1</v>
      </c>
      <c r="L397" s="32"/>
      <c r="M397" s="33"/>
      <c r="N397" s="33"/>
    </row>
    <row r="398" spans="1:14" s="21" customFormat="1" ht="39.950000000000003" customHeight="1">
      <c r="A398" s="9">
        <v>16</v>
      </c>
      <c r="B398" s="207" t="s">
        <v>979</v>
      </c>
      <c r="C398" s="231" t="s">
        <v>3111</v>
      </c>
      <c r="D398" s="11" t="s">
        <v>3112</v>
      </c>
      <c r="E398" s="12" t="s">
        <v>224</v>
      </c>
      <c r="F398" s="30">
        <v>7.5</v>
      </c>
      <c r="G398" s="30">
        <v>2.5</v>
      </c>
      <c r="H398" s="30">
        <f t="shared" ref="H398" si="84">IF(G398&gt;0,(G398*1.5)+F398,"YOK")</f>
        <v>11.25</v>
      </c>
      <c r="I398" s="22" t="s">
        <v>1102</v>
      </c>
      <c r="J398" s="31"/>
      <c r="K398" s="32">
        <v>1</v>
      </c>
      <c r="L398" s="32"/>
      <c r="M398" s="33"/>
      <c r="N398" s="33"/>
    </row>
    <row r="399" spans="1:14" s="21" customFormat="1" ht="39.950000000000003" customHeight="1">
      <c r="A399" s="9">
        <v>17</v>
      </c>
      <c r="B399" s="207" t="s">
        <v>979</v>
      </c>
      <c r="C399" s="231" t="s">
        <v>3113</v>
      </c>
      <c r="D399" s="11" t="s">
        <v>3114</v>
      </c>
      <c r="E399" s="12" t="s">
        <v>224</v>
      </c>
      <c r="F399" s="30">
        <v>7.5</v>
      </c>
      <c r="G399" s="30">
        <v>2.5</v>
      </c>
      <c r="H399" s="30">
        <f t="shared" si="83"/>
        <v>11.25</v>
      </c>
      <c r="I399" s="22" t="s">
        <v>1102</v>
      </c>
      <c r="J399" s="31"/>
      <c r="K399" s="32">
        <v>1</v>
      </c>
      <c r="L399" s="32"/>
      <c r="M399" s="33"/>
      <c r="N399" s="33"/>
    </row>
    <row r="400" spans="1:14" s="21" customFormat="1" ht="39.950000000000003" customHeight="1">
      <c r="A400" s="9">
        <v>18</v>
      </c>
      <c r="B400" s="207" t="s">
        <v>979</v>
      </c>
      <c r="C400" s="231" t="s">
        <v>3115</v>
      </c>
      <c r="D400" s="11" t="s">
        <v>3116</v>
      </c>
      <c r="E400" s="12" t="s">
        <v>224</v>
      </c>
      <c r="F400" s="30">
        <v>7.5</v>
      </c>
      <c r="G400" s="30">
        <v>2.5</v>
      </c>
      <c r="H400" s="30">
        <f t="shared" ref="H400" si="85">IF(G400&gt;0,(G400*1.5)+F400,"YOK")</f>
        <v>11.25</v>
      </c>
      <c r="I400" s="22" t="s">
        <v>1102</v>
      </c>
      <c r="J400" s="31"/>
      <c r="K400" s="32">
        <v>1</v>
      </c>
      <c r="L400" s="32"/>
      <c r="M400" s="33"/>
      <c r="N400" s="33"/>
    </row>
    <row r="401" spans="1:16" s="21" customFormat="1" ht="39.950000000000003" customHeight="1">
      <c r="A401" s="9">
        <v>19</v>
      </c>
      <c r="B401" s="207" t="s">
        <v>979</v>
      </c>
      <c r="C401" s="231" t="s">
        <v>3117</v>
      </c>
      <c r="D401" s="11" t="s">
        <v>3118</v>
      </c>
      <c r="E401" s="12" t="s">
        <v>224</v>
      </c>
      <c r="F401" s="30">
        <v>7.5</v>
      </c>
      <c r="G401" s="30">
        <v>2.5</v>
      </c>
      <c r="H401" s="30">
        <f t="shared" si="83"/>
        <v>11.25</v>
      </c>
      <c r="I401" s="22" t="s">
        <v>1102</v>
      </c>
      <c r="J401" s="31"/>
      <c r="K401" s="32">
        <v>1</v>
      </c>
      <c r="L401" s="32"/>
      <c r="M401" s="33"/>
      <c r="N401" s="33"/>
    </row>
    <row r="402" spans="1:16" s="21" customFormat="1" ht="39.950000000000003" customHeight="1">
      <c r="A402" s="9">
        <v>20</v>
      </c>
      <c r="B402" s="207" t="s">
        <v>979</v>
      </c>
      <c r="C402" s="231" t="s">
        <v>3119</v>
      </c>
      <c r="D402" s="11" t="s">
        <v>3120</v>
      </c>
      <c r="E402" s="12" t="s">
        <v>224</v>
      </c>
      <c r="F402" s="30">
        <v>7.5</v>
      </c>
      <c r="G402" s="30">
        <v>2.5</v>
      </c>
      <c r="H402" s="30">
        <f t="shared" si="83"/>
        <v>11.25</v>
      </c>
      <c r="I402" s="22" t="s">
        <v>1102</v>
      </c>
      <c r="J402" s="31"/>
      <c r="K402" s="32">
        <v>1</v>
      </c>
      <c r="L402" s="32"/>
      <c r="M402" s="33"/>
      <c r="N402" s="33"/>
    </row>
    <row r="403" spans="1:16" s="21" customFormat="1" ht="39.950000000000003" customHeight="1">
      <c r="A403" s="9">
        <v>21</v>
      </c>
      <c r="B403" s="207">
        <v>6469</v>
      </c>
      <c r="C403" s="231" t="s">
        <v>2577</v>
      </c>
      <c r="D403" s="11" t="s">
        <v>2578</v>
      </c>
      <c r="E403" s="12" t="s">
        <v>2557</v>
      </c>
      <c r="F403" s="30">
        <v>7.5</v>
      </c>
      <c r="G403" s="30">
        <v>2.5</v>
      </c>
      <c r="H403" s="30">
        <f t="shared" ref="H403:H404" si="86">IF(G403&gt;0,(G403*1.5)+F403,"YOK")</f>
        <v>11.25</v>
      </c>
      <c r="I403" s="49" t="s">
        <v>808</v>
      </c>
      <c r="J403" s="31"/>
      <c r="K403" s="32">
        <v>1</v>
      </c>
      <c r="L403" s="32"/>
      <c r="M403" s="33"/>
      <c r="N403" s="33"/>
    </row>
    <row r="404" spans="1:16" s="21" customFormat="1" ht="39.950000000000003" customHeight="1">
      <c r="A404" s="9">
        <v>22</v>
      </c>
      <c r="B404" s="207">
        <v>6471</v>
      </c>
      <c r="C404" s="231" t="s">
        <v>2579</v>
      </c>
      <c r="D404" s="11" t="s">
        <v>2580</v>
      </c>
      <c r="E404" s="12" t="s">
        <v>2557</v>
      </c>
      <c r="F404" s="30">
        <v>7.5</v>
      </c>
      <c r="G404" s="30">
        <v>2.5</v>
      </c>
      <c r="H404" s="30">
        <f t="shared" si="86"/>
        <v>11.25</v>
      </c>
      <c r="I404" s="49" t="s">
        <v>808</v>
      </c>
      <c r="J404" s="31"/>
      <c r="K404" s="32">
        <v>1</v>
      </c>
      <c r="L404" s="32"/>
      <c r="M404" s="33"/>
      <c r="N404" s="33"/>
    </row>
    <row r="405" spans="1:16" s="21" customFormat="1" ht="39.950000000000003" customHeight="1">
      <c r="A405" s="9">
        <v>23</v>
      </c>
      <c r="B405" s="207">
        <v>6813</v>
      </c>
      <c r="C405" s="231" t="s">
        <v>3590</v>
      </c>
      <c r="D405" s="11" t="s">
        <v>3591</v>
      </c>
      <c r="E405" s="12" t="s">
        <v>2557</v>
      </c>
      <c r="F405" s="30">
        <v>7.5</v>
      </c>
      <c r="G405" s="30">
        <v>2.5</v>
      </c>
      <c r="H405" s="30">
        <f t="shared" ref="H405" si="87">IF(G405&gt;0,(G405*1.5)+F405,"YOK")</f>
        <v>11.25</v>
      </c>
      <c r="I405" s="49" t="s">
        <v>808</v>
      </c>
      <c r="J405" s="31"/>
      <c r="K405" s="32">
        <v>1</v>
      </c>
      <c r="L405" s="32"/>
      <c r="M405" s="33"/>
      <c r="N405" s="33"/>
    </row>
    <row r="406" spans="1:16" s="21" customFormat="1" ht="39.950000000000003" customHeight="1">
      <c r="A406" s="9">
        <v>24</v>
      </c>
      <c r="B406" s="207">
        <v>4245</v>
      </c>
      <c r="C406" s="11" t="s">
        <v>225</v>
      </c>
      <c r="D406" s="11" t="s">
        <v>226</v>
      </c>
      <c r="E406" s="12" t="s">
        <v>224</v>
      </c>
      <c r="F406" s="30">
        <v>7.5</v>
      </c>
      <c r="G406" s="30">
        <v>2.5</v>
      </c>
      <c r="H406" s="30">
        <f t="shared" ref="H406" si="88">IF(G406&gt;0,(G406*1.5)+F406,"YOK")</f>
        <v>11.25</v>
      </c>
      <c r="I406" s="49" t="s">
        <v>808</v>
      </c>
      <c r="J406" s="31"/>
      <c r="K406" s="32">
        <v>1</v>
      </c>
      <c r="L406" s="32"/>
      <c r="M406" s="33"/>
      <c r="N406" s="33"/>
    </row>
    <row r="407" spans="1:16" s="21" customFormat="1" ht="39.950000000000003" customHeight="1">
      <c r="A407" s="9">
        <v>25</v>
      </c>
      <c r="B407" s="207">
        <v>4246</v>
      </c>
      <c r="C407" s="11" t="s">
        <v>227</v>
      </c>
      <c r="D407" s="11" t="s">
        <v>228</v>
      </c>
      <c r="E407" s="12" t="s">
        <v>224</v>
      </c>
      <c r="F407" s="30">
        <v>7.5</v>
      </c>
      <c r="G407" s="30">
        <v>2.5</v>
      </c>
      <c r="H407" s="30">
        <f t="shared" ref="H407" si="89">IF(G407&gt;0,(G407*1.5)+F407,"YOK")</f>
        <v>11.25</v>
      </c>
      <c r="I407" s="49" t="s">
        <v>808</v>
      </c>
      <c r="J407" s="31"/>
      <c r="K407" s="32">
        <v>1</v>
      </c>
      <c r="L407" s="32"/>
      <c r="M407" s="33"/>
      <c r="N407" s="33"/>
    </row>
    <row r="408" spans="1:16" s="21" customFormat="1" ht="39.950000000000003" customHeight="1">
      <c r="A408" s="9">
        <v>26</v>
      </c>
      <c r="B408" s="207">
        <v>4310</v>
      </c>
      <c r="C408" s="11" t="s">
        <v>229</v>
      </c>
      <c r="D408" s="11" t="s">
        <v>908</v>
      </c>
      <c r="E408" s="12" t="s">
        <v>224</v>
      </c>
      <c r="F408" s="30">
        <v>7.5</v>
      </c>
      <c r="G408" s="30">
        <v>2.5</v>
      </c>
      <c r="H408" s="30">
        <f t="shared" ref="H408" si="90">IF(G408&gt;0,(G408*1.5)+F408,"YOK")</f>
        <v>11.25</v>
      </c>
      <c r="I408" s="49" t="s">
        <v>808</v>
      </c>
      <c r="J408" s="31"/>
      <c r="K408" s="32">
        <v>1</v>
      </c>
      <c r="L408" s="32"/>
      <c r="M408" s="33"/>
      <c r="N408" s="33"/>
      <c r="P408" s="52"/>
    </row>
    <row r="409" spans="1:16" s="21" customFormat="1" ht="39.950000000000003" customHeight="1">
      <c r="A409" s="9">
        <v>27</v>
      </c>
      <c r="B409" s="207">
        <v>4573</v>
      </c>
      <c r="C409" s="11" t="s">
        <v>230</v>
      </c>
      <c r="D409" s="11" t="s">
        <v>231</v>
      </c>
      <c r="E409" s="12" t="s">
        <v>224</v>
      </c>
      <c r="F409" s="30">
        <v>7.5</v>
      </c>
      <c r="G409" s="30">
        <v>2.5</v>
      </c>
      <c r="H409" s="30">
        <f t="shared" ref="H409" si="91">IF(G409&gt;0,(G409*1.5)+F409,"YOK")</f>
        <v>11.25</v>
      </c>
      <c r="I409" s="49" t="s">
        <v>808</v>
      </c>
      <c r="J409" s="31"/>
      <c r="K409" s="32">
        <v>1</v>
      </c>
      <c r="L409" s="32"/>
      <c r="M409" s="33"/>
      <c r="N409" s="33"/>
    </row>
    <row r="410" spans="1:16" s="21" customFormat="1" ht="39.950000000000003" customHeight="1">
      <c r="A410" s="9">
        <v>28</v>
      </c>
      <c r="B410" s="207">
        <v>4575</v>
      </c>
      <c r="C410" s="11" t="s">
        <v>232</v>
      </c>
      <c r="D410" s="11" t="s">
        <v>233</v>
      </c>
      <c r="E410" s="12" t="s">
        <v>224</v>
      </c>
      <c r="F410" s="30">
        <v>7.5</v>
      </c>
      <c r="G410" s="30">
        <v>2.5</v>
      </c>
      <c r="H410" s="30">
        <f t="shared" ref="H410" si="92">IF(G410&gt;0,(G410*1.5)+F410,"YOK")</f>
        <v>11.25</v>
      </c>
      <c r="I410" s="49" t="s">
        <v>808</v>
      </c>
      <c r="J410" s="31"/>
      <c r="K410" s="32">
        <v>1</v>
      </c>
      <c r="L410" s="32"/>
      <c r="M410" s="33"/>
      <c r="N410" s="33"/>
    </row>
    <row r="411" spans="1:16" s="21" customFormat="1" ht="39.950000000000003" customHeight="1">
      <c r="A411" s="9">
        <v>29</v>
      </c>
      <c r="B411" s="207">
        <v>4606</v>
      </c>
      <c r="C411" s="11" t="s">
        <v>234</v>
      </c>
      <c r="D411" s="11" t="s">
        <v>235</v>
      </c>
      <c r="E411" s="12" t="s">
        <v>224</v>
      </c>
      <c r="F411" s="30">
        <v>7.5</v>
      </c>
      <c r="G411" s="30">
        <v>2.5</v>
      </c>
      <c r="H411" s="30">
        <f t="shared" ref="H411" si="93">IF(G411&gt;0,(G411*1.5)+F411,"YOK")</f>
        <v>11.25</v>
      </c>
      <c r="I411" s="49" t="s">
        <v>808</v>
      </c>
      <c r="J411" s="31"/>
      <c r="K411" s="32">
        <v>1</v>
      </c>
      <c r="L411" s="32"/>
      <c r="M411" s="33"/>
      <c r="N411" s="33"/>
    </row>
    <row r="412" spans="1:16" s="21" customFormat="1" ht="39.950000000000003" customHeight="1">
      <c r="A412" s="9">
        <v>30</v>
      </c>
      <c r="B412" s="207">
        <v>4698</v>
      </c>
      <c r="C412" s="11" t="s">
        <v>236</v>
      </c>
      <c r="D412" s="11" t="s">
        <v>237</v>
      </c>
      <c r="E412" s="12" t="s">
        <v>224</v>
      </c>
      <c r="F412" s="30">
        <v>7.5</v>
      </c>
      <c r="G412" s="30">
        <v>2.5</v>
      </c>
      <c r="H412" s="30">
        <f t="shared" ref="H412" si="94">IF(G412&gt;0,(G412*1.5)+F412,"YOK")</f>
        <v>11.25</v>
      </c>
      <c r="I412" s="49" t="s">
        <v>808</v>
      </c>
      <c r="J412" s="31"/>
      <c r="K412" s="32">
        <v>1</v>
      </c>
      <c r="L412" s="32"/>
      <c r="M412" s="33"/>
      <c r="N412" s="33"/>
    </row>
    <row r="413" spans="1:16" s="21" customFormat="1" ht="39.950000000000003" customHeight="1">
      <c r="A413" s="9">
        <v>31</v>
      </c>
      <c r="B413" s="222">
        <v>5845</v>
      </c>
      <c r="C413" s="11" t="s">
        <v>1332</v>
      </c>
      <c r="D413" s="11" t="s">
        <v>1333</v>
      </c>
      <c r="E413" s="12" t="s">
        <v>224</v>
      </c>
      <c r="F413" s="30">
        <v>7.5</v>
      </c>
      <c r="G413" s="30">
        <v>2.5</v>
      </c>
      <c r="H413" s="30">
        <f t="shared" ref="H413" si="95">IF(G413&gt;0,(G413*1.5)+F413,"YOK")</f>
        <v>11.25</v>
      </c>
      <c r="I413" s="49" t="s">
        <v>808</v>
      </c>
      <c r="J413" s="31"/>
      <c r="K413" s="32">
        <v>1</v>
      </c>
      <c r="L413" s="32"/>
      <c r="M413" s="33"/>
      <c r="N413" s="33"/>
    </row>
    <row r="414" spans="1:16" s="21" customFormat="1" ht="39.950000000000003" customHeight="1">
      <c r="A414" s="9">
        <v>32</v>
      </c>
      <c r="B414" s="207">
        <v>4699</v>
      </c>
      <c r="C414" s="11" t="s">
        <v>238</v>
      </c>
      <c r="D414" s="11" t="s">
        <v>239</v>
      </c>
      <c r="E414" s="12" t="s">
        <v>224</v>
      </c>
      <c r="F414" s="30">
        <v>7.5</v>
      </c>
      <c r="G414" s="30">
        <v>2.5</v>
      </c>
      <c r="H414" s="30">
        <f t="shared" ref="H414:H416" si="96">IF(G414&gt;0,(G414*1.5)+F414,"YOK")</f>
        <v>11.25</v>
      </c>
      <c r="I414" s="49" t="s">
        <v>808</v>
      </c>
      <c r="J414" s="31"/>
      <c r="K414" s="32">
        <v>1</v>
      </c>
      <c r="L414" s="32"/>
      <c r="M414" s="33"/>
      <c r="N414" s="33"/>
    </row>
    <row r="415" spans="1:16" s="21" customFormat="1" ht="39.950000000000003" customHeight="1">
      <c r="A415" s="9">
        <v>33</v>
      </c>
      <c r="B415" s="222">
        <v>5534</v>
      </c>
      <c r="C415" s="11" t="s">
        <v>943</v>
      </c>
      <c r="D415" s="11" t="s">
        <v>944</v>
      </c>
      <c r="E415" s="12" t="s">
        <v>224</v>
      </c>
      <c r="F415" s="30">
        <v>7.5</v>
      </c>
      <c r="G415" s="30">
        <v>2.5</v>
      </c>
      <c r="H415" s="30">
        <f t="shared" ref="H415" si="97">IF(G415&gt;0,(G415*1.5)+F415,"YOK")</f>
        <v>11.25</v>
      </c>
      <c r="I415" s="49" t="s">
        <v>808</v>
      </c>
      <c r="J415" s="31"/>
      <c r="K415" s="32">
        <v>1</v>
      </c>
      <c r="L415" s="32"/>
      <c r="M415" s="33"/>
      <c r="N415" s="33"/>
    </row>
    <row r="416" spans="1:16" s="21" customFormat="1" ht="39.950000000000003" customHeight="1">
      <c r="A416" s="9">
        <v>34</v>
      </c>
      <c r="B416" s="222">
        <v>5535</v>
      </c>
      <c r="C416" s="11" t="s">
        <v>945</v>
      </c>
      <c r="D416" s="11" t="s">
        <v>946</v>
      </c>
      <c r="E416" s="12" t="s">
        <v>224</v>
      </c>
      <c r="F416" s="30">
        <v>0</v>
      </c>
      <c r="G416" s="30">
        <v>0</v>
      </c>
      <c r="H416" s="30" t="str">
        <f t="shared" si="96"/>
        <v>YOK</v>
      </c>
      <c r="I416" s="49" t="s">
        <v>1185</v>
      </c>
      <c r="J416" s="31">
        <v>1</v>
      </c>
      <c r="K416" s="32">
        <v>0</v>
      </c>
      <c r="L416" s="32"/>
      <c r="M416" s="33"/>
      <c r="N416" s="33"/>
    </row>
    <row r="417" spans="1:14" s="21" customFormat="1" ht="39.950000000000003" customHeight="1">
      <c r="A417" s="9">
        <v>35</v>
      </c>
      <c r="B417" s="222">
        <v>5103</v>
      </c>
      <c r="C417" s="11" t="s">
        <v>240</v>
      </c>
      <c r="D417" s="11" t="s">
        <v>241</v>
      </c>
      <c r="E417" s="12" t="s">
        <v>224</v>
      </c>
      <c r="F417" s="30">
        <v>7.5</v>
      </c>
      <c r="G417" s="30">
        <v>2.5</v>
      </c>
      <c r="H417" s="30">
        <f t="shared" ref="H417:H420" si="98">IF(G417&gt;0,(G417*1.5)+F417,"YOK")</f>
        <v>11.25</v>
      </c>
      <c r="I417" s="49" t="s">
        <v>808</v>
      </c>
      <c r="J417" s="31"/>
      <c r="K417" s="32">
        <v>1</v>
      </c>
      <c r="L417" s="32"/>
      <c r="M417" s="33"/>
      <c r="N417" s="33"/>
    </row>
    <row r="418" spans="1:14" s="21" customFormat="1" ht="39.950000000000003" customHeight="1">
      <c r="A418" s="9">
        <v>36</v>
      </c>
      <c r="B418" s="222">
        <v>6079</v>
      </c>
      <c r="C418" s="11" t="s">
        <v>826</v>
      </c>
      <c r="D418" s="11" t="s">
        <v>827</v>
      </c>
      <c r="E418" s="12" t="s">
        <v>224</v>
      </c>
      <c r="F418" s="30">
        <v>0</v>
      </c>
      <c r="G418" s="30">
        <v>0</v>
      </c>
      <c r="H418" s="30" t="str">
        <f t="shared" si="98"/>
        <v>YOK</v>
      </c>
      <c r="I418" s="49" t="s">
        <v>1185</v>
      </c>
      <c r="J418" s="31">
        <v>1</v>
      </c>
      <c r="K418" s="32">
        <v>0</v>
      </c>
      <c r="L418" s="32"/>
      <c r="M418" s="33"/>
      <c r="N418" s="33"/>
    </row>
    <row r="419" spans="1:14" s="21" customFormat="1" ht="39.950000000000003" customHeight="1">
      <c r="A419" s="9">
        <v>37</v>
      </c>
      <c r="B419" s="222">
        <v>5629</v>
      </c>
      <c r="C419" s="11" t="s">
        <v>1042</v>
      </c>
      <c r="D419" s="11" t="s">
        <v>1043</v>
      </c>
      <c r="E419" s="12" t="s">
        <v>224</v>
      </c>
      <c r="F419" s="30">
        <v>0</v>
      </c>
      <c r="G419" s="30">
        <v>0</v>
      </c>
      <c r="H419" s="30" t="str">
        <f t="shared" si="98"/>
        <v>YOK</v>
      </c>
      <c r="I419" s="49" t="s">
        <v>1185</v>
      </c>
      <c r="J419" s="31">
        <v>1</v>
      </c>
      <c r="K419" s="32">
        <v>0</v>
      </c>
      <c r="L419" s="32"/>
      <c r="M419" s="33"/>
      <c r="N419" s="33"/>
    </row>
    <row r="420" spans="1:14" s="21" customFormat="1" ht="39.950000000000003" customHeight="1">
      <c r="A420" s="9">
        <v>38</v>
      </c>
      <c r="B420" s="222">
        <v>5855</v>
      </c>
      <c r="C420" s="11" t="s">
        <v>1349</v>
      </c>
      <c r="D420" s="11" t="s">
        <v>1348</v>
      </c>
      <c r="E420" s="12" t="s">
        <v>224</v>
      </c>
      <c r="F420" s="30">
        <v>0</v>
      </c>
      <c r="G420" s="30">
        <v>0</v>
      </c>
      <c r="H420" s="30" t="str">
        <f t="shared" si="98"/>
        <v>YOK</v>
      </c>
      <c r="I420" s="49" t="s">
        <v>1185</v>
      </c>
      <c r="J420" s="31">
        <v>1</v>
      </c>
      <c r="K420" s="32">
        <v>0</v>
      </c>
      <c r="L420" s="32"/>
      <c r="M420" s="33"/>
      <c r="N420" s="33"/>
    </row>
    <row r="421" spans="1:14" s="21" customFormat="1" ht="39.950000000000003" customHeight="1">
      <c r="A421" s="9">
        <v>39</v>
      </c>
      <c r="B421" s="222">
        <v>5917</v>
      </c>
      <c r="C421" s="11" t="s">
        <v>1484</v>
      </c>
      <c r="D421" s="11" t="s">
        <v>1483</v>
      </c>
      <c r="E421" s="12" t="s">
        <v>224</v>
      </c>
      <c r="F421" s="30">
        <v>7.5</v>
      </c>
      <c r="G421" s="30">
        <v>2.5</v>
      </c>
      <c r="H421" s="30">
        <f t="shared" ref="H421:H422" si="99">IF(G421&gt;0,(G421*1.5)+F421,"YOK")</f>
        <v>11.25</v>
      </c>
      <c r="I421" s="49" t="s">
        <v>808</v>
      </c>
      <c r="J421" s="31"/>
      <c r="K421" s="32">
        <v>1</v>
      </c>
      <c r="L421" s="32"/>
      <c r="M421" s="33"/>
      <c r="N421" s="33"/>
    </row>
    <row r="422" spans="1:14" s="21" customFormat="1" ht="39.950000000000003" customHeight="1">
      <c r="A422" s="9">
        <v>40</v>
      </c>
      <c r="B422" s="207">
        <v>5924</v>
      </c>
      <c r="C422" s="11" t="s">
        <v>1487</v>
      </c>
      <c r="D422" s="11" t="s">
        <v>1499</v>
      </c>
      <c r="E422" s="12" t="s">
        <v>224</v>
      </c>
      <c r="F422" s="30">
        <v>7.5</v>
      </c>
      <c r="G422" s="30">
        <v>2.5</v>
      </c>
      <c r="H422" s="30">
        <f t="shared" si="99"/>
        <v>11.25</v>
      </c>
      <c r="I422" s="49" t="s">
        <v>808</v>
      </c>
      <c r="J422" s="31"/>
      <c r="K422" s="32">
        <v>1</v>
      </c>
      <c r="L422" s="32"/>
      <c r="M422" s="33"/>
      <c r="N422" s="33"/>
    </row>
    <row r="423" spans="1:14" s="21" customFormat="1" ht="39.950000000000003" customHeight="1">
      <c r="A423" s="9">
        <v>41</v>
      </c>
      <c r="B423" s="207">
        <v>5938</v>
      </c>
      <c r="C423" s="11" t="s">
        <v>1506</v>
      </c>
      <c r="D423" s="11" t="s">
        <v>1507</v>
      </c>
      <c r="E423" s="12" t="s">
        <v>224</v>
      </c>
      <c r="F423" s="30">
        <v>7.5</v>
      </c>
      <c r="G423" s="30">
        <v>2.5</v>
      </c>
      <c r="H423" s="30">
        <v>11.25</v>
      </c>
      <c r="I423" s="49" t="s">
        <v>808</v>
      </c>
      <c r="J423" s="31"/>
      <c r="K423" s="32">
        <v>1</v>
      </c>
      <c r="L423" s="32"/>
      <c r="M423" s="33"/>
      <c r="N423" s="33"/>
    </row>
    <row r="424" spans="1:14" s="21" customFormat="1" ht="39.950000000000003" customHeight="1">
      <c r="A424" s="9">
        <v>42</v>
      </c>
      <c r="B424" s="207">
        <v>6087</v>
      </c>
      <c r="C424" s="11" t="s">
        <v>1793</v>
      </c>
      <c r="D424" s="11" t="s">
        <v>1792</v>
      </c>
      <c r="E424" s="12" t="s">
        <v>224</v>
      </c>
      <c r="F424" s="30">
        <v>7.5</v>
      </c>
      <c r="G424" s="30">
        <v>2.5</v>
      </c>
      <c r="H424" s="30">
        <v>11.25</v>
      </c>
      <c r="I424" s="49" t="s">
        <v>808</v>
      </c>
      <c r="J424" s="31"/>
      <c r="K424" s="32">
        <v>1</v>
      </c>
      <c r="L424" s="32"/>
      <c r="M424" s="33"/>
      <c r="N424" s="33"/>
    </row>
    <row r="425" spans="1:14" s="21" customFormat="1" ht="39.950000000000003" customHeight="1">
      <c r="A425" s="9">
        <v>43</v>
      </c>
      <c r="B425" s="207">
        <v>6099</v>
      </c>
      <c r="C425" s="11" t="s">
        <v>1819</v>
      </c>
      <c r="D425" s="11" t="s">
        <v>1820</v>
      </c>
      <c r="E425" s="12" t="s">
        <v>224</v>
      </c>
      <c r="F425" s="30">
        <v>7.5</v>
      </c>
      <c r="G425" s="30">
        <v>2.5</v>
      </c>
      <c r="H425" s="30">
        <v>11.25</v>
      </c>
      <c r="I425" s="49" t="s">
        <v>808</v>
      </c>
      <c r="J425" s="31"/>
      <c r="K425" s="32">
        <v>1</v>
      </c>
      <c r="L425" s="32"/>
      <c r="M425" s="33"/>
      <c r="N425" s="33"/>
    </row>
    <row r="426" spans="1:14" s="21" customFormat="1" ht="39.950000000000003" customHeight="1">
      <c r="A426" s="9">
        <v>44</v>
      </c>
      <c r="B426" s="207">
        <v>6115</v>
      </c>
      <c r="C426" s="11" t="s">
        <v>1843</v>
      </c>
      <c r="D426" s="11" t="s">
        <v>1880</v>
      </c>
      <c r="E426" s="12" t="s">
        <v>224</v>
      </c>
      <c r="F426" s="30">
        <v>7.5</v>
      </c>
      <c r="G426" s="30">
        <v>2.5</v>
      </c>
      <c r="H426" s="30">
        <v>11.25</v>
      </c>
      <c r="I426" s="49" t="s">
        <v>808</v>
      </c>
      <c r="J426" s="31"/>
      <c r="K426" s="32">
        <v>1</v>
      </c>
      <c r="L426" s="32"/>
      <c r="M426" s="33"/>
      <c r="N426" s="33"/>
    </row>
    <row r="427" spans="1:14" s="21" customFormat="1" ht="39.950000000000003" customHeight="1">
      <c r="A427" s="9">
        <v>45</v>
      </c>
      <c r="B427" s="207">
        <v>6116</v>
      </c>
      <c r="C427" s="11" t="s">
        <v>1845</v>
      </c>
      <c r="D427" s="11" t="s">
        <v>1844</v>
      </c>
      <c r="E427" s="12" t="s">
        <v>224</v>
      </c>
      <c r="F427" s="30">
        <v>7.5</v>
      </c>
      <c r="G427" s="30">
        <v>2.5</v>
      </c>
      <c r="H427" s="30">
        <v>11.25</v>
      </c>
      <c r="I427" s="49" t="s">
        <v>808</v>
      </c>
      <c r="J427" s="31"/>
      <c r="K427" s="32">
        <v>1</v>
      </c>
      <c r="L427" s="32"/>
      <c r="M427" s="33"/>
      <c r="N427" s="33"/>
    </row>
    <row r="428" spans="1:14" s="21" customFormat="1" ht="39.950000000000003" customHeight="1">
      <c r="A428" s="9">
        <v>46</v>
      </c>
      <c r="B428" s="207">
        <v>6117</v>
      </c>
      <c r="C428" s="11" t="s">
        <v>1846</v>
      </c>
      <c r="D428" s="11" t="s">
        <v>1879</v>
      </c>
      <c r="E428" s="12" t="s">
        <v>224</v>
      </c>
      <c r="F428" s="30">
        <v>7.5</v>
      </c>
      <c r="G428" s="30">
        <v>2.5</v>
      </c>
      <c r="H428" s="30">
        <v>11.25</v>
      </c>
      <c r="I428" s="49" t="s">
        <v>808</v>
      </c>
      <c r="J428" s="31"/>
      <c r="K428" s="32">
        <v>1</v>
      </c>
      <c r="L428" s="32"/>
      <c r="M428" s="33"/>
      <c r="N428" s="33"/>
    </row>
    <row r="429" spans="1:14" s="21" customFormat="1" ht="39.950000000000003" customHeight="1">
      <c r="A429" s="9">
        <v>47</v>
      </c>
      <c r="B429" s="207">
        <v>6118</v>
      </c>
      <c r="C429" s="11" t="s">
        <v>1848</v>
      </c>
      <c r="D429" s="11" t="s">
        <v>1847</v>
      </c>
      <c r="E429" s="12" t="s">
        <v>224</v>
      </c>
      <c r="F429" s="30">
        <v>7.5</v>
      </c>
      <c r="G429" s="30">
        <v>2.5</v>
      </c>
      <c r="H429" s="30">
        <v>11.25</v>
      </c>
      <c r="I429" s="49" t="s">
        <v>808</v>
      </c>
      <c r="J429" s="31"/>
      <c r="K429" s="32">
        <v>1</v>
      </c>
      <c r="L429" s="32"/>
      <c r="M429" s="33"/>
      <c r="N429" s="33"/>
    </row>
    <row r="430" spans="1:14" s="21" customFormat="1" ht="39.950000000000003" customHeight="1">
      <c r="A430" s="9">
        <v>48</v>
      </c>
      <c r="B430" s="207">
        <v>6119</v>
      </c>
      <c r="C430" s="11" t="s">
        <v>1849</v>
      </c>
      <c r="D430" s="11" t="s">
        <v>1850</v>
      </c>
      <c r="E430" s="12" t="s">
        <v>224</v>
      </c>
      <c r="F430" s="30">
        <v>0</v>
      </c>
      <c r="G430" s="30"/>
      <c r="H430" s="30"/>
      <c r="I430" s="22" t="s">
        <v>3138</v>
      </c>
      <c r="J430" s="31"/>
      <c r="K430" s="32">
        <v>0</v>
      </c>
      <c r="L430" s="32"/>
      <c r="M430" s="33">
        <v>1</v>
      </c>
      <c r="N430" s="33"/>
    </row>
    <row r="431" spans="1:14" s="21" customFormat="1" ht="39.950000000000003" customHeight="1">
      <c r="A431" s="9">
        <v>49</v>
      </c>
      <c r="B431" s="207">
        <v>6121</v>
      </c>
      <c r="C431" s="11" t="s">
        <v>1851</v>
      </c>
      <c r="D431" s="11" t="s">
        <v>1852</v>
      </c>
      <c r="E431" s="12" t="s">
        <v>224</v>
      </c>
      <c r="F431" s="30">
        <v>7.5</v>
      </c>
      <c r="G431" s="30">
        <v>2.5</v>
      </c>
      <c r="H431" s="30">
        <v>11.25</v>
      </c>
      <c r="I431" s="49" t="s">
        <v>808</v>
      </c>
      <c r="J431" s="31"/>
      <c r="K431" s="32">
        <v>1</v>
      </c>
      <c r="L431" s="32"/>
      <c r="M431" s="33"/>
      <c r="N431" s="33"/>
    </row>
    <row r="432" spans="1:14" s="21" customFormat="1" ht="39.950000000000003" customHeight="1">
      <c r="A432" s="9">
        <v>50</v>
      </c>
      <c r="B432" s="207">
        <v>6122</v>
      </c>
      <c r="C432" s="11" t="s">
        <v>1854</v>
      </c>
      <c r="D432" s="11" t="s">
        <v>1853</v>
      </c>
      <c r="E432" s="12" t="s">
        <v>224</v>
      </c>
      <c r="F432" s="30">
        <v>7.5</v>
      </c>
      <c r="G432" s="30">
        <v>2.5</v>
      </c>
      <c r="H432" s="30">
        <v>11.25</v>
      </c>
      <c r="I432" s="49" t="s">
        <v>808</v>
      </c>
      <c r="J432" s="31"/>
      <c r="K432" s="32">
        <v>1</v>
      </c>
      <c r="L432" s="32"/>
      <c r="M432" s="33"/>
      <c r="N432" s="33"/>
    </row>
    <row r="433" spans="1:14" s="21" customFormat="1" ht="39.950000000000003" customHeight="1">
      <c r="A433" s="9">
        <v>51</v>
      </c>
      <c r="B433" s="207">
        <v>6138</v>
      </c>
      <c r="C433" s="11" t="s">
        <v>1896</v>
      </c>
      <c r="D433" s="11" t="s">
        <v>1897</v>
      </c>
      <c r="E433" s="12" t="s">
        <v>224</v>
      </c>
      <c r="F433" s="30">
        <v>7.5</v>
      </c>
      <c r="G433" s="30">
        <v>2.5</v>
      </c>
      <c r="H433" s="30">
        <v>11.25</v>
      </c>
      <c r="I433" s="49" t="s">
        <v>808</v>
      </c>
      <c r="J433" s="31"/>
      <c r="K433" s="32">
        <v>1</v>
      </c>
      <c r="L433" s="32"/>
      <c r="M433" s="33"/>
      <c r="N433" s="33"/>
    </row>
    <row r="434" spans="1:14" s="21" customFormat="1" ht="39.950000000000003" customHeight="1">
      <c r="A434" s="9">
        <v>52</v>
      </c>
      <c r="B434" s="207">
        <v>6178</v>
      </c>
      <c r="C434" s="11" t="s">
        <v>2050</v>
      </c>
      <c r="D434" s="11" t="s">
        <v>2051</v>
      </c>
      <c r="E434" s="12" t="s">
        <v>224</v>
      </c>
      <c r="F434" s="30">
        <v>7.5</v>
      </c>
      <c r="G434" s="30">
        <v>2.5</v>
      </c>
      <c r="H434" s="30">
        <v>11.25</v>
      </c>
      <c r="I434" s="49" t="s">
        <v>808</v>
      </c>
      <c r="J434" s="31"/>
      <c r="K434" s="32">
        <v>1</v>
      </c>
      <c r="L434" s="32"/>
      <c r="M434" s="33"/>
      <c r="N434" s="33"/>
    </row>
    <row r="435" spans="1:14" s="21" customFormat="1" ht="39.950000000000003" customHeight="1">
      <c r="A435" s="9">
        <v>53</v>
      </c>
      <c r="B435" s="207">
        <v>6015</v>
      </c>
      <c r="C435" s="11" t="s">
        <v>1691</v>
      </c>
      <c r="D435" s="11" t="s">
        <v>1692</v>
      </c>
      <c r="E435" s="12" t="s">
        <v>224</v>
      </c>
      <c r="F435" s="30">
        <v>7.5</v>
      </c>
      <c r="G435" s="30">
        <v>2.5</v>
      </c>
      <c r="H435" s="30">
        <v>11.25</v>
      </c>
      <c r="I435" s="49" t="s">
        <v>808</v>
      </c>
      <c r="J435" s="31"/>
      <c r="K435" s="32">
        <v>1</v>
      </c>
      <c r="L435" s="32"/>
      <c r="M435" s="33"/>
      <c r="N435" s="33"/>
    </row>
    <row r="436" spans="1:14" s="21" customFormat="1" ht="39.950000000000003" customHeight="1">
      <c r="A436" s="9">
        <v>54</v>
      </c>
      <c r="B436" s="207">
        <v>6215</v>
      </c>
      <c r="C436" s="11" t="s">
        <v>2117</v>
      </c>
      <c r="D436" s="11" t="s">
        <v>2118</v>
      </c>
      <c r="E436" s="12" t="s">
        <v>224</v>
      </c>
      <c r="F436" s="30">
        <v>7.5</v>
      </c>
      <c r="G436" s="30">
        <v>2.5</v>
      </c>
      <c r="H436" s="30">
        <v>11.25</v>
      </c>
      <c r="I436" s="49" t="s">
        <v>808</v>
      </c>
      <c r="J436" s="31"/>
      <c r="K436" s="32">
        <v>1</v>
      </c>
      <c r="L436" s="32"/>
      <c r="M436" s="33"/>
      <c r="N436" s="33"/>
    </row>
    <row r="437" spans="1:14" s="21" customFormat="1" ht="39.950000000000003" customHeight="1">
      <c r="A437" s="9">
        <v>55</v>
      </c>
      <c r="B437" s="222">
        <v>6244</v>
      </c>
      <c r="C437" s="11" t="s">
        <v>2164</v>
      </c>
      <c r="D437" s="11" t="s">
        <v>2165</v>
      </c>
      <c r="E437" s="12" t="s">
        <v>224</v>
      </c>
      <c r="F437" s="30">
        <v>7.5</v>
      </c>
      <c r="G437" s="30">
        <v>2.5</v>
      </c>
      <c r="H437" s="30">
        <v>11.25</v>
      </c>
      <c r="I437" s="49" t="s">
        <v>808</v>
      </c>
      <c r="J437" s="31"/>
      <c r="K437" s="32">
        <v>1</v>
      </c>
      <c r="L437" s="32"/>
      <c r="M437" s="33"/>
      <c r="N437" s="33"/>
    </row>
    <row r="438" spans="1:14" s="21" customFormat="1" ht="39.950000000000003" customHeight="1">
      <c r="A438" s="9">
        <v>56</v>
      </c>
      <c r="B438" s="222">
        <v>6350</v>
      </c>
      <c r="C438" s="11" t="s">
        <v>3673</v>
      </c>
      <c r="D438" s="11" t="s">
        <v>2402</v>
      </c>
      <c r="E438" s="12" t="s">
        <v>224</v>
      </c>
      <c r="F438" s="30">
        <v>7.5</v>
      </c>
      <c r="G438" s="30">
        <v>2.5</v>
      </c>
      <c r="H438" s="30">
        <v>11.25</v>
      </c>
      <c r="I438" s="49" t="s">
        <v>808</v>
      </c>
      <c r="J438" s="31"/>
      <c r="K438" s="32">
        <v>1</v>
      </c>
      <c r="L438" s="32"/>
      <c r="M438" s="33"/>
      <c r="N438" s="33"/>
    </row>
    <row r="439" spans="1:14" s="21" customFormat="1" ht="39.950000000000003" customHeight="1">
      <c r="A439" s="9">
        <v>57</v>
      </c>
      <c r="B439" s="222">
        <v>6351</v>
      </c>
      <c r="C439" s="11" t="s">
        <v>2404</v>
      </c>
      <c r="D439" s="11" t="s">
        <v>2403</v>
      </c>
      <c r="E439" s="12" t="s">
        <v>224</v>
      </c>
      <c r="F439" s="30">
        <v>7.5</v>
      </c>
      <c r="G439" s="30">
        <v>2.5</v>
      </c>
      <c r="H439" s="30">
        <v>11.25</v>
      </c>
      <c r="I439" s="49" t="s">
        <v>808</v>
      </c>
      <c r="J439" s="31"/>
      <c r="K439" s="32">
        <v>1</v>
      </c>
      <c r="L439" s="32"/>
      <c r="M439" s="33"/>
      <c r="N439" s="33"/>
    </row>
    <row r="440" spans="1:14" s="21" customFormat="1" ht="39.950000000000003" customHeight="1">
      <c r="A440" s="9">
        <v>58</v>
      </c>
      <c r="B440" s="222">
        <v>6389</v>
      </c>
      <c r="C440" s="11" t="s">
        <v>2450</v>
      </c>
      <c r="D440" s="11" t="s">
        <v>2451</v>
      </c>
      <c r="E440" s="12" t="s">
        <v>224</v>
      </c>
      <c r="F440" s="30">
        <v>7.5</v>
      </c>
      <c r="G440" s="30">
        <v>2.5</v>
      </c>
      <c r="H440" s="30">
        <v>11.25</v>
      </c>
      <c r="I440" s="49" t="s">
        <v>808</v>
      </c>
      <c r="J440" s="31"/>
      <c r="K440" s="32">
        <v>1</v>
      </c>
      <c r="L440" s="32"/>
      <c r="M440" s="33"/>
      <c r="N440" s="33"/>
    </row>
    <row r="441" spans="1:14" s="21" customFormat="1" ht="39.950000000000003" customHeight="1">
      <c r="A441" s="9">
        <v>59</v>
      </c>
      <c r="B441" s="207">
        <v>6472</v>
      </c>
      <c r="C441" s="231" t="s">
        <v>2581</v>
      </c>
      <c r="D441" s="11" t="s">
        <v>2582</v>
      </c>
      <c r="E441" s="12" t="s">
        <v>224</v>
      </c>
      <c r="F441" s="30">
        <v>7.5</v>
      </c>
      <c r="G441" s="30">
        <v>2.5</v>
      </c>
      <c r="H441" s="30">
        <f t="shared" ref="H441" si="100">IF(G441&gt;0,(G441*1.5)+F441,"YOK")</f>
        <v>11.25</v>
      </c>
      <c r="I441" s="49" t="s">
        <v>808</v>
      </c>
      <c r="J441" s="31"/>
      <c r="K441" s="32">
        <v>1</v>
      </c>
      <c r="L441" s="32"/>
      <c r="M441" s="33"/>
      <c r="N441" s="33"/>
    </row>
    <row r="442" spans="1:14" s="21" customFormat="1" ht="39.950000000000003" customHeight="1">
      <c r="A442" s="9">
        <v>60</v>
      </c>
      <c r="B442" s="207">
        <v>6473</v>
      </c>
      <c r="C442" s="231" t="s">
        <v>2583</v>
      </c>
      <c r="D442" s="11" t="s">
        <v>2584</v>
      </c>
      <c r="E442" s="12" t="s">
        <v>224</v>
      </c>
      <c r="F442" s="30">
        <v>7.5</v>
      </c>
      <c r="G442" s="30">
        <v>2.5</v>
      </c>
      <c r="H442" s="30">
        <v>11.25</v>
      </c>
      <c r="I442" s="49" t="s">
        <v>808</v>
      </c>
      <c r="J442" s="31"/>
      <c r="K442" s="32">
        <v>1</v>
      </c>
      <c r="L442" s="32"/>
      <c r="M442" s="33"/>
      <c r="N442" s="33"/>
    </row>
    <row r="443" spans="1:14" s="21" customFormat="1" ht="39.950000000000003" customHeight="1">
      <c r="A443" s="9">
        <v>61</v>
      </c>
      <c r="B443" s="207">
        <v>6490</v>
      </c>
      <c r="C443" s="231" t="s">
        <v>2558</v>
      </c>
      <c r="D443" s="11" t="s">
        <v>2559</v>
      </c>
      <c r="E443" s="12" t="s">
        <v>224</v>
      </c>
      <c r="F443" s="30">
        <v>7.5</v>
      </c>
      <c r="G443" s="30">
        <v>2.5</v>
      </c>
      <c r="H443" s="30">
        <v>11.25</v>
      </c>
      <c r="I443" s="49" t="s">
        <v>808</v>
      </c>
      <c r="J443" s="31"/>
      <c r="K443" s="32">
        <v>1</v>
      </c>
      <c r="L443" s="32"/>
      <c r="M443" s="33"/>
      <c r="N443" s="33"/>
    </row>
    <row r="444" spans="1:14" s="21" customFormat="1" ht="39.950000000000003" customHeight="1">
      <c r="A444" s="9">
        <v>62</v>
      </c>
      <c r="B444" s="207">
        <v>6491</v>
      </c>
      <c r="C444" s="231" t="s">
        <v>2560</v>
      </c>
      <c r="D444" s="11" t="s">
        <v>2561</v>
      </c>
      <c r="E444" s="12" t="s">
        <v>224</v>
      </c>
      <c r="F444" s="30">
        <v>7.5</v>
      </c>
      <c r="G444" s="30">
        <v>2.5</v>
      </c>
      <c r="H444" s="30">
        <v>11.25</v>
      </c>
      <c r="I444" s="49" t="s">
        <v>808</v>
      </c>
      <c r="J444" s="31"/>
      <c r="K444" s="32">
        <v>1</v>
      </c>
      <c r="L444" s="32"/>
      <c r="M444" s="33"/>
      <c r="N444" s="33"/>
    </row>
    <row r="445" spans="1:14" s="21" customFormat="1" ht="39.950000000000003" customHeight="1">
      <c r="A445" s="9">
        <v>63</v>
      </c>
      <c r="B445" s="207">
        <v>6492</v>
      </c>
      <c r="C445" s="231" t="s">
        <v>2562</v>
      </c>
      <c r="D445" s="11" t="s">
        <v>2563</v>
      </c>
      <c r="E445" s="12" t="s">
        <v>224</v>
      </c>
      <c r="F445" s="30">
        <v>7.5</v>
      </c>
      <c r="G445" s="30">
        <v>2.5</v>
      </c>
      <c r="H445" s="30">
        <v>11.25</v>
      </c>
      <c r="I445" s="49" t="s">
        <v>808</v>
      </c>
      <c r="J445" s="31"/>
      <c r="K445" s="32">
        <v>1</v>
      </c>
      <c r="L445" s="32"/>
      <c r="M445" s="33"/>
      <c r="N445" s="33"/>
    </row>
    <row r="446" spans="1:14" s="21" customFormat="1" ht="39.950000000000003" customHeight="1">
      <c r="A446" s="9">
        <v>64</v>
      </c>
      <c r="B446" s="207">
        <v>6493</v>
      </c>
      <c r="C446" s="231" t="s">
        <v>2564</v>
      </c>
      <c r="D446" s="11" t="s">
        <v>2565</v>
      </c>
      <c r="E446" s="12" t="s">
        <v>224</v>
      </c>
      <c r="F446" s="30">
        <v>7.5</v>
      </c>
      <c r="G446" s="30">
        <v>2.5</v>
      </c>
      <c r="H446" s="30">
        <v>11.25</v>
      </c>
      <c r="I446" s="49" t="s">
        <v>808</v>
      </c>
      <c r="J446" s="31"/>
      <c r="K446" s="32">
        <v>1</v>
      </c>
      <c r="L446" s="32"/>
      <c r="M446" s="33"/>
      <c r="N446" s="33"/>
    </row>
    <row r="447" spans="1:14" s="21" customFormat="1" ht="39.950000000000003" customHeight="1">
      <c r="A447" s="9">
        <v>65</v>
      </c>
      <c r="B447" s="207">
        <v>6494</v>
      </c>
      <c r="C447" s="231" t="s">
        <v>2566</v>
      </c>
      <c r="D447" s="11" t="s">
        <v>2567</v>
      </c>
      <c r="E447" s="12" t="s">
        <v>224</v>
      </c>
      <c r="F447" s="30">
        <v>7.5</v>
      </c>
      <c r="G447" s="30">
        <v>2.5</v>
      </c>
      <c r="H447" s="30">
        <v>11.25</v>
      </c>
      <c r="I447" s="49" t="s">
        <v>808</v>
      </c>
      <c r="J447" s="31"/>
      <c r="K447" s="32">
        <v>1</v>
      </c>
      <c r="L447" s="32"/>
      <c r="M447" s="33"/>
      <c r="N447" s="33"/>
    </row>
    <row r="448" spans="1:14" s="21" customFormat="1" ht="39.950000000000003" customHeight="1">
      <c r="A448" s="9">
        <v>66</v>
      </c>
      <c r="B448" s="207">
        <v>6495</v>
      </c>
      <c r="C448" s="231" t="s">
        <v>2571</v>
      </c>
      <c r="D448" s="11" t="s">
        <v>2568</v>
      </c>
      <c r="E448" s="12" t="s">
        <v>224</v>
      </c>
      <c r="F448" s="30">
        <v>7.5</v>
      </c>
      <c r="G448" s="30">
        <v>2.5</v>
      </c>
      <c r="H448" s="30">
        <v>11.25</v>
      </c>
      <c r="I448" s="49" t="s">
        <v>808</v>
      </c>
      <c r="J448" s="31"/>
      <c r="K448" s="32">
        <v>1</v>
      </c>
      <c r="L448" s="32"/>
      <c r="M448" s="33"/>
      <c r="N448" s="33"/>
    </row>
    <row r="449" spans="1:16" s="21" customFormat="1" ht="39.950000000000003" customHeight="1">
      <c r="A449" s="9">
        <v>67</v>
      </c>
      <c r="B449" s="207">
        <v>6496</v>
      </c>
      <c r="C449" s="231" t="s">
        <v>2569</v>
      </c>
      <c r="D449" s="11" t="s">
        <v>2570</v>
      </c>
      <c r="E449" s="12" t="s">
        <v>224</v>
      </c>
      <c r="F449" s="30">
        <v>7.5</v>
      </c>
      <c r="G449" s="30">
        <v>2.5</v>
      </c>
      <c r="H449" s="30">
        <v>11.25</v>
      </c>
      <c r="I449" s="49" t="s">
        <v>808</v>
      </c>
      <c r="J449" s="31"/>
      <c r="K449" s="32">
        <v>1</v>
      </c>
      <c r="L449" s="32"/>
      <c r="M449" s="33"/>
      <c r="N449" s="33"/>
    </row>
    <row r="450" spans="1:16" s="21" customFormat="1" ht="39.950000000000003" customHeight="1">
      <c r="A450" s="9">
        <v>68</v>
      </c>
      <c r="B450" s="207">
        <v>6558</v>
      </c>
      <c r="C450" s="231" t="s">
        <v>2798</v>
      </c>
      <c r="D450" s="11" t="s">
        <v>2799</v>
      </c>
      <c r="E450" s="12" t="s">
        <v>224</v>
      </c>
      <c r="F450" s="30">
        <v>7.5</v>
      </c>
      <c r="G450" s="30">
        <v>2.5</v>
      </c>
      <c r="H450" s="30">
        <f t="shared" ref="H450" si="101">IF(G450&gt;0,(G450*1.5)+F450,"YOK")</f>
        <v>11.25</v>
      </c>
      <c r="I450" s="49" t="s">
        <v>808</v>
      </c>
      <c r="J450" s="31"/>
      <c r="K450" s="32">
        <v>1</v>
      </c>
      <c r="L450" s="32"/>
      <c r="M450" s="33"/>
      <c r="N450" s="33"/>
    </row>
    <row r="451" spans="1:16" s="21" customFormat="1" ht="39.950000000000003" customHeight="1">
      <c r="A451" s="9">
        <v>69</v>
      </c>
      <c r="B451" s="207">
        <v>6602</v>
      </c>
      <c r="C451" s="231" t="s">
        <v>2865</v>
      </c>
      <c r="D451" s="11" t="s">
        <v>2866</v>
      </c>
      <c r="E451" s="12" t="s">
        <v>224</v>
      </c>
      <c r="F451" s="30">
        <v>7.5</v>
      </c>
      <c r="G451" s="30">
        <v>2.5</v>
      </c>
      <c r="H451" s="30">
        <f t="shared" ref="H451:H452" si="102">IF(G451&gt;0,(G451*1.5)+F451,"YOK")</f>
        <v>11.25</v>
      </c>
      <c r="I451" s="49" t="s">
        <v>808</v>
      </c>
      <c r="J451" s="31"/>
      <c r="K451" s="32">
        <v>1</v>
      </c>
      <c r="L451" s="32"/>
      <c r="M451" s="33"/>
      <c r="N451" s="33"/>
    </row>
    <row r="452" spans="1:16" s="21" customFormat="1" ht="39.950000000000003" customHeight="1">
      <c r="A452" s="9">
        <v>70</v>
      </c>
      <c r="B452" s="222">
        <v>6719</v>
      </c>
      <c r="C452" s="231" t="s">
        <v>3199</v>
      </c>
      <c r="D452" s="11" t="s">
        <v>3200</v>
      </c>
      <c r="E452" s="12" t="s">
        <v>224</v>
      </c>
      <c r="F452" s="30">
        <v>7.5</v>
      </c>
      <c r="G452" s="30">
        <v>2.5</v>
      </c>
      <c r="H452" s="30">
        <f t="shared" ref="H452" si="103">IF(G452&gt;0,(G452*1.5)+F452,"YOK")</f>
        <v>11.25</v>
      </c>
      <c r="I452" s="49" t="s">
        <v>808</v>
      </c>
      <c r="J452" s="31"/>
      <c r="K452" s="32">
        <v>1</v>
      </c>
      <c r="L452" s="32"/>
      <c r="M452" s="33"/>
      <c r="N452" s="33"/>
    </row>
    <row r="453" spans="1:16" s="21" customFormat="1" ht="39.950000000000003" customHeight="1">
      <c r="A453" s="9">
        <v>71</v>
      </c>
      <c r="B453" s="207">
        <v>6797</v>
      </c>
      <c r="C453" s="231" t="s">
        <v>3328</v>
      </c>
      <c r="D453" s="11" t="s">
        <v>3329</v>
      </c>
      <c r="E453" s="12" t="s">
        <v>224</v>
      </c>
      <c r="F453" s="30">
        <v>7.5</v>
      </c>
      <c r="G453" s="30">
        <v>2.5</v>
      </c>
      <c r="H453" s="30">
        <f t="shared" ref="H453" si="104">IF(G453&gt;0,(G453*1.5)+F453,"YOK")</f>
        <v>11.25</v>
      </c>
      <c r="I453" s="49" t="s">
        <v>808</v>
      </c>
      <c r="J453" s="31"/>
      <c r="K453" s="32">
        <v>1</v>
      </c>
      <c r="L453" s="32"/>
      <c r="M453" s="33"/>
      <c r="N453" s="33"/>
    </row>
    <row r="454" spans="1:16" s="21" customFormat="1" ht="39.950000000000003" customHeight="1">
      <c r="A454" s="9">
        <v>72</v>
      </c>
      <c r="B454" s="207">
        <v>6838</v>
      </c>
      <c r="C454" s="231" t="s">
        <v>3639</v>
      </c>
      <c r="D454" s="11" t="s">
        <v>3640</v>
      </c>
      <c r="E454" s="12" t="s">
        <v>224</v>
      </c>
      <c r="F454" s="30">
        <v>7.5</v>
      </c>
      <c r="G454" s="30">
        <v>2.5</v>
      </c>
      <c r="H454" s="30">
        <f t="shared" ref="H454" si="105">IF(G454&gt;0,(G454*1.5)+F454,"YOK")</f>
        <v>11.25</v>
      </c>
      <c r="I454" s="49" t="s">
        <v>808</v>
      </c>
      <c r="J454" s="31"/>
      <c r="K454" s="32">
        <v>1</v>
      </c>
      <c r="L454" s="32"/>
      <c r="M454" s="33"/>
      <c r="N454" s="33"/>
    </row>
    <row r="455" spans="1:16" s="21" customFormat="1" ht="39.950000000000003" customHeight="1">
      <c r="A455" s="9">
        <v>73</v>
      </c>
      <c r="B455" s="207">
        <v>5640</v>
      </c>
      <c r="C455" s="11" t="s">
        <v>1059</v>
      </c>
      <c r="D455" s="11" t="s">
        <v>1060</v>
      </c>
      <c r="E455" s="12" t="s">
        <v>224</v>
      </c>
      <c r="F455" s="30">
        <v>7.5</v>
      </c>
      <c r="G455" s="30">
        <v>2.5</v>
      </c>
      <c r="H455" s="30">
        <v>11.25</v>
      </c>
      <c r="I455" s="47" t="s">
        <v>132</v>
      </c>
      <c r="J455" s="31"/>
      <c r="K455" s="32">
        <v>1</v>
      </c>
      <c r="L455" s="32">
        <v>1</v>
      </c>
      <c r="M455" s="33"/>
      <c r="N455" s="33"/>
    </row>
    <row r="456" spans="1:16" s="21" customFormat="1" ht="39.950000000000003" customHeight="1">
      <c r="A456" s="9">
        <v>74</v>
      </c>
      <c r="B456" s="207">
        <v>6304</v>
      </c>
      <c r="C456" s="11" t="s">
        <v>2313</v>
      </c>
      <c r="D456" s="11" t="s">
        <v>2292</v>
      </c>
      <c r="E456" s="12" t="s">
        <v>224</v>
      </c>
      <c r="F456" s="30">
        <v>7.5</v>
      </c>
      <c r="G456" s="30">
        <v>2.5</v>
      </c>
      <c r="H456" s="30">
        <v>11.25</v>
      </c>
      <c r="I456" s="47" t="s">
        <v>132</v>
      </c>
      <c r="J456" s="31"/>
      <c r="K456" s="32">
        <v>1</v>
      </c>
      <c r="L456" s="32">
        <v>1</v>
      </c>
      <c r="M456" s="33"/>
      <c r="N456" s="33"/>
    </row>
    <row r="457" spans="1:16" s="21" customFormat="1" ht="39.950000000000003" customHeight="1">
      <c r="A457" s="9">
        <v>75</v>
      </c>
      <c r="B457" s="207" t="s">
        <v>979</v>
      </c>
      <c r="C457" s="231" t="s">
        <v>2572</v>
      </c>
      <c r="D457" s="11" t="s">
        <v>2555</v>
      </c>
      <c r="E457" s="12" t="s">
        <v>224</v>
      </c>
      <c r="F457" s="30">
        <v>7.5</v>
      </c>
      <c r="G457" s="30">
        <v>2.5</v>
      </c>
      <c r="H457" s="30">
        <v>11.25</v>
      </c>
      <c r="I457" s="22" t="s">
        <v>2574</v>
      </c>
      <c r="J457" s="31"/>
      <c r="K457" s="32">
        <v>1</v>
      </c>
      <c r="L457" s="32"/>
      <c r="M457" s="33"/>
      <c r="N457" s="33"/>
    </row>
    <row r="458" spans="1:16" s="21" customFormat="1" ht="39.950000000000003" customHeight="1">
      <c r="A458" s="9">
        <v>76</v>
      </c>
      <c r="B458" s="207" t="s">
        <v>979</v>
      </c>
      <c r="C458" s="231" t="s">
        <v>2573</v>
      </c>
      <c r="D458" s="11" t="s">
        <v>2556</v>
      </c>
      <c r="E458" s="12" t="s">
        <v>224</v>
      </c>
      <c r="F458" s="30">
        <v>7.5</v>
      </c>
      <c r="G458" s="30">
        <v>2.5</v>
      </c>
      <c r="H458" s="30">
        <v>11.25</v>
      </c>
      <c r="I458" s="22" t="s">
        <v>2574</v>
      </c>
      <c r="J458" s="31"/>
      <c r="K458" s="32">
        <v>1</v>
      </c>
      <c r="L458" s="32"/>
      <c r="M458" s="33"/>
      <c r="N458" s="33"/>
    </row>
    <row r="459" spans="1:16" s="21" customFormat="1" ht="39.950000000000003" customHeight="1">
      <c r="A459" s="9">
        <v>77</v>
      </c>
      <c r="B459" s="222">
        <v>6098</v>
      </c>
      <c r="C459" s="231" t="s">
        <v>1032</v>
      </c>
      <c r="D459" s="231" t="s">
        <v>1033</v>
      </c>
      <c r="E459" s="12" t="s">
        <v>224</v>
      </c>
      <c r="F459" s="30">
        <v>7.5</v>
      </c>
      <c r="G459" s="30">
        <v>2.5</v>
      </c>
      <c r="H459" s="30">
        <f t="shared" ref="H459:H460" si="106">IF(G459&gt;0,(G459*1.5)+F459,"YOK")</f>
        <v>11.25</v>
      </c>
      <c r="I459" s="22" t="s">
        <v>1354</v>
      </c>
      <c r="J459" s="31"/>
      <c r="K459" s="32">
        <v>0</v>
      </c>
      <c r="L459" s="32"/>
      <c r="M459" s="33">
        <v>1</v>
      </c>
      <c r="N459" s="33"/>
    </row>
    <row r="460" spans="1:16" s="21" customFormat="1" ht="39.950000000000003" customHeight="1">
      <c r="A460" s="9">
        <v>78</v>
      </c>
      <c r="B460" s="222">
        <v>6016</v>
      </c>
      <c r="C460" s="231" t="s">
        <v>1693</v>
      </c>
      <c r="D460" s="231" t="s">
        <v>1694</v>
      </c>
      <c r="E460" s="12" t="s">
        <v>224</v>
      </c>
      <c r="F460" s="30">
        <v>7.5</v>
      </c>
      <c r="G460" s="30">
        <v>2.5</v>
      </c>
      <c r="H460" s="30">
        <f t="shared" si="106"/>
        <v>11.25</v>
      </c>
      <c r="I460" s="22" t="s">
        <v>1354</v>
      </c>
      <c r="J460" s="31"/>
      <c r="K460" s="32">
        <v>0</v>
      </c>
      <c r="L460" s="32"/>
      <c r="M460" s="33">
        <v>1</v>
      </c>
      <c r="N460" s="33"/>
    </row>
    <row r="461" spans="1:16" s="21" customFormat="1" ht="39.950000000000003" customHeight="1">
      <c r="A461" s="9">
        <v>79</v>
      </c>
      <c r="B461" s="207">
        <v>5277</v>
      </c>
      <c r="C461" s="11" t="s">
        <v>242</v>
      </c>
      <c r="D461" s="11" t="s">
        <v>243</v>
      </c>
      <c r="E461" s="12" t="s">
        <v>224</v>
      </c>
      <c r="F461" s="30">
        <v>7.5</v>
      </c>
      <c r="G461" s="30">
        <v>2.5</v>
      </c>
      <c r="H461" s="30">
        <f t="shared" ref="H461" si="107">IF(G461&gt;0,(G461*1.5)+F461,"YOK")</f>
        <v>11.25</v>
      </c>
      <c r="I461" s="22" t="s">
        <v>70</v>
      </c>
      <c r="J461" s="31"/>
      <c r="K461" s="32">
        <v>0</v>
      </c>
      <c r="L461" s="32"/>
      <c r="M461" s="33">
        <v>1</v>
      </c>
      <c r="N461" s="33"/>
    </row>
    <row r="462" spans="1:16" ht="39.950000000000003" customHeight="1">
      <c r="A462" s="40"/>
      <c r="B462" s="262" t="s">
        <v>244</v>
      </c>
      <c r="C462" s="263"/>
      <c r="D462" s="264"/>
      <c r="E462" s="46"/>
      <c r="F462" s="41"/>
      <c r="G462" s="41"/>
      <c r="H462" s="41"/>
      <c r="I462" s="42"/>
      <c r="J462" s="43">
        <f>SUM(J383:J461)</f>
        <v>5</v>
      </c>
      <c r="K462" s="43">
        <f>SUM(K383:K461)</f>
        <v>70</v>
      </c>
      <c r="L462" s="43">
        <f>SUM(L383:L461)</f>
        <v>2</v>
      </c>
      <c r="M462" s="43">
        <f>SUM(M383:M461)</f>
        <v>4</v>
      </c>
      <c r="N462" s="33"/>
      <c r="O462" s="21"/>
      <c r="P462" s="21"/>
    </row>
    <row r="463" spans="1:16" s="21" customFormat="1" ht="39.950000000000003" customHeight="1">
      <c r="A463" s="9">
        <v>1</v>
      </c>
      <c r="B463" s="207">
        <v>2036</v>
      </c>
      <c r="C463" s="231" t="s">
        <v>970</v>
      </c>
      <c r="D463" s="11" t="s">
        <v>971</v>
      </c>
      <c r="E463" s="12" t="s">
        <v>972</v>
      </c>
      <c r="F463" s="30" t="s">
        <v>17</v>
      </c>
      <c r="G463" s="30"/>
      <c r="H463" s="30"/>
      <c r="I463" s="48" t="s">
        <v>255</v>
      </c>
      <c r="J463" s="31"/>
      <c r="K463" s="32">
        <v>1</v>
      </c>
      <c r="L463" s="32"/>
      <c r="M463" s="33"/>
      <c r="N463" s="33"/>
    </row>
    <row r="464" spans="1:16" s="21" customFormat="1" ht="39.950000000000003" customHeight="1">
      <c r="A464" s="9">
        <v>2</v>
      </c>
      <c r="B464" s="207">
        <v>2051</v>
      </c>
      <c r="C464" s="231" t="s">
        <v>3054</v>
      </c>
      <c r="D464" s="11" t="s">
        <v>3055</v>
      </c>
      <c r="E464" s="12" t="s">
        <v>972</v>
      </c>
      <c r="F464" s="30">
        <v>0</v>
      </c>
      <c r="G464" s="30"/>
      <c r="H464" s="30"/>
      <c r="I464" s="22" t="s">
        <v>3058</v>
      </c>
      <c r="J464" s="31"/>
      <c r="K464" s="32">
        <v>0</v>
      </c>
      <c r="L464" s="32"/>
      <c r="M464" s="33">
        <v>1</v>
      </c>
      <c r="N464" s="33"/>
    </row>
    <row r="465" spans="1:14" s="21" customFormat="1" ht="39.950000000000003" customHeight="1">
      <c r="A465" s="9">
        <v>3</v>
      </c>
      <c r="B465" s="207">
        <v>2038</v>
      </c>
      <c r="C465" s="231" t="s">
        <v>1034</v>
      </c>
      <c r="D465" s="11" t="s">
        <v>1035</v>
      </c>
      <c r="E465" s="12" t="s">
        <v>245</v>
      </c>
      <c r="F465" s="30" t="s">
        <v>17</v>
      </c>
      <c r="G465" s="30"/>
      <c r="H465" s="30"/>
      <c r="I465" s="48" t="s">
        <v>255</v>
      </c>
      <c r="J465" s="31"/>
      <c r="K465" s="32">
        <v>1</v>
      </c>
      <c r="L465" s="32"/>
      <c r="M465" s="33"/>
      <c r="N465" s="33"/>
    </row>
    <row r="466" spans="1:14" s="21" customFormat="1" ht="39.950000000000003" customHeight="1">
      <c r="A466" s="9">
        <v>4</v>
      </c>
      <c r="B466" s="207">
        <v>5935</v>
      </c>
      <c r="C466" s="11" t="s">
        <v>1466</v>
      </c>
      <c r="D466" s="11" t="s">
        <v>1467</v>
      </c>
      <c r="E466" s="12" t="s">
        <v>245</v>
      </c>
      <c r="F466" s="30" t="s">
        <v>17</v>
      </c>
      <c r="G466" s="30"/>
      <c r="H466" s="30"/>
      <c r="I466" s="48" t="s">
        <v>255</v>
      </c>
      <c r="J466" s="31"/>
      <c r="K466" s="32">
        <v>1</v>
      </c>
      <c r="L466" s="32"/>
      <c r="M466" s="33"/>
      <c r="N466" s="33"/>
    </row>
    <row r="467" spans="1:14" s="21" customFormat="1" ht="39.950000000000003" customHeight="1">
      <c r="A467" s="9">
        <v>5</v>
      </c>
      <c r="B467" s="207">
        <v>6824</v>
      </c>
      <c r="C467" s="231" t="s">
        <v>3606</v>
      </c>
      <c r="D467" s="11" t="s">
        <v>3607</v>
      </c>
      <c r="E467" s="12" t="s">
        <v>245</v>
      </c>
      <c r="F467" s="30" t="s">
        <v>17</v>
      </c>
      <c r="G467" s="30"/>
      <c r="H467" s="30"/>
      <c r="I467" s="48" t="s">
        <v>255</v>
      </c>
      <c r="J467" s="31"/>
      <c r="K467" s="32">
        <v>1</v>
      </c>
      <c r="L467" s="32"/>
      <c r="M467" s="33"/>
      <c r="N467" s="33"/>
    </row>
    <row r="468" spans="1:14" s="21" customFormat="1" ht="39.950000000000003" customHeight="1">
      <c r="A468" s="9">
        <v>6</v>
      </c>
      <c r="B468" s="207">
        <v>6084</v>
      </c>
      <c r="C468" s="231" t="s">
        <v>1779</v>
      </c>
      <c r="D468" s="11" t="s">
        <v>1780</v>
      </c>
      <c r="E468" s="12" t="s">
        <v>125</v>
      </c>
      <c r="F468" s="30" t="s">
        <v>17</v>
      </c>
      <c r="G468" s="30"/>
      <c r="H468" s="30"/>
      <c r="I468" s="22" t="s">
        <v>70</v>
      </c>
      <c r="J468" s="31"/>
      <c r="K468" s="32">
        <v>0</v>
      </c>
      <c r="L468" s="32"/>
      <c r="M468" s="33">
        <v>1</v>
      </c>
      <c r="N468" s="33"/>
    </row>
    <row r="469" spans="1:14" s="21" customFormat="1" ht="39.950000000000003" customHeight="1">
      <c r="A469" s="9">
        <v>7</v>
      </c>
      <c r="B469" s="207">
        <v>4406</v>
      </c>
      <c r="C469" s="11" t="s">
        <v>251</v>
      </c>
      <c r="D469" s="11" t="s">
        <v>902</v>
      </c>
      <c r="E469" s="12" t="s">
        <v>246</v>
      </c>
      <c r="F469" s="30">
        <v>0</v>
      </c>
      <c r="G469" s="30">
        <v>0</v>
      </c>
      <c r="H469" s="30" t="str">
        <f t="shared" ref="H469" si="108">IF(G469&gt;0,(G469*1.5)+F469,"YOK")</f>
        <v>YOK</v>
      </c>
      <c r="I469" s="49" t="s">
        <v>1185</v>
      </c>
      <c r="J469" s="31">
        <v>1</v>
      </c>
      <c r="K469" s="32">
        <v>0</v>
      </c>
      <c r="L469" s="32"/>
      <c r="M469" s="33"/>
      <c r="N469" s="33"/>
    </row>
    <row r="470" spans="1:14" s="21" customFormat="1" ht="39.950000000000003" customHeight="1">
      <c r="A470" s="9">
        <v>8</v>
      </c>
      <c r="B470" s="207">
        <v>4457</v>
      </c>
      <c r="C470" s="11" t="s">
        <v>247</v>
      </c>
      <c r="D470" s="11" t="s">
        <v>248</v>
      </c>
      <c r="E470" s="12" t="s">
        <v>246</v>
      </c>
      <c r="F470" s="30">
        <v>7.5</v>
      </c>
      <c r="G470" s="30">
        <v>2.5</v>
      </c>
      <c r="H470" s="30">
        <f t="shared" ref="H470" si="109">IF(G470&gt;0,(G470*1.5)+F470,"YOK")</f>
        <v>11.25</v>
      </c>
      <c r="I470" s="49" t="s">
        <v>809</v>
      </c>
      <c r="J470" s="31"/>
      <c r="K470" s="32">
        <v>1</v>
      </c>
      <c r="L470" s="32"/>
      <c r="M470" s="33"/>
      <c r="N470" s="33"/>
    </row>
    <row r="471" spans="1:14" s="21" customFormat="1" ht="39.950000000000003" customHeight="1">
      <c r="A471" s="9">
        <v>9</v>
      </c>
      <c r="B471" s="207">
        <v>5944</v>
      </c>
      <c r="C471" s="11" t="s">
        <v>249</v>
      </c>
      <c r="D471" s="11" t="s">
        <v>250</v>
      </c>
      <c r="E471" s="12" t="s">
        <v>246</v>
      </c>
      <c r="F471" s="30">
        <v>7.5</v>
      </c>
      <c r="G471" s="30">
        <v>2.5</v>
      </c>
      <c r="H471" s="30">
        <f t="shared" ref="H471" si="110">IF(G471&gt;0,(G471*1.5)+F471,"YOK")</f>
        <v>11.25</v>
      </c>
      <c r="I471" s="49" t="s">
        <v>809</v>
      </c>
      <c r="J471" s="31"/>
      <c r="K471" s="32">
        <v>1</v>
      </c>
      <c r="L471" s="32"/>
      <c r="M471" s="33"/>
      <c r="N471" s="33"/>
    </row>
    <row r="472" spans="1:14" s="21" customFormat="1" ht="39.950000000000003" customHeight="1">
      <c r="A472" s="9">
        <v>10</v>
      </c>
      <c r="B472" s="207">
        <v>5525</v>
      </c>
      <c r="C472" s="11" t="s">
        <v>921</v>
      </c>
      <c r="D472" s="11" t="s">
        <v>922</v>
      </c>
      <c r="E472" s="12" t="s">
        <v>246</v>
      </c>
      <c r="F472" s="30">
        <v>7.5</v>
      </c>
      <c r="G472" s="30">
        <v>2.5</v>
      </c>
      <c r="H472" s="30">
        <f t="shared" ref="H472" si="111">IF(G472&gt;0,(G472*1.5)+F472,"YOK")</f>
        <v>11.25</v>
      </c>
      <c r="I472" s="49" t="s">
        <v>809</v>
      </c>
      <c r="J472" s="31"/>
      <c r="K472" s="32">
        <v>1</v>
      </c>
      <c r="L472" s="32"/>
      <c r="M472" s="33"/>
      <c r="N472" s="33"/>
    </row>
    <row r="473" spans="1:14" s="21" customFormat="1" ht="39.950000000000003" customHeight="1">
      <c r="A473" s="9">
        <v>11</v>
      </c>
      <c r="B473" s="207">
        <v>5727</v>
      </c>
      <c r="C473" s="205" t="s">
        <v>1192</v>
      </c>
      <c r="D473" s="11" t="s">
        <v>1193</v>
      </c>
      <c r="E473" s="12" t="s">
        <v>246</v>
      </c>
      <c r="F473" s="30">
        <v>7.5</v>
      </c>
      <c r="G473" s="30">
        <v>2.5</v>
      </c>
      <c r="H473" s="30">
        <f t="shared" ref="H473" si="112">IF(G473&gt;0,(G473*1.5)+F473,"YOK")</f>
        <v>11.25</v>
      </c>
      <c r="I473" s="49" t="s">
        <v>809</v>
      </c>
      <c r="J473" s="31"/>
      <c r="K473" s="32">
        <v>1</v>
      </c>
      <c r="L473" s="32"/>
      <c r="M473" s="33"/>
      <c r="N473" s="33"/>
    </row>
    <row r="474" spans="1:14" s="21" customFormat="1" ht="39.950000000000003" customHeight="1">
      <c r="A474" s="9">
        <v>12</v>
      </c>
      <c r="B474" s="207">
        <v>5729</v>
      </c>
      <c r="C474" s="205" t="s">
        <v>1194</v>
      </c>
      <c r="D474" s="11" t="s">
        <v>1195</v>
      </c>
      <c r="E474" s="12" t="s">
        <v>246</v>
      </c>
      <c r="F474" s="30">
        <v>0</v>
      </c>
      <c r="G474" s="30">
        <v>0</v>
      </c>
      <c r="H474" s="30" t="str">
        <f t="shared" ref="H474" si="113">IF(G474&gt;0,(G474*1.5)+F474,"YOK")</f>
        <v>YOK</v>
      </c>
      <c r="I474" s="49" t="s">
        <v>1185</v>
      </c>
      <c r="J474" s="31">
        <v>1</v>
      </c>
      <c r="K474" s="32">
        <v>0</v>
      </c>
      <c r="L474" s="32"/>
      <c r="M474" s="33"/>
      <c r="N474" s="33"/>
    </row>
    <row r="475" spans="1:14" s="21" customFormat="1" ht="39.950000000000003" customHeight="1">
      <c r="A475" s="9">
        <v>13</v>
      </c>
      <c r="B475" s="207">
        <v>5841</v>
      </c>
      <c r="C475" s="11" t="s">
        <v>1329</v>
      </c>
      <c r="D475" s="11" t="s">
        <v>1328</v>
      </c>
      <c r="E475" s="12" t="s">
        <v>246</v>
      </c>
      <c r="F475" s="30">
        <v>7.5</v>
      </c>
      <c r="G475" s="30">
        <v>2.5</v>
      </c>
      <c r="H475" s="30">
        <f t="shared" ref="H475" si="114">IF(G475&gt;0,(G475*1.5)+F475,"YOK")</f>
        <v>11.25</v>
      </c>
      <c r="I475" s="49" t="s">
        <v>809</v>
      </c>
      <c r="J475" s="31"/>
      <c r="K475" s="32">
        <v>1</v>
      </c>
      <c r="L475" s="32"/>
      <c r="M475" s="33"/>
      <c r="N475" s="33"/>
    </row>
    <row r="476" spans="1:14" s="21" customFormat="1" ht="39.950000000000003" customHeight="1">
      <c r="A476" s="9">
        <v>14</v>
      </c>
      <c r="B476" s="207">
        <v>6567</v>
      </c>
      <c r="C476" s="11" t="s">
        <v>1350</v>
      </c>
      <c r="D476" s="11" t="s">
        <v>1351</v>
      </c>
      <c r="E476" s="12" t="s">
        <v>246</v>
      </c>
      <c r="F476" s="30">
        <v>7.5</v>
      </c>
      <c r="G476" s="30">
        <v>2.5</v>
      </c>
      <c r="H476" s="30">
        <f t="shared" ref="H476" si="115">IF(G476&gt;0,(G476*1.5)+F476,"YOK")</f>
        <v>11.25</v>
      </c>
      <c r="I476" s="49" t="s">
        <v>809</v>
      </c>
      <c r="J476" s="31"/>
      <c r="K476" s="32">
        <v>1</v>
      </c>
      <c r="L476" s="32"/>
      <c r="M476" s="33"/>
      <c r="N476" s="33"/>
    </row>
    <row r="477" spans="1:14" s="21" customFormat="1" ht="39.950000000000003" customHeight="1">
      <c r="A477" s="9">
        <v>15</v>
      </c>
      <c r="B477" s="207">
        <v>5937</v>
      </c>
      <c r="C477" s="11" t="s">
        <v>1462</v>
      </c>
      <c r="D477" s="11" t="s">
        <v>1463</v>
      </c>
      <c r="E477" s="12" t="s">
        <v>246</v>
      </c>
      <c r="F477" s="30">
        <v>0</v>
      </c>
      <c r="G477" s="30">
        <v>0</v>
      </c>
      <c r="H477" s="30" t="str">
        <f t="shared" ref="H477" si="116">IF(G477&gt;0,(G477*1.5)+F477,"YOK")</f>
        <v>YOK</v>
      </c>
      <c r="I477" s="49" t="s">
        <v>1185</v>
      </c>
      <c r="J477" s="31">
        <v>1</v>
      </c>
      <c r="K477" s="32">
        <v>0</v>
      </c>
      <c r="L477" s="32"/>
      <c r="M477" s="33"/>
      <c r="N477" s="33"/>
    </row>
    <row r="478" spans="1:14" s="21" customFormat="1" ht="39.950000000000003" customHeight="1">
      <c r="A478" s="9">
        <v>16</v>
      </c>
      <c r="B478" s="207">
        <v>5936</v>
      </c>
      <c r="C478" s="11" t="s">
        <v>1465</v>
      </c>
      <c r="D478" s="11" t="s">
        <v>1464</v>
      </c>
      <c r="E478" s="12" t="s">
        <v>246</v>
      </c>
      <c r="F478" s="30">
        <v>7.5</v>
      </c>
      <c r="G478" s="30">
        <v>2.5</v>
      </c>
      <c r="H478" s="30">
        <f t="shared" ref="H478" si="117">IF(G478&gt;0,(G478*1.5)+F478,"YOK")</f>
        <v>11.25</v>
      </c>
      <c r="I478" s="49" t="s">
        <v>809</v>
      </c>
      <c r="J478" s="31"/>
      <c r="K478" s="32">
        <v>1</v>
      </c>
      <c r="L478" s="32"/>
      <c r="M478" s="33"/>
      <c r="N478" s="33"/>
    </row>
    <row r="479" spans="1:14" s="21" customFormat="1" ht="39.950000000000003" customHeight="1">
      <c r="A479" s="9">
        <v>17</v>
      </c>
      <c r="B479" s="207">
        <v>5934</v>
      </c>
      <c r="C479" s="11" t="s">
        <v>1468</v>
      </c>
      <c r="D479" s="11" t="s">
        <v>1469</v>
      </c>
      <c r="E479" s="12" t="s">
        <v>246</v>
      </c>
      <c r="F479" s="30">
        <v>7.5</v>
      </c>
      <c r="G479" s="30">
        <v>2.5</v>
      </c>
      <c r="H479" s="30">
        <f t="shared" ref="H479" si="118">IF(G479&gt;0,(G479*1.5)+F479,"YOK")</f>
        <v>11.25</v>
      </c>
      <c r="I479" s="49" t="s">
        <v>809</v>
      </c>
      <c r="J479" s="31"/>
      <c r="K479" s="32">
        <v>1</v>
      </c>
      <c r="L479" s="32"/>
      <c r="M479" s="33"/>
      <c r="N479" s="33"/>
    </row>
    <row r="480" spans="1:14" s="21" customFormat="1" ht="39.950000000000003" customHeight="1">
      <c r="A480" s="9">
        <v>18</v>
      </c>
      <c r="B480" s="207">
        <v>5933</v>
      </c>
      <c r="C480" s="11" t="s">
        <v>1471</v>
      </c>
      <c r="D480" s="11" t="s">
        <v>1470</v>
      </c>
      <c r="E480" s="12" t="s">
        <v>246</v>
      </c>
      <c r="F480" s="30">
        <v>7.5</v>
      </c>
      <c r="G480" s="30">
        <v>2.5</v>
      </c>
      <c r="H480" s="30">
        <f t="shared" ref="H480" si="119">IF(G480&gt;0,(G480*1.5)+F480,"YOK")</f>
        <v>11.25</v>
      </c>
      <c r="I480" s="49" t="s">
        <v>809</v>
      </c>
      <c r="J480" s="31"/>
      <c r="K480" s="32">
        <v>1</v>
      </c>
      <c r="L480" s="32"/>
      <c r="M480" s="33"/>
      <c r="N480"/>
    </row>
    <row r="481" spans="1:14" s="21" customFormat="1" ht="39.950000000000003" customHeight="1">
      <c r="A481" s="9">
        <v>19</v>
      </c>
      <c r="B481" s="207">
        <v>6014</v>
      </c>
      <c r="C481" s="11" t="s">
        <v>1687</v>
      </c>
      <c r="D481" s="11" t="s">
        <v>1688</v>
      </c>
      <c r="E481" s="12" t="s">
        <v>246</v>
      </c>
      <c r="F481" s="30">
        <v>7.5</v>
      </c>
      <c r="G481" s="30">
        <v>2.5</v>
      </c>
      <c r="H481" s="30">
        <f t="shared" ref="H481" si="120">IF(G481&gt;0,(G481*1.5)+F481,"YOK")</f>
        <v>11.25</v>
      </c>
      <c r="I481" s="49" t="s">
        <v>809</v>
      </c>
      <c r="J481" s="31"/>
      <c r="K481" s="32">
        <v>1</v>
      </c>
      <c r="L481" s="32"/>
      <c r="M481" s="33"/>
      <c r="N481" s="33"/>
    </row>
    <row r="482" spans="1:14" s="21" customFormat="1" ht="39.950000000000003" customHeight="1">
      <c r="A482" s="9">
        <v>20</v>
      </c>
      <c r="B482" s="207">
        <v>6083</v>
      </c>
      <c r="C482" s="11" t="s">
        <v>1778</v>
      </c>
      <c r="D482" s="11" t="s">
        <v>1777</v>
      </c>
      <c r="E482" s="12" t="s">
        <v>246</v>
      </c>
      <c r="F482" s="30">
        <v>7.5</v>
      </c>
      <c r="G482" s="30">
        <v>2.5</v>
      </c>
      <c r="H482" s="30">
        <f t="shared" ref="H482" si="121">IF(G482&gt;0,(G482*1.5)+F482,"YOK")</f>
        <v>11.25</v>
      </c>
      <c r="I482" s="49" t="s">
        <v>809</v>
      </c>
      <c r="J482" s="31"/>
      <c r="K482" s="32">
        <v>1</v>
      </c>
      <c r="L482" s="32"/>
      <c r="M482" s="33"/>
      <c r="N482" s="33"/>
    </row>
    <row r="483" spans="1:14" s="21" customFormat="1" ht="39.950000000000003" customHeight="1">
      <c r="A483" s="9">
        <v>21</v>
      </c>
      <c r="B483" s="207">
        <v>6030</v>
      </c>
      <c r="C483" s="11" t="s">
        <v>1689</v>
      </c>
      <c r="D483" s="11" t="s">
        <v>1690</v>
      </c>
      <c r="E483" s="12" t="s">
        <v>246</v>
      </c>
      <c r="F483" s="30">
        <v>7.5</v>
      </c>
      <c r="G483" s="30">
        <v>2.5</v>
      </c>
      <c r="H483" s="30">
        <f t="shared" ref="H483" si="122">IF(G483&gt;0,(G483*1.5)+F483,"YOK")</f>
        <v>11.25</v>
      </c>
      <c r="I483" s="49" t="s">
        <v>809</v>
      </c>
      <c r="J483" s="31"/>
      <c r="K483" s="32">
        <v>1</v>
      </c>
      <c r="L483" s="32"/>
      <c r="M483" s="33"/>
      <c r="N483" s="33"/>
    </row>
    <row r="484" spans="1:14" s="21" customFormat="1" ht="39.950000000000003" customHeight="1">
      <c r="A484" s="9">
        <v>22</v>
      </c>
      <c r="B484" s="207">
        <v>6033</v>
      </c>
      <c r="C484" s="11" t="s">
        <v>1695</v>
      </c>
      <c r="D484" s="11" t="s">
        <v>1696</v>
      </c>
      <c r="E484" s="12" t="s">
        <v>246</v>
      </c>
      <c r="F484" s="30">
        <v>0</v>
      </c>
      <c r="G484" s="30">
        <v>0</v>
      </c>
      <c r="H484" s="30" t="str">
        <f t="shared" ref="H484" si="123">IF(G484&gt;0,(G484*1.5)+F484,"YOK")</f>
        <v>YOK</v>
      </c>
      <c r="I484" s="49" t="s">
        <v>1185</v>
      </c>
      <c r="J484" s="31">
        <v>1</v>
      </c>
      <c r="K484" s="32">
        <v>0</v>
      </c>
      <c r="L484" s="32"/>
      <c r="M484" s="33"/>
      <c r="N484" s="33"/>
    </row>
    <row r="485" spans="1:14" s="21" customFormat="1" ht="39.950000000000003" customHeight="1">
      <c r="A485" s="9">
        <v>23</v>
      </c>
      <c r="B485" s="207">
        <v>6088</v>
      </c>
      <c r="C485" s="11" t="s">
        <v>1794</v>
      </c>
      <c r="D485" s="11" t="s">
        <v>1795</v>
      </c>
      <c r="E485" s="12" t="s">
        <v>246</v>
      </c>
      <c r="F485" s="30">
        <v>7.5</v>
      </c>
      <c r="G485" s="30">
        <v>2.5</v>
      </c>
      <c r="H485" s="30">
        <f t="shared" ref="H485" si="124">IF(G485&gt;0,(G485*1.5)+F485,"YOK")</f>
        <v>11.25</v>
      </c>
      <c r="I485" s="49" t="s">
        <v>809</v>
      </c>
      <c r="J485" s="31"/>
      <c r="K485" s="32">
        <v>1</v>
      </c>
      <c r="L485" s="32"/>
      <c r="M485" s="33"/>
      <c r="N485" s="33"/>
    </row>
    <row r="486" spans="1:14" s="21" customFormat="1" ht="39.950000000000003" customHeight="1">
      <c r="A486" s="9">
        <v>24</v>
      </c>
      <c r="B486" s="207">
        <v>6155</v>
      </c>
      <c r="C486" s="11" t="s">
        <v>1992</v>
      </c>
      <c r="D486" s="11" t="s">
        <v>1993</v>
      </c>
      <c r="E486" s="12" t="s">
        <v>246</v>
      </c>
      <c r="F486" s="30">
        <v>7.5</v>
      </c>
      <c r="G486" s="30">
        <v>2.5</v>
      </c>
      <c r="H486" s="30">
        <f t="shared" ref="H486" si="125">IF(G486&gt;0,(G486*1.5)+F486,"YOK")</f>
        <v>11.25</v>
      </c>
      <c r="I486" s="49" t="s">
        <v>809</v>
      </c>
      <c r="J486" s="31"/>
      <c r="K486" s="32">
        <v>1</v>
      </c>
      <c r="L486" s="32"/>
      <c r="M486" s="33"/>
      <c r="N486" s="33"/>
    </row>
    <row r="487" spans="1:14" s="21" customFormat="1" ht="39.950000000000003" customHeight="1">
      <c r="A487" s="9">
        <v>25</v>
      </c>
      <c r="B487" s="207">
        <v>6180</v>
      </c>
      <c r="C487" s="11" t="s">
        <v>2046</v>
      </c>
      <c r="D487" s="11" t="s">
        <v>2047</v>
      </c>
      <c r="E487" s="12" t="s">
        <v>246</v>
      </c>
      <c r="F487" s="30">
        <v>7.5</v>
      </c>
      <c r="G487" s="30">
        <v>2.5</v>
      </c>
      <c r="H487" s="30">
        <f t="shared" ref="H487" si="126">IF(G487&gt;0,(G487*1.5)+F487,"YOK")</f>
        <v>11.25</v>
      </c>
      <c r="I487" s="49" t="s">
        <v>809</v>
      </c>
      <c r="J487" s="31"/>
      <c r="K487" s="32">
        <v>1</v>
      </c>
      <c r="L487" s="32"/>
      <c r="M487" s="33"/>
      <c r="N487" s="33"/>
    </row>
    <row r="488" spans="1:14" s="21" customFormat="1" ht="39.950000000000003" customHeight="1">
      <c r="A488" s="9">
        <v>26</v>
      </c>
      <c r="B488" s="207">
        <v>6179</v>
      </c>
      <c r="C488" s="11" t="s">
        <v>2052</v>
      </c>
      <c r="D488" s="11" t="s">
        <v>2053</v>
      </c>
      <c r="E488" s="12" t="s">
        <v>246</v>
      </c>
      <c r="F488" s="30">
        <v>7.5</v>
      </c>
      <c r="G488" s="30">
        <v>2.5</v>
      </c>
      <c r="H488" s="30">
        <f t="shared" ref="H488" si="127">IF(G488&gt;0,(G488*1.5)+F488,"YOK")</f>
        <v>11.25</v>
      </c>
      <c r="I488" s="49" t="s">
        <v>809</v>
      </c>
      <c r="J488" s="31"/>
      <c r="K488" s="32">
        <v>1</v>
      </c>
      <c r="L488" s="32"/>
      <c r="M488" s="33"/>
      <c r="N488" s="33"/>
    </row>
    <row r="489" spans="1:14" s="21" customFormat="1" ht="39.950000000000003" customHeight="1">
      <c r="A489" s="9">
        <v>27</v>
      </c>
      <c r="B489" s="207">
        <v>6317</v>
      </c>
      <c r="C489" s="11" t="s">
        <v>2332</v>
      </c>
      <c r="D489" s="11" t="s">
        <v>2333</v>
      </c>
      <c r="E489" s="12" t="s">
        <v>246</v>
      </c>
      <c r="F489" s="30">
        <v>7.5</v>
      </c>
      <c r="G489" s="30">
        <v>2.5</v>
      </c>
      <c r="H489" s="30">
        <f t="shared" ref="H489" si="128">IF(G489&gt;0,(G489*1.5)+F489,"YOK")</f>
        <v>11.25</v>
      </c>
      <c r="I489" s="49" t="s">
        <v>809</v>
      </c>
      <c r="J489" s="31"/>
      <c r="K489" s="32">
        <v>1</v>
      </c>
      <c r="L489" s="32"/>
      <c r="M489" s="33"/>
      <c r="N489" s="33"/>
    </row>
    <row r="490" spans="1:14" s="21" customFormat="1" ht="39.950000000000003" customHeight="1">
      <c r="A490" s="9">
        <v>28</v>
      </c>
      <c r="B490" s="207">
        <v>6380</v>
      </c>
      <c r="C490" s="11" t="s">
        <v>2460</v>
      </c>
      <c r="D490" s="11" t="s">
        <v>2461</v>
      </c>
      <c r="E490" s="12" t="s">
        <v>246</v>
      </c>
      <c r="F490" s="30">
        <v>7.5</v>
      </c>
      <c r="G490" s="30">
        <v>2.5</v>
      </c>
      <c r="H490" s="30">
        <f t="shared" ref="H490" si="129">IF(G490&gt;0,(G490*1.5)+F490,"YOK")</f>
        <v>11.25</v>
      </c>
      <c r="I490" s="49" t="s">
        <v>809</v>
      </c>
      <c r="J490" s="31"/>
      <c r="K490" s="32">
        <v>1</v>
      </c>
      <c r="L490" s="32"/>
      <c r="M490" s="33"/>
      <c r="N490" s="33"/>
    </row>
    <row r="491" spans="1:14" s="21" customFormat="1" ht="39.950000000000003" customHeight="1">
      <c r="A491" s="9">
        <v>29</v>
      </c>
      <c r="B491" s="207">
        <v>6381</v>
      </c>
      <c r="C491" s="11" t="s">
        <v>2462</v>
      </c>
      <c r="D491" s="11" t="s">
        <v>2463</v>
      </c>
      <c r="E491" s="12" t="s">
        <v>246</v>
      </c>
      <c r="F491" s="30">
        <v>7.5</v>
      </c>
      <c r="G491" s="30">
        <v>2.5</v>
      </c>
      <c r="H491" s="30">
        <f t="shared" ref="H491" si="130">IF(G491&gt;0,(G491*1.5)+F491,"YOK")</f>
        <v>11.25</v>
      </c>
      <c r="I491" s="49" t="s">
        <v>809</v>
      </c>
      <c r="J491" s="31"/>
      <c r="K491" s="32">
        <v>1</v>
      </c>
      <c r="L491" s="32"/>
      <c r="M491" s="33"/>
      <c r="N491" s="33"/>
    </row>
    <row r="492" spans="1:14" s="21" customFormat="1" ht="39.950000000000003" customHeight="1">
      <c r="A492" s="9">
        <v>30</v>
      </c>
      <c r="B492" s="207">
        <v>6382</v>
      </c>
      <c r="C492" s="11" t="s">
        <v>2464</v>
      </c>
      <c r="D492" s="11" t="s">
        <v>2465</v>
      </c>
      <c r="E492" s="12" t="s">
        <v>246</v>
      </c>
      <c r="F492" s="30">
        <v>7.5</v>
      </c>
      <c r="G492" s="30">
        <v>2.5</v>
      </c>
      <c r="H492" s="30">
        <f t="shared" ref="H492" si="131">IF(G492&gt;0,(G492*1.5)+F492,"YOK")</f>
        <v>11.25</v>
      </c>
      <c r="I492" s="49" t="s">
        <v>809</v>
      </c>
      <c r="J492" s="31"/>
      <c r="K492" s="32">
        <v>1</v>
      </c>
      <c r="L492" s="32"/>
      <c r="M492" s="33"/>
      <c r="N492" s="33"/>
    </row>
    <row r="493" spans="1:14" s="21" customFormat="1" ht="39.950000000000003" customHeight="1">
      <c r="A493" s="9">
        <v>31</v>
      </c>
      <c r="B493" s="207">
        <v>6497</v>
      </c>
      <c r="C493" s="231" t="s">
        <v>2585</v>
      </c>
      <c r="D493" s="11" t="s">
        <v>2586</v>
      </c>
      <c r="E493" s="12" t="s">
        <v>246</v>
      </c>
      <c r="F493" s="30">
        <v>7.5</v>
      </c>
      <c r="G493" s="30">
        <v>2.5</v>
      </c>
      <c r="H493" s="30">
        <f t="shared" ref="H493" si="132">IF(G493&gt;0,(G493*1.5)+F493,"YOK")</f>
        <v>11.25</v>
      </c>
      <c r="I493" s="49" t="s">
        <v>809</v>
      </c>
      <c r="J493" s="31"/>
      <c r="K493" s="32">
        <v>1</v>
      </c>
      <c r="L493" s="32"/>
      <c r="M493" s="33"/>
      <c r="N493" s="33"/>
    </row>
    <row r="494" spans="1:14" s="21" customFormat="1" ht="39.950000000000003" customHeight="1">
      <c r="A494" s="9">
        <v>32</v>
      </c>
      <c r="B494" s="222">
        <v>6674</v>
      </c>
      <c r="C494" s="185" t="s">
        <v>2964</v>
      </c>
      <c r="D494" s="50" t="s">
        <v>2967</v>
      </c>
      <c r="E494" s="12" t="s">
        <v>246</v>
      </c>
      <c r="F494" s="30">
        <v>7.5</v>
      </c>
      <c r="G494" s="30">
        <v>2.5</v>
      </c>
      <c r="H494" s="30">
        <f>IF(G494&gt;0,(G494*1.5)+F494,"YOK")</f>
        <v>11.25</v>
      </c>
      <c r="I494" s="226" t="s">
        <v>811</v>
      </c>
      <c r="J494" s="31"/>
      <c r="K494" s="32">
        <v>1</v>
      </c>
      <c r="L494" s="32"/>
      <c r="M494" s="33"/>
      <c r="N494"/>
    </row>
    <row r="495" spans="1:14" s="21" customFormat="1" ht="39.950000000000003" customHeight="1">
      <c r="A495" s="9">
        <v>33</v>
      </c>
      <c r="B495" s="222">
        <v>6675</v>
      </c>
      <c r="C495" s="185" t="s">
        <v>2965</v>
      </c>
      <c r="D495" s="50" t="s">
        <v>2968</v>
      </c>
      <c r="E495" s="12" t="s">
        <v>246</v>
      </c>
      <c r="F495" s="30">
        <v>7.5</v>
      </c>
      <c r="G495" s="30">
        <v>2.5</v>
      </c>
      <c r="H495" s="30">
        <f>IF(G495&gt;0,(G495*1.5)+F495,"YOK")</f>
        <v>11.25</v>
      </c>
      <c r="I495" s="226" t="s">
        <v>811</v>
      </c>
      <c r="J495" s="31"/>
      <c r="K495" s="32">
        <v>1</v>
      </c>
      <c r="L495" s="32"/>
      <c r="M495" s="33"/>
      <c r="N495"/>
    </row>
    <row r="496" spans="1:14" s="21" customFormat="1" ht="39.950000000000003" customHeight="1">
      <c r="A496" s="9">
        <v>34</v>
      </c>
      <c r="B496" s="222">
        <v>6676</v>
      </c>
      <c r="C496" s="185" t="s">
        <v>2966</v>
      </c>
      <c r="D496" s="50" t="s">
        <v>2969</v>
      </c>
      <c r="E496" s="12" t="s">
        <v>246</v>
      </c>
      <c r="F496" s="30">
        <v>7.5</v>
      </c>
      <c r="G496" s="30">
        <v>2.5</v>
      </c>
      <c r="H496" s="30">
        <f>IF(G496&gt;0,(G496*1.5)+F496,"YOK")</f>
        <v>11.25</v>
      </c>
      <c r="I496" s="226" t="s">
        <v>811</v>
      </c>
      <c r="J496" s="31"/>
      <c r="K496" s="32">
        <v>1</v>
      </c>
      <c r="L496" s="32"/>
      <c r="M496" s="33"/>
      <c r="N496"/>
    </row>
    <row r="497" spans="1:14" s="21" customFormat="1" ht="39.950000000000003" customHeight="1">
      <c r="A497" s="9">
        <v>35</v>
      </c>
      <c r="B497" s="222">
        <v>6720</v>
      </c>
      <c r="C497" s="185" t="s">
        <v>3201</v>
      </c>
      <c r="D497" s="50" t="s">
        <v>3202</v>
      </c>
      <c r="E497" s="12" t="s">
        <v>246</v>
      </c>
      <c r="F497" s="30">
        <v>7.5</v>
      </c>
      <c r="G497" s="30">
        <v>2.5</v>
      </c>
      <c r="H497" s="30">
        <f t="shared" ref="H497" si="133">IF(G497&gt;0,(G497*1.5)+F497,"YOK")</f>
        <v>11.25</v>
      </c>
      <c r="I497" s="226" t="s">
        <v>811</v>
      </c>
      <c r="J497" s="31"/>
      <c r="K497" s="32">
        <v>1</v>
      </c>
      <c r="L497" s="32"/>
      <c r="M497" s="33"/>
      <c r="N497"/>
    </row>
    <row r="498" spans="1:14" s="21" customFormat="1" ht="39.950000000000003" customHeight="1">
      <c r="A498" s="9">
        <v>36</v>
      </c>
      <c r="B498" s="222">
        <v>6568</v>
      </c>
      <c r="C498" s="185" t="s">
        <v>2782</v>
      </c>
      <c r="D498" s="50" t="s">
        <v>2783</v>
      </c>
      <c r="E498" s="12" t="s">
        <v>246</v>
      </c>
      <c r="F498" s="30">
        <v>7.5</v>
      </c>
      <c r="G498" s="30">
        <v>2.5</v>
      </c>
      <c r="H498" s="30">
        <f t="shared" ref="H498" si="134">IF(G498&gt;0,(G498*1.5)+F498,"YOK")</f>
        <v>11.25</v>
      </c>
      <c r="I498" s="226" t="s">
        <v>811</v>
      </c>
      <c r="J498" s="31"/>
      <c r="K498" s="32">
        <v>1</v>
      </c>
      <c r="L498" s="32"/>
      <c r="M498" s="33"/>
      <c r="N498"/>
    </row>
    <row r="499" spans="1:14" s="21" customFormat="1" ht="39.950000000000003" customHeight="1">
      <c r="A499" s="9">
        <v>37</v>
      </c>
      <c r="B499" s="222">
        <v>6571</v>
      </c>
      <c r="C499" s="185" t="s">
        <v>2786</v>
      </c>
      <c r="D499" s="50" t="s">
        <v>2787</v>
      </c>
      <c r="E499" s="12" t="s">
        <v>246</v>
      </c>
      <c r="F499" s="30">
        <v>7.5</v>
      </c>
      <c r="G499" s="30">
        <v>2.5</v>
      </c>
      <c r="H499" s="30">
        <f t="shared" ref="H499" si="135">IF(G499&gt;0,(G499*1.5)+F499,"YOK")</f>
        <v>11.25</v>
      </c>
      <c r="I499" s="226" t="s">
        <v>811</v>
      </c>
      <c r="J499" s="31"/>
      <c r="K499" s="32">
        <v>1</v>
      </c>
      <c r="L499" s="32"/>
      <c r="M499" s="33"/>
      <c r="N499"/>
    </row>
    <row r="500" spans="1:14" s="21" customFormat="1" ht="39.950000000000003" customHeight="1">
      <c r="A500" s="9">
        <v>38</v>
      </c>
      <c r="B500" s="222">
        <v>6742</v>
      </c>
      <c r="C500" s="185" t="s">
        <v>3248</v>
      </c>
      <c r="D500" s="50" t="s">
        <v>3249</v>
      </c>
      <c r="E500" s="12" t="s">
        <v>246</v>
      </c>
      <c r="F500" s="30">
        <v>7.5</v>
      </c>
      <c r="G500" s="30">
        <v>2.5</v>
      </c>
      <c r="H500" s="30">
        <v>11.25</v>
      </c>
      <c r="I500" s="47" t="s">
        <v>132</v>
      </c>
      <c r="J500" s="31"/>
      <c r="K500" s="32">
        <v>1</v>
      </c>
      <c r="L500" s="32">
        <v>1</v>
      </c>
      <c r="M500" s="33"/>
      <c r="N500"/>
    </row>
    <row r="501" spans="1:14" s="21" customFormat="1" ht="39.950000000000003" customHeight="1">
      <c r="A501" s="9">
        <v>39</v>
      </c>
      <c r="B501" s="222">
        <v>6743</v>
      </c>
      <c r="C501" s="185" t="s">
        <v>3250</v>
      </c>
      <c r="D501" s="50" t="s">
        <v>3251</v>
      </c>
      <c r="E501" s="12" t="s">
        <v>246</v>
      </c>
      <c r="F501" s="30">
        <v>7.5</v>
      </c>
      <c r="G501" s="30">
        <v>2.5</v>
      </c>
      <c r="H501" s="30">
        <v>11.25</v>
      </c>
      <c r="I501" s="47" t="s">
        <v>132</v>
      </c>
      <c r="J501" s="31"/>
      <c r="K501" s="32">
        <v>1</v>
      </c>
      <c r="L501" s="32">
        <v>1</v>
      </c>
      <c r="M501" s="33"/>
      <c r="N501"/>
    </row>
    <row r="502" spans="1:14" s="21" customFormat="1" ht="39.950000000000003" customHeight="1">
      <c r="A502" s="9">
        <v>40</v>
      </c>
      <c r="B502" s="222">
        <v>6744</v>
      </c>
      <c r="C502" s="185" t="s">
        <v>3252</v>
      </c>
      <c r="D502" s="50" t="s">
        <v>3253</v>
      </c>
      <c r="E502" s="12" t="s">
        <v>246</v>
      </c>
      <c r="F502" s="30">
        <v>7.5</v>
      </c>
      <c r="G502" s="30">
        <v>2.5</v>
      </c>
      <c r="H502" s="30">
        <v>11.25</v>
      </c>
      <c r="I502" s="47" t="s">
        <v>132</v>
      </c>
      <c r="J502" s="31"/>
      <c r="K502" s="32">
        <v>1</v>
      </c>
      <c r="L502" s="32">
        <v>1</v>
      </c>
      <c r="M502" s="33"/>
      <c r="N502"/>
    </row>
    <row r="503" spans="1:14" s="21" customFormat="1" ht="39.950000000000003" customHeight="1">
      <c r="A503" s="9">
        <v>41</v>
      </c>
      <c r="B503" s="222">
        <v>6745</v>
      </c>
      <c r="C503" s="185" t="s">
        <v>3254</v>
      </c>
      <c r="D503" s="50" t="s">
        <v>3255</v>
      </c>
      <c r="E503" s="12" t="s">
        <v>246</v>
      </c>
      <c r="F503" s="30">
        <v>7.5</v>
      </c>
      <c r="G503" s="30">
        <v>2.5</v>
      </c>
      <c r="H503" s="30">
        <f t="shared" ref="H503:H504" si="136">IF(G503&gt;0,(G503*1.5)+F503,"YOK")</f>
        <v>11.25</v>
      </c>
      <c r="I503" s="226" t="s">
        <v>811</v>
      </c>
      <c r="J503" s="31"/>
      <c r="K503" s="32">
        <v>1</v>
      </c>
      <c r="L503" s="32"/>
      <c r="M503" s="33"/>
      <c r="N503"/>
    </row>
    <row r="504" spans="1:14" s="21" customFormat="1" ht="39.950000000000003" customHeight="1">
      <c r="A504" s="9">
        <v>42</v>
      </c>
      <c r="B504" s="222">
        <v>6746</v>
      </c>
      <c r="C504" s="185" t="s">
        <v>3256</v>
      </c>
      <c r="D504" s="50" t="s">
        <v>3257</v>
      </c>
      <c r="E504" s="12" t="s">
        <v>246</v>
      </c>
      <c r="F504" s="30">
        <v>7.5</v>
      </c>
      <c r="G504" s="30">
        <v>2.5</v>
      </c>
      <c r="H504" s="30">
        <f t="shared" si="136"/>
        <v>11.25</v>
      </c>
      <c r="I504" s="226" t="s">
        <v>811</v>
      </c>
      <c r="J504" s="31"/>
      <c r="K504" s="32">
        <v>1</v>
      </c>
      <c r="L504" s="32"/>
      <c r="M504" s="33"/>
      <c r="N504"/>
    </row>
    <row r="505" spans="1:14" s="21" customFormat="1" ht="39.950000000000003" customHeight="1">
      <c r="A505" s="9">
        <v>43</v>
      </c>
      <c r="B505" s="207" t="s">
        <v>979</v>
      </c>
      <c r="C505" s="11" t="s">
        <v>1320</v>
      </c>
      <c r="D505" s="11" t="s">
        <v>1316</v>
      </c>
      <c r="E505" s="12" t="s">
        <v>246</v>
      </c>
      <c r="F505" s="30">
        <v>7.5</v>
      </c>
      <c r="G505" s="30">
        <v>2.5</v>
      </c>
      <c r="H505" s="30">
        <f t="shared" ref="H505" si="137">IF(G505&gt;0,(G505*1.5)+F505,"YOK")</f>
        <v>11.25</v>
      </c>
      <c r="I505" s="22" t="s">
        <v>1102</v>
      </c>
      <c r="J505" s="31"/>
      <c r="K505" s="32">
        <v>1</v>
      </c>
      <c r="L505" s="32"/>
      <c r="M505" s="33"/>
      <c r="N505" s="33"/>
    </row>
    <row r="506" spans="1:14" s="21" customFormat="1" ht="39.950000000000003" customHeight="1">
      <c r="A506" s="9">
        <v>44</v>
      </c>
      <c r="B506" s="207" t="s">
        <v>979</v>
      </c>
      <c r="C506" s="11" t="s">
        <v>1321</v>
      </c>
      <c r="D506" s="11" t="s">
        <v>1317</v>
      </c>
      <c r="E506" s="12" t="s">
        <v>246</v>
      </c>
      <c r="F506" s="30">
        <v>7.5</v>
      </c>
      <c r="G506" s="30">
        <v>2.5</v>
      </c>
      <c r="H506" s="30">
        <f t="shared" ref="H506" si="138">IF(G506&gt;0,(G506*1.5)+F506,"YOK")</f>
        <v>11.25</v>
      </c>
      <c r="I506" s="22" t="s">
        <v>1102</v>
      </c>
      <c r="J506" s="31"/>
      <c r="K506" s="32">
        <v>1</v>
      </c>
      <c r="L506" s="32"/>
      <c r="M506" s="33"/>
      <c r="N506" s="33"/>
    </row>
    <row r="507" spans="1:14" s="21" customFormat="1" ht="39.950000000000003" customHeight="1">
      <c r="A507" s="9">
        <v>45</v>
      </c>
      <c r="B507" s="207" t="s">
        <v>979</v>
      </c>
      <c r="C507" s="11" t="s">
        <v>1322</v>
      </c>
      <c r="D507" s="11" t="s">
        <v>1318</v>
      </c>
      <c r="E507" s="12" t="s">
        <v>246</v>
      </c>
      <c r="F507" s="30">
        <v>7.5</v>
      </c>
      <c r="G507" s="30">
        <v>2.5</v>
      </c>
      <c r="H507" s="30">
        <f t="shared" ref="H507:H508" si="139">IF(G507&gt;0,(G507*1.5)+F507,"YOK")</f>
        <v>11.25</v>
      </c>
      <c r="I507" s="22" t="s">
        <v>1102</v>
      </c>
      <c r="J507" s="31"/>
      <c r="K507" s="32">
        <v>1</v>
      </c>
      <c r="L507" s="32"/>
      <c r="M507" s="33"/>
      <c r="N507" s="33"/>
    </row>
    <row r="508" spans="1:14" s="21" customFormat="1" ht="39.950000000000003" customHeight="1">
      <c r="A508" s="9">
        <v>46</v>
      </c>
      <c r="B508" s="207" t="s">
        <v>979</v>
      </c>
      <c r="C508" s="11" t="s">
        <v>1323</v>
      </c>
      <c r="D508" s="11" t="s">
        <v>1319</v>
      </c>
      <c r="E508" s="12" t="s">
        <v>246</v>
      </c>
      <c r="F508" s="30">
        <v>7.5</v>
      </c>
      <c r="G508" s="30">
        <v>2.5</v>
      </c>
      <c r="H508" s="30">
        <f t="shared" si="139"/>
        <v>11.25</v>
      </c>
      <c r="I508" s="22" t="s">
        <v>1102</v>
      </c>
      <c r="J508" s="31"/>
      <c r="K508" s="32">
        <v>1</v>
      </c>
      <c r="L508" s="32"/>
      <c r="M508" s="33"/>
      <c r="N508" s="33"/>
    </row>
    <row r="509" spans="1:14" s="21" customFormat="1" ht="39.950000000000003" customHeight="1">
      <c r="A509" s="9">
        <v>47</v>
      </c>
      <c r="B509" s="207">
        <v>5897</v>
      </c>
      <c r="C509" s="11" t="s">
        <v>1439</v>
      </c>
      <c r="D509" s="11" t="s">
        <v>1440</v>
      </c>
      <c r="E509" s="12" t="s">
        <v>246</v>
      </c>
      <c r="F509" s="30">
        <v>7.5</v>
      </c>
      <c r="G509" s="30">
        <v>2.5</v>
      </c>
      <c r="H509" s="30">
        <f>IF(G509&gt;0,(G509*1.5)+F509,"YOK")</f>
        <v>11.25</v>
      </c>
      <c r="I509" s="22" t="s">
        <v>3662</v>
      </c>
      <c r="J509" s="31"/>
      <c r="K509" s="32">
        <v>0</v>
      </c>
      <c r="L509" s="32"/>
      <c r="M509" s="33">
        <v>1</v>
      </c>
      <c r="N509" s="33"/>
    </row>
    <row r="510" spans="1:14" s="21" customFormat="1" ht="39.950000000000003" customHeight="1">
      <c r="A510" s="9">
        <v>48</v>
      </c>
      <c r="B510" s="207">
        <v>6064</v>
      </c>
      <c r="C510" s="11" t="s">
        <v>1749</v>
      </c>
      <c r="D510" s="11" t="s">
        <v>2116</v>
      </c>
      <c r="E510" s="12" t="s">
        <v>246</v>
      </c>
      <c r="F510" s="30">
        <v>7.5</v>
      </c>
      <c r="G510" s="30">
        <v>2.5</v>
      </c>
      <c r="H510" s="30">
        <f>IF(G510&gt;0,(G510*1.5)+F510,"YOK")</f>
        <v>11.25</v>
      </c>
      <c r="I510" s="22" t="s">
        <v>3662</v>
      </c>
      <c r="J510" s="31"/>
      <c r="K510" s="32">
        <v>0</v>
      </c>
      <c r="L510" s="32"/>
      <c r="M510" s="33">
        <v>1</v>
      </c>
      <c r="N510" s="33"/>
    </row>
    <row r="511" spans="1:14" s="21" customFormat="1" ht="39.950000000000003" customHeight="1">
      <c r="A511" s="9">
        <v>49</v>
      </c>
      <c r="B511" s="207">
        <v>6181</v>
      </c>
      <c r="C511" s="11" t="s">
        <v>2048</v>
      </c>
      <c r="D511" s="11" t="s">
        <v>2049</v>
      </c>
      <c r="E511" s="12" t="s">
        <v>246</v>
      </c>
      <c r="F511" s="30">
        <v>7.5</v>
      </c>
      <c r="G511" s="30">
        <v>2.5</v>
      </c>
      <c r="H511" s="30">
        <f>IF(G511&gt;0,(G511*1.5)+F511,"YOK")</f>
        <v>11.25</v>
      </c>
      <c r="I511" s="22" t="s">
        <v>3662</v>
      </c>
      <c r="J511" s="31"/>
      <c r="K511" s="32">
        <v>0</v>
      </c>
      <c r="L511" s="32"/>
      <c r="M511" s="33">
        <v>1</v>
      </c>
      <c r="N511" s="33"/>
    </row>
    <row r="512" spans="1:14" s="21" customFormat="1" ht="39.950000000000003" customHeight="1">
      <c r="A512" s="9">
        <v>50</v>
      </c>
      <c r="B512" s="207">
        <v>6188</v>
      </c>
      <c r="C512" s="11" t="s">
        <v>2060</v>
      </c>
      <c r="D512" s="11" t="s">
        <v>2061</v>
      </c>
      <c r="E512" s="12" t="s">
        <v>246</v>
      </c>
      <c r="F512" s="30">
        <v>7.5</v>
      </c>
      <c r="G512" s="30">
        <v>2.5</v>
      </c>
      <c r="H512" s="30">
        <f>IF(G512&gt;0,(G512*1.5)+F512,"YOK")</f>
        <v>11.25</v>
      </c>
      <c r="I512" s="22" t="s">
        <v>3662</v>
      </c>
      <c r="J512" s="31"/>
      <c r="K512" s="32">
        <v>0</v>
      </c>
      <c r="L512" s="32"/>
      <c r="M512" s="33">
        <v>1</v>
      </c>
      <c r="N512" s="33"/>
    </row>
    <row r="513" spans="1:16" s="21" customFormat="1" ht="39.950000000000003" customHeight="1">
      <c r="A513" s="9">
        <v>51</v>
      </c>
      <c r="B513" s="207">
        <v>6189</v>
      </c>
      <c r="C513" s="11" t="s">
        <v>2065</v>
      </c>
      <c r="D513" s="11" t="s">
        <v>2066</v>
      </c>
      <c r="E513" s="12" t="s">
        <v>246</v>
      </c>
      <c r="F513" s="30">
        <v>7.5</v>
      </c>
      <c r="G513" s="30">
        <v>2.5</v>
      </c>
      <c r="H513" s="30">
        <f t="shared" ref="H513:H515" si="140">IF(G513&gt;0,(G513*1.5)+F513,"YOK")</f>
        <v>11.25</v>
      </c>
      <c r="I513" s="22" t="s">
        <v>3662</v>
      </c>
      <c r="J513" s="31"/>
      <c r="K513" s="32">
        <v>0</v>
      </c>
      <c r="L513" s="32"/>
      <c r="M513" s="33">
        <v>1</v>
      </c>
      <c r="N513" s="33"/>
    </row>
    <row r="514" spans="1:16" s="21" customFormat="1" ht="39.950000000000003" customHeight="1">
      <c r="A514" s="9">
        <v>52</v>
      </c>
      <c r="B514" s="207">
        <v>6190</v>
      </c>
      <c r="C514" s="11" t="s">
        <v>2068</v>
      </c>
      <c r="D514" s="11" t="s">
        <v>2067</v>
      </c>
      <c r="E514" s="12" t="s">
        <v>246</v>
      </c>
      <c r="F514" s="30">
        <v>7.5</v>
      </c>
      <c r="G514" s="30">
        <v>2.5</v>
      </c>
      <c r="H514" s="30">
        <f t="shared" si="140"/>
        <v>11.25</v>
      </c>
      <c r="I514" s="22" t="s">
        <v>3662</v>
      </c>
      <c r="J514" s="31"/>
      <c r="K514" s="32">
        <v>0</v>
      </c>
      <c r="L514" s="32"/>
      <c r="M514" s="33">
        <v>1</v>
      </c>
      <c r="N514" s="33"/>
    </row>
    <row r="515" spans="1:16" s="21" customFormat="1" ht="39.950000000000003" customHeight="1">
      <c r="A515" s="9">
        <v>53</v>
      </c>
      <c r="B515" s="207">
        <v>6207</v>
      </c>
      <c r="C515" s="11" t="s">
        <v>2098</v>
      </c>
      <c r="D515" s="11" t="s">
        <v>2099</v>
      </c>
      <c r="E515" s="12" t="s">
        <v>246</v>
      </c>
      <c r="F515" s="30">
        <v>7.5</v>
      </c>
      <c r="G515" s="30">
        <v>2.5</v>
      </c>
      <c r="H515" s="30">
        <f t="shared" si="140"/>
        <v>11.25</v>
      </c>
      <c r="I515" s="22" t="s">
        <v>3662</v>
      </c>
      <c r="J515" s="31"/>
      <c r="K515" s="32">
        <v>0</v>
      </c>
      <c r="L515" s="32"/>
      <c r="M515" s="33">
        <v>1</v>
      </c>
      <c r="N515" s="33"/>
    </row>
    <row r="516" spans="1:16" s="21" customFormat="1" ht="39.950000000000003" customHeight="1">
      <c r="A516" s="9">
        <v>54</v>
      </c>
      <c r="B516" s="222">
        <v>6525</v>
      </c>
      <c r="C516" s="185" t="s">
        <v>2660</v>
      </c>
      <c r="D516" s="50" t="s">
        <v>2661</v>
      </c>
      <c r="E516" s="12" t="s">
        <v>246</v>
      </c>
      <c r="F516" s="30">
        <v>7.5</v>
      </c>
      <c r="G516" s="30">
        <v>2.5</v>
      </c>
      <c r="H516" s="30">
        <f t="shared" ref="H516" si="141">IF(G516&gt;0,(G516*1.5)+F516,"YOK")</f>
        <v>11.25</v>
      </c>
      <c r="I516" s="22" t="s">
        <v>3662</v>
      </c>
      <c r="J516" s="31"/>
      <c r="K516" s="32">
        <v>0</v>
      </c>
      <c r="L516" s="32"/>
      <c r="M516" s="33">
        <v>1</v>
      </c>
      <c r="N516"/>
    </row>
    <row r="517" spans="1:16" s="21" customFormat="1" ht="39.950000000000003" customHeight="1">
      <c r="A517" s="9">
        <v>55</v>
      </c>
      <c r="B517" s="222">
        <v>6572</v>
      </c>
      <c r="C517" s="185" t="s">
        <v>2788</v>
      </c>
      <c r="D517" s="50" t="s">
        <v>2789</v>
      </c>
      <c r="E517" s="12" t="s">
        <v>246</v>
      </c>
      <c r="F517" s="30">
        <v>7.5</v>
      </c>
      <c r="G517" s="30">
        <v>2.5</v>
      </c>
      <c r="H517" s="30">
        <f>IF(G517&gt;0,(G517*1.5)+F517,"YOK")</f>
        <v>11.25</v>
      </c>
      <c r="I517" s="22" t="s">
        <v>3662</v>
      </c>
      <c r="J517" s="31"/>
      <c r="K517" s="32">
        <v>0</v>
      </c>
      <c r="L517" s="32"/>
      <c r="M517" s="33">
        <v>1</v>
      </c>
      <c r="N517"/>
    </row>
    <row r="518" spans="1:16" s="21" customFormat="1" ht="39.950000000000003" customHeight="1">
      <c r="A518" s="9">
        <v>56</v>
      </c>
      <c r="B518" s="222">
        <v>6569</v>
      </c>
      <c r="C518" s="185" t="s">
        <v>2784</v>
      </c>
      <c r="D518" s="50" t="s">
        <v>2785</v>
      </c>
      <c r="E518" s="12" t="s">
        <v>246</v>
      </c>
      <c r="F518" s="30">
        <v>7.5</v>
      </c>
      <c r="G518" s="30">
        <v>2.5</v>
      </c>
      <c r="H518" s="30">
        <f>IF(G518&gt;0,(G518*1.5)+F518,"YOK")</f>
        <v>11.25</v>
      </c>
      <c r="I518" s="22" t="s">
        <v>3662</v>
      </c>
      <c r="J518" s="31"/>
      <c r="K518" s="32">
        <v>0</v>
      </c>
      <c r="L518" s="32"/>
      <c r="M518" s="33">
        <v>1</v>
      </c>
      <c r="N518"/>
    </row>
    <row r="519" spans="1:16" s="21" customFormat="1" ht="39.950000000000003" customHeight="1">
      <c r="A519" s="9">
        <v>57</v>
      </c>
      <c r="B519" s="222">
        <v>6573</v>
      </c>
      <c r="C519" s="185" t="s">
        <v>2790</v>
      </c>
      <c r="D519" s="50" t="s">
        <v>2791</v>
      </c>
      <c r="E519" s="12" t="s">
        <v>246</v>
      </c>
      <c r="F519" s="30">
        <v>7.5</v>
      </c>
      <c r="G519" s="30">
        <v>2.5</v>
      </c>
      <c r="H519" s="30">
        <f t="shared" ref="H519" si="142">IF(G519&gt;0,(G519*1.5)+F519,"YOK")</f>
        <v>11.25</v>
      </c>
      <c r="I519" s="22" t="s">
        <v>3662</v>
      </c>
      <c r="J519" s="31"/>
      <c r="K519" s="32">
        <v>0</v>
      </c>
      <c r="L519" s="32"/>
      <c r="M519" s="33">
        <v>1</v>
      </c>
      <c r="N519"/>
    </row>
    <row r="520" spans="1:16" s="21" customFormat="1" ht="39.950000000000003" customHeight="1">
      <c r="A520" s="9">
        <v>58</v>
      </c>
      <c r="B520" s="207">
        <v>6352</v>
      </c>
      <c r="C520" s="11" t="s">
        <v>2405</v>
      </c>
      <c r="D520" s="11" t="s">
        <v>2406</v>
      </c>
      <c r="E520" s="12" t="s">
        <v>246</v>
      </c>
      <c r="F520" s="30">
        <v>0</v>
      </c>
      <c r="G520" s="30"/>
      <c r="H520" s="30"/>
      <c r="I520" s="189" t="s">
        <v>34</v>
      </c>
      <c r="J520" s="31"/>
      <c r="K520" s="32">
        <v>0</v>
      </c>
      <c r="L520" s="32"/>
      <c r="M520" s="33">
        <v>1</v>
      </c>
      <c r="N520" s="33"/>
    </row>
    <row r="521" spans="1:16" s="21" customFormat="1" ht="39.950000000000003" customHeight="1">
      <c r="A521" s="9">
        <v>59</v>
      </c>
      <c r="B521" s="207">
        <v>6187</v>
      </c>
      <c r="C521" s="11" t="s">
        <v>2058</v>
      </c>
      <c r="D521" s="11" t="s">
        <v>2059</v>
      </c>
      <c r="E521" s="12" t="s">
        <v>246</v>
      </c>
      <c r="F521" s="30">
        <v>0</v>
      </c>
      <c r="G521" s="30"/>
      <c r="H521" s="30"/>
      <c r="I521" s="189" t="s">
        <v>34</v>
      </c>
      <c r="J521" s="31"/>
      <c r="K521" s="32">
        <v>0</v>
      </c>
      <c r="L521" s="32"/>
      <c r="M521" s="33">
        <v>1</v>
      </c>
      <c r="N521" s="33"/>
    </row>
    <row r="522" spans="1:16" s="21" customFormat="1" ht="39.950000000000003" customHeight="1">
      <c r="A522" s="9">
        <v>60</v>
      </c>
      <c r="B522" s="207">
        <v>5923</v>
      </c>
      <c r="C522" s="11" t="s">
        <v>1488</v>
      </c>
      <c r="D522" s="11" t="s">
        <v>1498</v>
      </c>
      <c r="E522" s="12" t="s">
        <v>246</v>
      </c>
      <c r="F522" s="30">
        <v>0</v>
      </c>
      <c r="G522" s="30"/>
      <c r="H522" s="30"/>
      <c r="I522" s="189" t="s">
        <v>34</v>
      </c>
      <c r="J522" s="31"/>
      <c r="K522" s="32">
        <v>0</v>
      </c>
      <c r="L522" s="32"/>
      <c r="M522" s="33">
        <v>1</v>
      </c>
      <c r="N522" s="33"/>
    </row>
    <row r="523" spans="1:16" s="21" customFormat="1" ht="39.950000000000003" customHeight="1">
      <c r="A523" s="9">
        <v>61</v>
      </c>
      <c r="B523" s="207">
        <v>5761</v>
      </c>
      <c r="C523" s="11" t="s">
        <v>1223</v>
      </c>
      <c r="D523" s="11" t="s">
        <v>1224</v>
      </c>
      <c r="E523" s="12" t="s">
        <v>246</v>
      </c>
      <c r="F523" s="30">
        <v>0</v>
      </c>
      <c r="G523" s="30"/>
      <c r="H523" s="30"/>
      <c r="I523" s="189" t="s">
        <v>34</v>
      </c>
      <c r="J523" s="31"/>
      <c r="K523" s="32">
        <v>0</v>
      </c>
      <c r="L523" s="32"/>
      <c r="M523" s="33">
        <v>1</v>
      </c>
      <c r="N523" s="33"/>
    </row>
    <row r="524" spans="1:16" s="21" customFormat="1" ht="39.950000000000003" customHeight="1">
      <c r="A524" s="9">
        <v>62</v>
      </c>
      <c r="B524" s="207">
        <v>4407</v>
      </c>
      <c r="C524" s="11" t="s">
        <v>252</v>
      </c>
      <c r="D524" s="11" t="s">
        <v>904</v>
      </c>
      <c r="E524" s="12" t="s">
        <v>246</v>
      </c>
      <c r="F524" s="30">
        <v>0</v>
      </c>
      <c r="G524" s="30"/>
      <c r="H524" s="30"/>
      <c r="I524" s="189" t="s">
        <v>34</v>
      </c>
      <c r="J524" s="31"/>
      <c r="K524" s="32">
        <v>0</v>
      </c>
      <c r="L524" s="32"/>
      <c r="M524" s="33">
        <v>1</v>
      </c>
      <c r="N524" s="33"/>
    </row>
    <row r="525" spans="1:16" s="21" customFormat="1" ht="39.950000000000003" customHeight="1">
      <c r="A525" s="9">
        <v>63</v>
      </c>
      <c r="B525" s="207">
        <v>6557</v>
      </c>
      <c r="C525" s="231" t="s">
        <v>2754</v>
      </c>
      <c r="D525" s="11" t="s">
        <v>2755</v>
      </c>
      <c r="E525" s="12" t="s">
        <v>246</v>
      </c>
      <c r="F525" s="30">
        <v>0</v>
      </c>
      <c r="G525" s="30"/>
      <c r="H525" s="30"/>
      <c r="I525" s="189" t="s">
        <v>3455</v>
      </c>
      <c r="J525" s="31"/>
      <c r="K525" s="32">
        <v>0</v>
      </c>
      <c r="L525" s="32"/>
      <c r="M525" s="33">
        <v>1</v>
      </c>
      <c r="N525" s="33"/>
    </row>
    <row r="526" spans="1:16" s="21" customFormat="1" ht="39.950000000000003" customHeight="1">
      <c r="A526" s="9">
        <v>64</v>
      </c>
      <c r="B526" s="207">
        <v>6127</v>
      </c>
      <c r="C526" s="231" t="s">
        <v>1866</v>
      </c>
      <c r="D526" s="11" t="s">
        <v>1867</v>
      </c>
      <c r="E526" s="12" t="s">
        <v>246</v>
      </c>
      <c r="F526" s="30">
        <v>7.5</v>
      </c>
      <c r="G526" s="30">
        <v>2.5</v>
      </c>
      <c r="H526" s="30">
        <f t="shared" ref="H526" si="143">IF(G526&gt;0,(G526*1.5)+F526,"YOK")</f>
        <v>11.25</v>
      </c>
      <c r="I526" s="22" t="s">
        <v>118</v>
      </c>
      <c r="J526" s="31"/>
      <c r="K526" s="32">
        <v>0</v>
      </c>
      <c r="L526" s="32"/>
      <c r="M526" s="33">
        <v>1</v>
      </c>
      <c r="N526" s="33"/>
    </row>
    <row r="527" spans="1:16" ht="39.950000000000003" customHeight="1">
      <c r="A527" s="40"/>
      <c r="B527" s="262" t="s">
        <v>253</v>
      </c>
      <c r="C527" s="263"/>
      <c r="D527" s="264"/>
      <c r="E527" s="46"/>
      <c r="F527" s="41"/>
      <c r="G527" s="41"/>
      <c r="H527" s="41"/>
      <c r="I527" s="42"/>
      <c r="J527" s="204">
        <f>SUM(J463:J526)</f>
        <v>4</v>
      </c>
      <c r="K527" s="204">
        <f>SUM(K463:K526)</f>
        <v>40</v>
      </c>
      <c r="L527" s="204">
        <f>SUM(L463:L526)</f>
        <v>3</v>
      </c>
      <c r="M527" s="204">
        <f>SUM(M463:M526)</f>
        <v>20</v>
      </c>
      <c r="N527" s="33"/>
      <c r="O527" s="21"/>
      <c r="P527" s="21"/>
    </row>
    <row r="528" spans="1:16" s="21" customFormat="1" ht="39.950000000000003" customHeight="1">
      <c r="A528" s="9">
        <v>1</v>
      </c>
      <c r="B528" s="207">
        <v>5551</v>
      </c>
      <c r="C528" s="50" t="s">
        <v>915</v>
      </c>
      <c r="D528" s="50" t="s">
        <v>916</v>
      </c>
      <c r="E528" s="51" t="s">
        <v>509</v>
      </c>
      <c r="F528" s="30" t="s">
        <v>17</v>
      </c>
      <c r="G528" s="30"/>
      <c r="H528" s="30"/>
      <c r="I528" s="191" t="s">
        <v>255</v>
      </c>
      <c r="J528" s="31"/>
      <c r="K528" s="32">
        <v>1</v>
      </c>
      <c r="L528" s="32"/>
      <c r="M528" s="33"/>
      <c r="N528" s="33"/>
    </row>
    <row r="529" spans="1:15" s="21" customFormat="1" ht="39.950000000000003" customHeight="1">
      <c r="A529" s="9">
        <v>2</v>
      </c>
      <c r="B529" s="207">
        <v>5014</v>
      </c>
      <c r="C529" s="50" t="s">
        <v>257</v>
      </c>
      <c r="D529" s="50" t="s">
        <v>258</v>
      </c>
      <c r="E529" s="51" t="s">
        <v>256</v>
      </c>
      <c r="F529" s="30" t="s">
        <v>17</v>
      </c>
      <c r="G529" s="30"/>
      <c r="H529" s="30"/>
      <c r="I529" s="191" t="s">
        <v>255</v>
      </c>
      <c r="J529" s="31"/>
      <c r="K529" s="32">
        <v>1</v>
      </c>
      <c r="L529" s="32"/>
      <c r="M529" s="33"/>
      <c r="N529"/>
      <c r="O529"/>
    </row>
    <row r="530" spans="1:15" s="21" customFormat="1" ht="39.950000000000003" customHeight="1">
      <c r="A530" s="9">
        <v>3</v>
      </c>
      <c r="B530" s="207">
        <v>5946</v>
      </c>
      <c r="C530" s="50" t="s">
        <v>1521</v>
      </c>
      <c r="D530" s="50" t="s">
        <v>1522</v>
      </c>
      <c r="E530" s="51" t="s">
        <v>256</v>
      </c>
      <c r="F530" s="30" t="s">
        <v>17</v>
      </c>
      <c r="G530" s="30"/>
      <c r="H530" s="30"/>
      <c r="I530" s="191" t="s">
        <v>255</v>
      </c>
      <c r="J530" s="31"/>
      <c r="K530" s="32">
        <v>1</v>
      </c>
      <c r="L530" s="32"/>
      <c r="M530" s="33"/>
      <c r="N530" s="33"/>
    </row>
    <row r="531" spans="1:15" s="21" customFormat="1" ht="39.950000000000003" customHeight="1">
      <c r="A531" s="9">
        <v>4</v>
      </c>
      <c r="B531" s="207">
        <v>6767</v>
      </c>
      <c r="C531" s="185" t="s">
        <v>3264</v>
      </c>
      <c r="D531" s="50" t="s">
        <v>3265</v>
      </c>
      <c r="E531" s="51" t="s">
        <v>256</v>
      </c>
      <c r="F531" s="30" t="s">
        <v>17</v>
      </c>
      <c r="G531" s="30"/>
      <c r="H531" s="30"/>
      <c r="I531" s="47" t="s">
        <v>255</v>
      </c>
      <c r="J531" s="31"/>
      <c r="K531" s="32">
        <v>1</v>
      </c>
      <c r="L531" s="32">
        <v>1</v>
      </c>
      <c r="M531" s="33"/>
      <c r="N531" s="33"/>
    </row>
    <row r="532" spans="1:15" s="21" customFormat="1" ht="39.950000000000003" customHeight="1">
      <c r="A532" s="9">
        <v>5</v>
      </c>
      <c r="B532" s="207">
        <v>4447</v>
      </c>
      <c r="C532" s="50" t="s">
        <v>304</v>
      </c>
      <c r="D532" s="50" t="s">
        <v>305</v>
      </c>
      <c r="E532" s="51" t="s">
        <v>299</v>
      </c>
      <c r="F532" s="30">
        <v>7.5</v>
      </c>
      <c r="G532" s="30">
        <v>2.5</v>
      </c>
      <c r="H532" s="30">
        <f t="shared" ref="H532:H591" si="144">IF(G532&gt;0,(G532*1.5)+F532,"YOK")</f>
        <v>11.25</v>
      </c>
      <c r="I532" s="191" t="s">
        <v>783</v>
      </c>
      <c r="J532" s="31"/>
      <c r="K532" s="32">
        <v>1</v>
      </c>
      <c r="L532" s="32"/>
      <c r="M532" s="33"/>
      <c r="N532"/>
      <c r="O532"/>
    </row>
    <row r="533" spans="1:15" s="21" customFormat="1" ht="39.950000000000003" customHeight="1">
      <c r="A533" s="9">
        <v>6</v>
      </c>
      <c r="B533" s="222">
        <v>5244</v>
      </c>
      <c r="C533" s="50" t="s">
        <v>302</v>
      </c>
      <c r="D533" s="50" t="s">
        <v>303</v>
      </c>
      <c r="E533" s="51" t="s">
        <v>299</v>
      </c>
      <c r="F533" s="30">
        <v>7.5</v>
      </c>
      <c r="G533" s="30">
        <v>2.5</v>
      </c>
      <c r="H533" s="30">
        <f t="shared" ref="H533" si="145">IF(G533&gt;0,(G533*1.5)+F533,"YOK")</f>
        <v>11.25</v>
      </c>
      <c r="I533" s="191" t="s">
        <v>791</v>
      </c>
      <c r="J533" s="31"/>
      <c r="K533" s="32">
        <v>1</v>
      </c>
      <c r="L533" s="32"/>
      <c r="M533" s="33"/>
      <c r="N533"/>
      <c r="O533"/>
    </row>
    <row r="534" spans="1:15" s="21" customFormat="1" ht="39.950000000000003" customHeight="1">
      <c r="A534" s="9">
        <v>7</v>
      </c>
      <c r="B534" s="222">
        <v>5706</v>
      </c>
      <c r="C534" s="50" t="s">
        <v>1170</v>
      </c>
      <c r="D534" s="50" t="s">
        <v>1171</v>
      </c>
      <c r="E534" s="51" t="s">
        <v>299</v>
      </c>
      <c r="F534" s="30">
        <v>7.5</v>
      </c>
      <c r="G534" s="30">
        <v>2.5</v>
      </c>
      <c r="H534" s="30">
        <f t="shared" ref="H534" si="146">IF(G534&gt;0,(G534*1.5)+F534,"YOK")</f>
        <v>11.25</v>
      </c>
      <c r="I534" s="191" t="s">
        <v>791</v>
      </c>
      <c r="J534" s="31"/>
      <c r="K534" s="32">
        <v>1</v>
      </c>
      <c r="L534" s="32"/>
      <c r="M534" s="33"/>
      <c r="N534"/>
    </row>
    <row r="535" spans="1:15" s="21" customFormat="1" ht="39.950000000000003" customHeight="1">
      <c r="A535" s="9">
        <v>8</v>
      </c>
      <c r="B535" s="222">
        <v>5560</v>
      </c>
      <c r="C535" s="50" t="s">
        <v>917</v>
      </c>
      <c r="D535" s="50" t="s">
        <v>918</v>
      </c>
      <c r="E535" s="51" t="s">
        <v>298</v>
      </c>
      <c r="F535" s="30">
        <v>7.5</v>
      </c>
      <c r="G535" s="30">
        <v>2.5</v>
      </c>
      <c r="H535" s="30">
        <f t="shared" ref="H535" si="147">IF(G535&gt;0,(G535*1.5)+F535,"YOK")</f>
        <v>11.25</v>
      </c>
      <c r="I535" s="191" t="s">
        <v>791</v>
      </c>
      <c r="J535" s="31"/>
      <c r="K535" s="32">
        <v>1</v>
      </c>
      <c r="L535" s="32"/>
      <c r="M535" s="33"/>
      <c r="N535"/>
      <c r="O535"/>
    </row>
    <row r="536" spans="1:15" s="21" customFormat="1" ht="39.950000000000003" customHeight="1">
      <c r="A536" s="9">
        <v>9</v>
      </c>
      <c r="B536" s="222">
        <v>5561</v>
      </c>
      <c r="C536" s="50" t="s">
        <v>919</v>
      </c>
      <c r="D536" s="50" t="s">
        <v>920</v>
      </c>
      <c r="E536" s="51" t="s">
        <v>298</v>
      </c>
      <c r="F536" s="30">
        <v>7.5</v>
      </c>
      <c r="G536" s="30">
        <v>2.5</v>
      </c>
      <c r="H536" s="30">
        <f t="shared" si="144"/>
        <v>11.25</v>
      </c>
      <c r="I536" s="191" t="s">
        <v>791</v>
      </c>
      <c r="J536" s="31"/>
      <c r="K536" s="32">
        <v>1</v>
      </c>
      <c r="L536" s="32"/>
      <c r="M536" s="33"/>
      <c r="N536"/>
      <c r="O536"/>
    </row>
    <row r="537" spans="1:15" s="21" customFormat="1" ht="39.950000000000003" customHeight="1">
      <c r="A537" s="9">
        <v>10</v>
      </c>
      <c r="B537" s="222">
        <v>5437</v>
      </c>
      <c r="C537" s="50" t="s">
        <v>822</v>
      </c>
      <c r="D537" s="50" t="s">
        <v>823</v>
      </c>
      <c r="E537" s="51" t="s">
        <v>162</v>
      </c>
      <c r="F537" s="30">
        <v>7.5</v>
      </c>
      <c r="G537" s="30">
        <v>2.5</v>
      </c>
      <c r="H537" s="30">
        <f t="shared" si="144"/>
        <v>11.25</v>
      </c>
      <c r="I537" s="191" t="s">
        <v>791</v>
      </c>
      <c r="J537" s="31"/>
      <c r="K537" s="32">
        <v>1</v>
      </c>
      <c r="L537" s="32"/>
      <c r="M537" s="33"/>
      <c r="N537"/>
      <c r="O537"/>
    </row>
    <row r="538" spans="1:15" s="21" customFormat="1" ht="39.950000000000003" customHeight="1">
      <c r="A538" s="9">
        <v>11</v>
      </c>
      <c r="B538" s="222">
        <v>6326</v>
      </c>
      <c r="C538" s="185" t="s">
        <v>2346</v>
      </c>
      <c r="D538" s="50" t="s">
        <v>2347</v>
      </c>
      <c r="E538" s="51" t="s">
        <v>162</v>
      </c>
      <c r="F538" s="30">
        <v>7.5</v>
      </c>
      <c r="G538" s="30">
        <v>2.5</v>
      </c>
      <c r="H538" s="30">
        <f t="shared" ref="H538" si="148">IF(G538&gt;0,(G538*1.5)+F538,"YOK")</f>
        <v>11.25</v>
      </c>
      <c r="I538" s="191" t="s">
        <v>791</v>
      </c>
      <c r="J538" s="31"/>
      <c r="K538" s="32">
        <v>1</v>
      </c>
      <c r="L538" s="32"/>
      <c r="M538" s="33"/>
      <c r="N538"/>
      <c r="O538"/>
    </row>
    <row r="539" spans="1:15" s="21" customFormat="1" ht="39.950000000000003" customHeight="1">
      <c r="A539" s="9">
        <v>12</v>
      </c>
      <c r="B539" s="222">
        <v>6578</v>
      </c>
      <c r="C539" s="185" t="s">
        <v>2762</v>
      </c>
      <c r="D539" s="50" t="s">
        <v>2763</v>
      </c>
      <c r="E539" s="51" t="s">
        <v>162</v>
      </c>
      <c r="F539" s="30">
        <v>7.5</v>
      </c>
      <c r="G539" s="30">
        <v>2.5</v>
      </c>
      <c r="H539" s="30">
        <f t="shared" ref="H539" si="149">IF(G539&gt;0,(G539*1.5)+F539,"YOK")</f>
        <v>11.25</v>
      </c>
      <c r="I539" s="191" t="s">
        <v>791</v>
      </c>
      <c r="J539" s="31"/>
      <c r="K539" s="32">
        <v>1</v>
      </c>
      <c r="L539" s="32"/>
      <c r="M539" s="33"/>
      <c r="N539"/>
      <c r="O539"/>
    </row>
    <row r="540" spans="1:15" s="21" customFormat="1" ht="39.950000000000003" customHeight="1">
      <c r="A540" s="9">
        <v>13</v>
      </c>
      <c r="B540" s="222">
        <v>6614</v>
      </c>
      <c r="C540" s="185" t="s">
        <v>2886</v>
      </c>
      <c r="D540" s="50" t="s">
        <v>2887</v>
      </c>
      <c r="E540" s="51" t="s">
        <v>162</v>
      </c>
      <c r="F540" s="30">
        <v>7.5</v>
      </c>
      <c r="G540" s="30">
        <v>2.5</v>
      </c>
      <c r="H540" s="30">
        <f t="shared" ref="H540" si="150">IF(G540&gt;0,(G540*1.5)+F540,"YOK")</f>
        <v>11.25</v>
      </c>
      <c r="I540" s="191" t="s">
        <v>791</v>
      </c>
      <c r="J540" s="31"/>
      <c r="K540" s="32">
        <v>1</v>
      </c>
      <c r="L540" s="32"/>
      <c r="M540" s="33"/>
      <c r="N540"/>
      <c r="O540"/>
    </row>
    <row r="541" spans="1:15" s="21" customFormat="1" ht="39.950000000000003" customHeight="1">
      <c r="A541" s="9">
        <v>14</v>
      </c>
      <c r="B541" s="222">
        <v>6787</v>
      </c>
      <c r="C541" s="185" t="s">
        <v>3410</v>
      </c>
      <c r="D541" s="50" t="s">
        <v>3411</v>
      </c>
      <c r="E541" s="51" t="s">
        <v>162</v>
      </c>
      <c r="F541" s="30">
        <v>7.5</v>
      </c>
      <c r="G541" s="30">
        <v>2.5</v>
      </c>
      <c r="H541" s="30">
        <f t="shared" ref="H541" si="151">IF(G541&gt;0,(G541*1.5)+F541,"YOK")</f>
        <v>11.25</v>
      </c>
      <c r="I541" s="191" t="s">
        <v>791</v>
      </c>
      <c r="J541" s="31"/>
      <c r="K541" s="32">
        <v>1</v>
      </c>
      <c r="L541" s="32"/>
      <c r="M541" s="33"/>
      <c r="N541"/>
      <c r="O541"/>
    </row>
    <row r="542" spans="1:15" s="21" customFormat="1" ht="39.950000000000003" customHeight="1">
      <c r="A542" s="9">
        <v>15</v>
      </c>
      <c r="B542" s="207">
        <v>6709</v>
      </c>
      <c r="C542" s="50" t="s">
        <v>270</v>
      </c>
      <c r="D542" s="50" t="s">
        <v>271</v>
      </c>
      <c r="E542" s="51" t="s">
        <v>261</v>
      </c>
      <c r="F542" s="30">
        <v>7.5</v>
      </c>
      <c r="G542" s="30">
        <v>2.5</v>
      </c>
      <c r="H542" s="30">
        <f t="shared" ref="H542" si="152">IF(G542&gt;0,(G542*1.5)+F542,"YOK")</f>
        <v>11.25</v>
      </c>
      <c r="I542" s="191" t="s">
        <v>783</v>
      </c>
      <c r="J542" s="31"/>
      <c r="K542" s="32">
        <v>1</v>
      </c>
      <c r="L542" s="32"/>
      <c r="M542" s="33"/>
      <c r="N542"/>
      <c r="O542"/>
    </row>
    <row r="543" spans="1:15" s="21" customFormat="1" ht="39.950000000000003" customHeight="1">
      <c r="A543" s="9">
        <v>16</v>
      </c>
      <c r="B543" s="207">
        <v>5478</v>
      </c>
      <c r="C543" s="50" t="s">
        <v>859</v>
      </c>
      <c r="D543" s="50" t="s">
        <v>860</v>
      </c>
      <c r="E543" s="51" t="s">
        <v>261</v>
      </c>
      <c r="F543" s="30">
        <v>7.5</v>
      </c>
      <c r="G543" s="30">
        <v>2.5</v>
      </c>
      <c r="H543" s="30">
        <f t="shared" ref="H543" si="153">IF(G543&gt;0,(G543*1.5)+F543,"YOK")</f>
        <v>11.25</v>
      </c>
      <c r="I543" s="191" t="s">
        <v>783</v>
      </c>
      <c r="J543" s="31"/>
      <c r="K543" s="32">
        <v>1</v>
      </c>
      <c r="L543" s="32"/>
      <c r="M543" s="33"/>
      <c r="N543"/>
      <c r="O543"/>
    </row>
    <row r="544" spans="1:15" s="21" customFormat="1" ht="39.950000000000003" customHeight="1">
      <c r="A544" s="9">
        <v>17</v>
      </c>
      <c r="B544" s="207">
        <v>5662</v>
      </c>
      <c r="C544" s="50" t="s">
        <v>1111</v>
      </c>
      <c r="D544" s="50" t="s">
        <v>1114</v>
      </c>
      <c r="E544" s="51" t="s">
        <v>261</v>
      </c>
      <c r="F544" s="30">
        <v>7.5</v>
      </c>
      <c r="G544" s="30">
        <v>2.5</v>
      </c>
      <c r="H544" s="30">
        <f t="shared" ref="H544" si="154">IF(G544&gt;0,(G544*1.5)+F544,"YOK")</f>
        <v>11.25</v>
      </c>
      <c r="I544" s="191" t="s">
        <v>784</v>
      </c>
      <c r="J544" s="31"/>
      <c r="K544" s="32">
        <v>1</v>
      </c>
      <c r="L544" s="32"/>
      <c r="M544" s="33"/>
      <c r="N544"/>
      <c r="O544"/>
    </row>
    <row r="545" spans="1:17" s="21" customFormat="1" ht="39.950000000000003" customHeight="1">
      <c r="A545" s="9">
        <v>18</v>
      </c>
      <c r="B545" s="222">
        <v>5654</v>
      </c>
      <c r="C545" s="50" t="s">
        <v>1089</v>
      </c>
      <c r="D545" s="50" t="s">
        <v>1121</v>
      </c>
      <c r="E545" s="51" t="s">
        <v>261</v>
      </c>
      <c r="F545" s="30">
        <v>7.5</v>
      </c>
      <c r="G545" s="30">
        <v>2.5</v>
      </c>
      <c r="H545" s="30">
        <f t="shared" ref="H545" si="155">IF(G545&gt;0,(G545*1.5)+F545,"YOK")</f>
        <v>11.25</v>
      </c>
      <c r="I545" s="191" t="s">
        <v>784</v>
      </c>
      <c r="J545" s="31"/>
      <c r="K545" s="32">
        <v>1</v>
      </c>
      <c r="L545" s="32"/>
      <c r="M545" s="33"/>
      <c r="N545" s="33"/>
    </row>
    <row r="546" spans="1:17" s="21" customFormat="1" ht="39.950000000000003" customHeight="1">
      <c r="A546" s="9">
        <v>19</v>
      </c>
      <c r="B546" s="222">
        <v>5701</v>
      </c>
      <c r="C546" s="50" t="s">
        <v>1159</v>
      </c>
      <c r="D546" s="50" t="s">
        <v>1158</v>
      </c>
      <c r="E546" s="51" t="s">
        <v>261</v>
      </c>
      <c r="F546" s="30">
        <v>7.5</v>
      </c>
      <c r="G546" s="30">
        <v>2.5</v>
      </c>
      <c r="H546" s="30">
        <f>IF(G546&gt;0,(G546*1.5)+F546,"YOK")</f>
        <v>11.25</v>
      </c>
      <c r="I546" s="191" t="s">
        <v>784</v>
      </c>
      <c r="J546" s="31"/>
      <c r="K546" s="32">
        <v>1</v>
      </c>
      <c r="L546" s="32"/>
      <c r="M546" s="33"/>
      <c r="N546" s="33"/>
    </row>
    <row r="547" spans="1:17" s="21" customFormat="1" ht="39.950000000000003" customHeight="1">
      <c r="A547" s="9">
        <v>20</v>
      </c>
      <c r="B547" s="222">
        <v>5707</v>
      </c>
      <c r="C547" s="50" t="s">
        <v>1169</v>
      </c>
      <c r="D547" s="50" t="s">
        <v>1168</v>
      </c>
      <c r="E547" s="51" t="s">
        <v>261</v>
      </c>
      <c r="F547" s="30">
        <v>7.5</v>
      </c>
      <c r="G547" s="30">
        <v>2.5</v>
      </c>
      <c r="H547" s="30">
        <f t="shared" ref="H547" si="156">IF(G547&gt;0,(G547*1.5)+F547,"YOK")</f>
        <v>11.25</v>
      </c>
      <c r="I547" s="191" t="s">
        <v>784</v>
      </c>
      <c r="J547" s="31"/>
      <c r="K547" s="32">
        <v>1</v>
      </c>
      <c r="L547" s="32"/>
      <c r="M547" s="33"/>
      <c r="N547"/>
    </row>
    <row r="548" spans="1:17" s="21" customFormat="1" ht="39.950000000000003" customHeight="1">
      <c r="A548" s="9">
        <v>21</v>
      </c>
      <c r="B548" s="222">
        <v>5770</v>
      </c>
      <c r="C548" s="50" t="s">
        <v>3456</v>
      </c>
      <c r="D548" s="50" t="s">
        <v>1226</v>
      </c>
      <c r="E548" s="51" t="s">
        <v>261</v>
      </c>
      <c r="F548" s="30">
        <v>7.5</v>
      </c>
      <c r="G548" s="30">
        <v>2.5</v>
      </c>
      <c r="H548" s="30">
        <f t="shared" ref="H548" si="157">IF(G548&gt;0,(G548*1.5)+F548,"YOK")</f>
        <v>11.25</v>
      </c>
      <c r="I548" s="191" t="s">
        <v>784</v>
      </c>
      <c r="J548" s="31"/>
      <c r="K548" s="32">
        <v>1</v>
      </c>
      <c r="L548" s="32"/>
      <c r="M548" s="33"/>
      <c r="N548"/>
      <c r="Q548" s="52"/>
    </row>
    <row r="549" spans="1:17" s="21" customFormat="1" ht="39.950000000000003" customHeight="1">
      <c r="A549" s="9">
        <v>22</v>
      </c>
      <c r="B549" s="222">
        <v>5851</v>
      </c>
      <c r="C549" s="50" t="s">
        <v>1343</v>
      </c>
      <c r="D549" s="50" t="s">
        <v>278</v>
      </c>
      <c r="E549" s="51" t="s">
        <v>261</v>
      </c>
      <c r="F549" s="30">
        <v>7.5</v>
      </c>
      <c r="G549" s="30">
        <v>2.5</v>
      </c>
      <c r="H549" s="30">
        <f t="shared" ref="H549" si="158">IF(G549&gt;0,(G549*1.5)+F549,"YOK")</f>
        <v>11.25</v>
      </c>
      <c r="I549" s="191" t="s">
        <v>791</v>
      </c>
      <c r="J549" s="31"/>
      <c r="K549" s="32">
        <v>1</v>
      </c>
      <c r="L549" s="32"/>
      <c r="M549" s="33"/>
      <c r="N549"/>
    </row>
    <row r="550" spans="1:17" s="21" customFormat="1" ht="39.950000000000003" customHeight="1">
      <c r="A550" s="9">
        <v>23</v>
      </c>
      <c r="B550" s="222">
        <v>5850</v>
      </c>
      <c r="C550" s="50" t="s">
        <v>262</v>
      </c>
      <c r="D550" s="50" t="s">
        <v>263</v>
      </c>
      <c r="E550" s="51" t="s">
        <v>261</v>
      </c>
      <c r="F550" s="30">
        <v>7.5</v>
      </c>
      <c r="G550" s="30">
        <v>2.5</v>
      </c>
      <c r="H550" s="30">
        <f t="shared" ref="H550" si="159">IF(G550&gt;0,(G550*1.5)+F550,"YOK")</f>
        <v>11.25</v>
      </c>
      <c r="I550" s="191" t="s">
        <v>791</v>
      </c>
      <c r="J550" s="31"/>
      <c r="K550" s="32">
        <v>1</v>
      </c>
      <c r="L550" s="32"/>
      <c r="M550" s="33"/>
      <c r="N550" s="33"/>
    </row>
    <row r="551" spans="1:17" s="21" customFormat="1" ht="39.950000000000003" customHeight="1">
      <c r="A551" s="9">
        <v>24</v>
      </c>
      <c r="B551" s="222">
        <v>5817</v>
      </c>
      <c r="C551" s="11" t="s">
        <v>1259</v>
      </c>
      <c r="D551" s="11" t="s">
        <v>1260</v>
      </c>
      <c r="E551" s="51" t="s">
        <v>261</v>
      </c>
      <c r="F551" s="30">
        <v>7.5</v>
      </c>
      <c r="G551" s="30">
        <v>2.5</v>
      </c>
      <c r="H551" s="30">
        <f t="shared" ref="H551" si="160">IF(G551&gt;0,(G551*1.5)+F551,"YOK")</f>
        <v>11.25</v>
      </c>
      <c r="I551" s="191" t="s">
        <v>791</v>
      </c>
      <c r="J551" s="31"/>
      <c r="K551" s="32">
        <v>1</v>
      </c>
      <c r="L551" s="32"/>
      <c r="M551" s="33"/>
      <c r="N551"/>
      <c r="O551"/>
    </row>
    <row r="552" spans="1:17" s="21" customFormat="1" ht="39.950000000000003" customHeight="1">
      <c r="A552" s="9">
        <v>25</v>
      </c>
      <c r="B552" s="222">
        <v>5898</v>
      </c>
      <c r="C552" s="50" t="s">
        <v>1448</v>
      </c>
      <c r="D552" s="50" t="s">
        <v>1447</v>
      </c>
      <c r="E552" s="51" t="s">
        <v>261</v>
      </c>
      <c r="F552" s="30">
        <v>7.5</v>
      </c>
      <c r="G552" s="30">
        <v>2.5</v>
      </c>
      <c r="H552" s="30">
        <f t="shared" ref="H552" si="161">IF(G552&gt;0,(G552*1.5)+F552,"YOK")</f>
        <v>11.25</v>
      </c>
      <c r="I552" s="191" t="s">
        <v>791</v>
      </c>
      <c r="J552" s="31"/>
      <c r="K552" s="32">
        <v>1</v>
      </c>
      <c r="L552" s="32"/>
      <c r="M552" s="33"/>
      <c r="N552"/>
      <c r="O552"/>
    </row>
    <row r="553" spans="1:17" s="21" customFormat="1" ht="39.950000000000003" customHeight="1">
      <c r="A553" s="9">
        <v>26</v>
      </c>
      <c r="B553" s="222">
        <v>5670</v>
      </c>
      <c r="C553" s="50" t="s">
        <v>1112</v>
      </c>
      <c r="D553" s="50" t="s">
        <v>1113</v>
      </c>
      <c r="E553" s="51" t="s">
        <v>261</v>
      </c>
      <c r="F553" s="30">
        <v>7.5</v>
      </c>
      <c r="G553" s="30">
        <v>2.5</v>
      </c>
      <c r="H553" s="30">
        <f t="shared" ref="H553" si="162">IF(G553&gt;0,(G553*1.5)+F553,"YOK")</f>
        <v>11.25</v>
      </c>
      <c r="I553" s="191" t="s">
        <v>791</v>
      </c>
      <c r="J553" s="31"/>
      <c r="K553" s="32">
        <v>1</v>
      </c>
      <c r="L553" s="32"/>
      <c r="M553" s="33"/>
      <c r="N553"/>
      <c r="O553"/>
    </row>
    <row r="554" spans="1:17" s="21" customFormat="1" ht="39.950000000000003" customHeight="1">
      <c r="A554" s="9">
        <v>27</v>
      </c>
      <c r="B554" s="222">
        <v>5661</v>
      </c>
      <c r="C554" s="50" t="s">
        <v>1090</v>
      </c>
      <c r="D554" s="50" t="s">
        <v>1096</v>
      </c>
      <c r="E554" s="51" t="s">
        <v>261</v>
      </c>
      <c r="F554" s="30">
        <v>7.5</v>
      </c>
      <c r="G554" s="30">
        <v>2.5</v>
      </c>
      <c r="H554" s="30">
        <f t="shared" ref="H554" si="163">IF(G554&gt;0,(G554*1.5)+F554,"YOK")</f>
        <v>11.25</v>
      </c>
      <c r="I554" s="191" t="s">
        <v>791</v>
      </c>
      <c r="J554" s="31"/>
      <c r="K554" s="32">
        <v>1</v>
      </c>
      <c r="L554" s="32"/>
      <c r="M554" s="33"/>
      <c r="N554"/>
      <c r="O554"/>
    </row>
    <row r="555" spans="1:17" s="21" customFormat="1" ht="39.950000000000003" customHeight="1">
      <c r="A555" s="9">
        <v>28</v>
      </c>
      <c r="B555" s="222">
        <v>6172</v>
      </c>
      <c r="C555" s="50" t="s">
        <v>2025</v>
      </c>
      <c r="D555" s="50" t="s">
        <v>2026</v>
      </c>
      <c r="E555" s="51" t="s">
        <v>261</v>
      </c>
      <c r="F555" s="30">
        <v>7.5</v>
      </c>
      <c r="G555" s="30">
        <v>2.5</v>
      </c>
      <c r="H555" s="30">
        <f>IF(G555&gt;0,(G555*1.5)+F555,"YOK")</f>
        <v>11.25</v>
      </c>
      <c r="I555" s="191" t="s">
        <v>791</v>
      </c>
      <c r="J555" s="31"/>
      <c r="K555" s="32">
        <v>1</v>
      </c>
      <c r="L555" s="32"/>
      <c r="M555" s="33"/>
      <c r="N555"/>
      <c r="O555"/>
    </row>
    <row r="556" spans="1:17" s="21" customFormat="1" ht="39.950000000000003" customHeight="1">
      <c r="A556" s="9">
        <v>29</v>
      </c>
      <c r="B556" s="222">
        <v>6204</v>
      </c>
      <c r="C556" s="50" t="s">
        <v>2100</v>
      </c>
      <c r="D556" s="50" t="s">
        <v>2101</v>
      </c>
      <c r="E556" s="51" t="s">
        <v>261</v>
      </c>
      <c r="F556" s="30">
        <v>7.5</v>
      </c>
      <c r="G556" s="30">
        <v>2.5</v>
      </c>
      <c r="H556" s="30">
        <f>IF(G556&gt;0,(G556*1.5)+F556,"YOK")</f>
        <v>11.25</v>
      </c>
      <c r="I556" s="191" t="s">
        <v>791</v>
      </c>
      <c r="J556" s="31"/>
      <c r="K556" s="32">
        <v>1</v>
      </c>
      <c r="L556" s="32"/>
      <c r="M556" s="33"/>
      <c r="N556"/>
      <c r="O556"/>
    </row>
    <row r="557" spans="1:17" s="21" customFormat="1" ht="39.950000000000003" customHeight="1">
      <c r="A557" s="9">
        <v>30</v>
      </c>
      <c r="B557" s="222">
        <v>4976</v>
      </c>
      <c r="C557" s="50" t="s">
        <v>290</v>
      </c>
      <c r="D557" s="50" t="s">
        <v>291</v>
      </c>
      <c r="E557" s="51" t="s">
        <v>261</v>
      </c>
      <c r="F557" s="30">
        <v>7.5</v>
      </c>
      <c r="G557" s="30">
        <v>2.5</v>
      </c>
      <c r="H557" s="30">
        <f>IF(G557&gt;0,(G557*1.5)+F557,"YOK")</f>
        <v>11.25</v>
      </c>
      <c r="I557" s="191" t="s">
        <v>791</v>
      </c>
      <c r="J557" s="31"/>
      <c r="K557" s="32">
        <v>1</v>
      </c>
      <c r="L557" s="32"/>
      <c r="M557" s="32"/>
      <c r="N557" s="33"/>
      <c r="O557"/>
    </row>
    <row r="558" spans="1:17" s="21" customFormat="1" ht="39.950000000000003" customHeight="1">
      <c r="A558" s="9">
        <v>31</v>
      </c>
      <c r="B558" s="222">
        <v>4311</v>
      </c>
      <c r="C558" s="50" t="s">
        <v>279</v>
      </c>
      <c r="D558" s="50" t="s">
        <v>950</v>
      </c>
      <c r="E558" s="51" t="s">
        <v>261</v>
      </c>
      <c r="F558" s="30">
        <v>7.5</v>
      </c>
      <c r="G558" s="30">
        <v>2.5</v>
      </c>
      <c r="H558" s="30">
        <f t="shared" ref="H558" si="164">IF(G558&gt;0,(G558*1.5)+F558,"YOK")</f>
        <v>11.25</v>
      </c>
      <c r="I558" s="191" t="s">
        <v>783</v>
      </c>
      <c r="J558" s="31"/>
      <c r="K558" s="32">
        <v>1</v>
      </c>
      <c r="L558" s="32"/>
      <c r="M558" s="32"/>
      <c r="N558"/>
      <c r="O558"/>
    </row>
    <row r="559" spans="1:17" s="21" customFormat="1" ht="39.950000000000003" customHeight="1">
      <c r="A559" s="9">
        <v>32</v>
      </c>
      <c r="B559" s="222">
        <v>4656</v>
      </c>
      <c r="C559" s="50" t="s">
        <v>268</v>
      </c>
      <c r="D559" s="50" t="s">
        <v>269</v>
      </c>
      <c r="E559" s="51" t="s">
        <v>261</v>
      </c>
      <c r="F559" s="30">
        <v>7.5</v>
      </c>
      <c r="G559" s="30">
        <v>2.5</v>
      </c>
      <c r="H559" s="30">
        <f t="shared" ref="H559" si="165">IF(G559&gt;0,(G559*1.5)+F559,"YOK")</f>
        <v>11.25</v>
      </c>
      <c r="I559" s="191" t="s">
        <v>783</v>
      </c>
      <c r="J559" s="31"/>
      <c r="K559" s="32">
        <v>1</v>
      </c>
      <c r="L559" s="32"/>
      <c r="M559" s="28"/>
      <c r="N559"/>
      <c r="O559"/>
    </row>
    <row r="560" spans="1:17" s="21" customFormat="1" ht="39.950000000000003" customHeight="1">
      <c r="A560" s="9">
        <v>33</v>
      </c>
      <c r="B560" s="222">
        <v>5631</v>
      </c>
      <c r="C560" s="50" t="s">
        <v>272</v>
      </c>
      <c r="D560" s="50" t="s">
        <v>273</v>
      </c>
      <c r="E560" s="51" t="s">
        <v>261</v>
      </c>
      <c r="F560" s="30">
        <v>7.5</v>
      </c>
      <c r="G560" s="30">
        <v>2.5</v>
      </c>
      <c r="H560" s="30">
        <f t="shared" si="144"/>
        <v>11.25</v>
      </c>
      <c r="I560" s="191" t="s">
        <v>783</v>
      </c>
      <c r="J560" s="31"/>
      <c r="K560" s="32">
        <v>1</v>
      </c>
      <c r="L560" s="32"/>
      <c r="M560" s="33"/>
      <c r="N560"/>
      <c r="O560"/>
    </row>
    <row r="561" spans="1:15" s="21" customFormat="1" ht="39.950000000000003" customHeight="1">
      <c r="A561" s="9">
        <v>34</v>
      </c>
      <c r="B561" s="222">
        <v>5949</v>
      </c>
      <c r="C561" s="50" t="s">
        <v>1517</v>
      </c>
      <c r="D561" s="50" t="s">
        <v>1518</v>
      </c>
      <c r="E561" s="51" t="s">
        <v>261</v>
      </c>
      <c r="F561" s="30">
        <v>0</v>
      </c>
      <c r="G561" s="30">
        <v>0</v>
      </c>
      <c r="H561" s="30" t="str">
        <f t="shared" ref="H561" si="166">IF(G561&gt;0,(G561*1.5)+F561,"YOK")</f>
        <v>YOK</v>
      </c>
      <c r="I561" s="191" t="s">
        <v>1185</v>
      </c>
      <c r="J561" s="31">
        <v>1</v>
      </c>
      <c r="K561" s="32">
        <v>0</v>
      </c>
      <c r="L561" s="32"/>
      <c r="M561" s="33"/>
      <c r="N561"/>
    </row>
    <row r="562" spans="1:15" s="21" customFormat="1" ht="39.950000000000003" customHeight="1">
      <c r="A562" s="9">
        <v>35</v>
      </c>
      <c r="B562" s="222">
        <v>5894</v>
      </c>
      <c r="C562" s="11" t="s">
        <v>1426</v>
      </c>
      <c r="D562" s="11" t="s">
        <v>1427</v>
      </c>
      <c r="E562" s="51" t="s">
        <v>261</v>
      </c>
      <c r="F562" s="30">
        <v>7.5</v>
      </c>
      <c r="G562" s="30">
        <v>2.5</v>
      </c>
      <c r="H562" s="30">
        <f>IF(G562&gt;0,(G562*1.5)+F562,"YOK")</f>
        <v>11.25</v>
      </c>
      <c r="I562" s="191" t="s">
        <v>787</v>
      </c>
      <c r="J562" s="31"/>
      <c r="K562" s="32">
        <v>1</v>
      </c>
      <c r="L562" s="32"/>
      <c r="M562" s="33"/>
      <c r="N562"/>
    </row>
    <row r="563" spans="1:15" s="21" customFormat="1" ht="39.950000000000003" customHeight="1">
      <c r="A563" s="9">
        <v>36</v>
      </c>
      <c r="B563" s="222">
        <v>5660</v>
      </c>
      <c r="C563" s="50" t="s">
        <v>1091</v>
      </c>
      <c r="D563" s="50" t="s">
        <v>1095</v>
      </c>
      <c r="E563" s="51" t="s">
        <v>261</v>
      </c>
      <c r="F563" s="30">
        <v>7.5</v>
      </c>
      <c r="G563" s="30">
        <v>2.5</v>
      </c>
      <c r="H563" s="30">
        <f t="shared" ref="H563:H564" si="167">IF(G563&gt;0,(G563*1.5)+F563,"YOK")</f>
        <v>11.25</v>
      </c>
      <c r="I563" s="191" t="s">
        <v>787</v>
      </c>
      <c r="J563" s="31"/>
      <c r="K563" s="32">
        <v>1</v>
      </c>
      <c r="L563" s="32"/>
      <c r="M563" s="33"/>
      <c r="N563"/>
    </row>
    <row r="564" spans="1:15" s="21" customFormat="1" ht="39.950000000000003" customHeight="1">
      <c r="A564" s="9">
        <v>37</v>
      </c>
      <c r="B564" s="222">
        <v>5658</v>
      </c>
      <c r="C564" s="50" t="s">
        <v>1093</v>
      </c>
      <c r="D564" s="50" t="s">
        <v>3632</v>
      </c>
      <c r="E564" s="51" t="s">
        <v>261</v>
      </c>
      <c r="F564" s="30">
        <v>0</v>
      </c>
      <c r="G564" s="30">
        <v>0</v>
      </c>
      <c r="H564" s="30" t="str">
        <f t="shared" si="167"/>
        <v>YOK</v>
      </c>
      <c r="I564" s="191" t="s">
        <v>1185</v>
      </c>
      <c r="J564" s="31">
        <v>1</v>
      </c>
      <c r="K564" s="32">
        <v>0</v>
      </c>
      <c r="L564" s="32"/>
      <c r="M564" s="33"/>
      <c r="N564"/>
    </row>
    <row r="565" spans="1:15" s="21" customFormat="1" ht="39.950000000000003" customHeight="1">
      <c r="A565" s="9">
        <v>38</v>
      </c>
      <c r="B565" s="222">
        <v>5659</v>
      </c>
      <c r="C565" s="50" t="s">
        <v>1092</v>
      </c>
      <c r="D565" s="50" t="s">
        <v>1094</v>
      </c>
      <c r="E565" s="51" t="s">
        <v>261</v>
      </c>
      <c r="F565" s="30">
        <v>7.5</v>
      </c>
      <c r="G565" s="30">
        <v>2.5</v>
      </c>
      <c r="H565" s="30">
        <f t="shared" ref="H565" si="168">IF(G565&gt;0,(G565*1.5)+F565,"YOK")</f>
        <v>11.25</v>
      </c>
      <c r="I565" s="191" t="s">
        <v>787</v>
      </c>
      <c r="J565" s="31"/>
      <c r="K565" s="32">
        <v>1</v>
      </c>
      <c r="L565" s="32"/>
      <c r="M565" s="33"/>
      <c r="N565"/>
    </row>
    <row r="566" spans="1:15" s="21" customFormat="1" ht="39.950000000000003" customHeight="1">
      <c r="A566" s="9">
        <v>39</v>
      </c>
      <c r="B566" s="222">
        <v>5109</v>
      </c>
      <c r="C566" s="50" t="s">
        <v>264</v>
      </c>
      <c r="D566" s="50" t="s">
        <v>265</v>
      </c>
      <c r="E566" s="51" t="s">
        <v>261</v>
      </c>
      <c r="F566" s="30">
        <v>7.5</v>
      </c>
      <c r="G566" s="30">
        <v>2.5</v>
      </c>
      <c r="H566" s="30">
        <f t="shared" si="144"/>
        <v>11.25</v>
      </c>
      <c r="I566" s="191" t="s">
        <v>783</v>
      </c>
      <c r="J566" s="31"/>
      <c r="K566" s="32">
        <v>1</v>
      </c>
      <c r="L566" s="32"/>
      <c r="M566" s="33"/>
      <c r="N566"/>
      <c r="O566"/>
    </row>
    <row r="567" spans="1:15" s="21" customFormat="1" ht="39.950000000000003" customHeight="1">
      <c r="A567" s="9">
        <v>40</v>
      </c>
      <c r="B567" s="222">
        <v>4944</v>
      </c>
      <c r="C567" s="50" t="s">
        <v>286</v>
      </c>
      <c r="D567" s="50" t="s">
        <v>287</v>
      </c>
      <c r="E567" s="51" t="s">
        <v>261</v>
      </c>
      <c r="F567" s="30">
        <v>7.5</v>
      </c>
      <c r="G567" s="30">
        <v>2.5</v>
      </c>
      <c r="H567" s="30">
        <f t="shared" ref="H567" si="169">IF(G567&gt;0,(G567*1.5)+F567,"YOK")</f>
        <v>11.25</v>
      </c>
      <c r="I567" s="191" t="s">
        <v>783</v>
      </c>
      <c r="J567" s="31"/>
      <c r="K567" s="32">
        <v>1</v>
      </c>
      <c r="L567" s="32"/>
      <c r="M567" s="33"/>
      <c r="N567"/>
      <c r="O567"/>
    </row>
    <row r="568" spans="1:15" s="21" customFormat="1" ht="39.950000000000003" customHeight="1">
      <c r="A568" s="9">
        <v>41</v>
      </c>
      <c r="B568" s="222">
        <v>5769</v>
      </c>
      <c r="C568" s="50" t="s">
        <v>1228</v>
      </c>
      <c r="D568" s="50" t="s">
        <v>1227</v>
      </c>
      <c r="E568" s="51" t="s">
        <v>261</v>
      </c>
      <c r="F568" s="30">
        <v>7.5</v>
      </c>
      <c r="G568" s="30">
        <v>2.5</v>
      </c>
      <c r="H568" s="30">
        <f t="shared" ref="H568" si="170">IF(G568&gt;0,(G568*1.5)+F568,"YOK")</f>
        <v>11.25</v>
      </c>
      <c r="I568" s="191" t="s">
        <v>783</v>
      </c>
      <c r="J568" s="31"/>
      <c r="K568" s="32">
        <v>1</v>
      </c>
      <c r="L568" s="32"/>
      <c r="M568" s="33"/>
      <c r="N568"/>
      <c r="O568"/>
    </row>
    <row r="569" spans="1:15" s="21" customFormat="1" ht="39.950000000000003" customHeight="1">
      <c r="A569" s="9">
        <v>42</v>
      </c>
      <c r="B569" s="222">
        <v>5799</v>
      </c>
      <c r="C569" s="50" t="s">
        <v>276</v>
      </c>
      <c r="D569" s="50" t="s">
        <v>277</v>
      </c>
      <c r="E569" s="51" t="s">
        <v>261</v>
      </c>
      <c r="F569" s="30">
        <v>7.5</v>
      </c>
      <c r="G569" s="30">
        <v>2.5</v>
      </c>
      <c r="H569" s="30">
        <f t="shared" ref="H569" si="171">IF(G569&gt;0,(G569*1.5)+F569,"YOK")</f>
        <v>11.25</v>
      </c>
      <c r="I569" s="191" t="s">
        <v>783</v>
      </c>
      <c r="J569" s="31"/>
      <c r="K569" s="32">
        <v>1</v>
      </c>
      <c r="L569" s="32"/>
      <c r="M569" s="33"/>
      <c r="N569"/>
      <c r="O569"/>
    </row>
    <row r="570" spans="1:15" s="21" customFormat="1" ht="39.950000000000003" customHeight="1">
      <c r="A570" s="9">
        <v>43</v>
      </c>
      <c r="B570" s="222">
        <v>4424</v>
      </c>
      <c r="C570" s="50" t="s">
        <v>280</v>
      </c>
      <c r="D570" s="50" t="s">
        <v>906</v>
      </c>
      <c r="E570" s="51" t="s">
        <v>261</v>
      </c>
      <c r="F570" s="30">
        <v>7.5</v>
      </c>
      <c r="G570" s="30">
        <v>2.5</v>
      </c>
      <c r="H570" s="30">
        <f t="shared" si="144"/>
        <v>11.25</v>
      </c>
      <c r="I570" s="191" t="s">
        <v>785</v>
      </c>
      <c r="J570" s="31"/>
      <c r="K570" s="32">
        <v>1</v>
      </c>
      <c r="L570" s="32"/>
      <c r="M570" s="33"/>
      <c r="N570" s="33"/>
      <c r="O570"/>
    </row>
    <row r="571" spans="1:15" s="21" customFormat="1" ht="39.950000000000003" customHeight="1">
      <c r="A571" s="9">
        <v>44</v>
      </c>
      <c r="B571" s="222">
        <v>4425</v>
      </c>
      <c r="C571" s="50" t="s">
        <v>281</v>
      </c>
      <c r="D571" s="50" t="s">
        <v>905</v>
      </c>
      <c r="E571" s="51" t="s">
        <v>261</v>
      </c>
      <c r="F571" s="30">
        <v>7.5</v>
      </c>
      <c r="G571" s="30">
        <v>2.5</v>
      </c>
      <c r="H571" s="30">
        <f t="shared" si="144"/>
        <v>11.25</v>
      </c>
      <c r="I571" s="191" t="s">
        <v>785</v>
      </c>
      <c r="J571" s="31"/>
      <c r="K571" s="32">
        <v>1</v>
      </c>
      <c r="L571" s="32"/>
      <c r="M571" s="33"/>
      <c r="N571" s="33"/>
      <c r="O571"/>
    </row>
    <row r="572" spans="1:15" s="21" customFormat="1" ht="39.950000000000003" customHeight="1">
      <c r="A572" s="9">
        <v>45</v>
      </c>
      <c r="B572" s="222">
        <v>5222</v>
      </c>
      <c r="C572" s="50" t="s">
        <v>282</v>
      </c>
      <c r="D572" s="50" t="s">
        <v>283</v>
      </c>
      <c r="E572" s="51" t="s">
        <v>261</v>
      </c>
      <c r="F572" s="30">
        <v>7.5</v>
      </c>
      <c r="G572" s="30">
        <v>2.5</v>
      </c>
      <c r="H572" s="30">
        <f t="shared" ref="H572" si="172">IF(G572&gt;0,(G572*1.5)+F572,"YOK")</f>
        <v>11.25</v>
      </c>
      <c r="I572" s="191" t="s">
        <v>785</v>
      </c>
      <c r="J572" s="31"/>
      <c r="K572" s="32">
        <v>1</v>
      </c>
      <c r="L572" s="32"/>
      <c r="M572" s="33"/>
      <c r="N572" s="33"/>
      <c r="O572"/>
    </row>
    <row r="573" spans="1:15" s="21" customFormat="1" ht="39.950000000000003" customHeight="1">
      <c r="A573" s="9">
        <v>46</v>
      </c>
      <c r="B573" s="222">
        <v>4716</v>
      </c>
      <c r="C573" s="50" t="s">
        <v>284</v>
      </c>
      <c r="D573" s="50" t="s">
        <v>285</v>
      </c>
      <c r="E573" s="51" t="s">
        <v>261</v>
      </c>
      <c r="F573" s="30">
        <v>7.5</v>
      </c>
      <c r="G573" s="30">
        <v>2.5</v>
      </c>
      <c r="H573" s="30">
        <f t="shared" si="144"/>
        <v>11.25</v>
      </c>
      <c r="I573" s="191" t="s">
        <v>785</v>
      </c>
      <c r="J573" s="31"/>
      <c r="K573" s="32">
        <v>1</v>
      </c>
      <c r="L573" s="32"/>
      <c r="M573" s="33"/>
      <c r="N573" s="33"/>
      <c r="O573"/>
    </row>
    <row r="574" spans="1:15" s="21" customFormat="1" ht="39.950000000000003" customHeight="1">
      <c r="A574" s="9">
        <v>47</v>
      </c>
      <c r="B574" s="222">
        <v>5285</v>
      </c>
      <c r="C574" s="50" t="s">
        <v>266</v>
      </c>
      <c r="D574" s="50" t="s">
        <v>267</v>
      </c>
      <c r="E574" s="51" t="s">
        <v>261</v>
      </c>
      <c r="F574" s="30">
        <v>7.5</v>
      </c>
      <c r="G574" s="30">
        <v>2.5</v>
      </c>
      <c r="H574" s="30">
        <f t="shared" si="144"/>
        <v>11.25</v>
      </c>
      <c r="I574" s="191" t="s">
        <v>785</v>
      </c>
      <c r="J574" s="31"/>
      <c r="K574" s="32">
        <v>1</v>
      </c>
      <c r="L574" s="32"/>
      <c r="M574" s="33"/>
      <c r="N574" s="33"/>
      <c r="O574"/>
    </row>
    <row r="575" spans="1:15" s="21" customFormat="1" ht="39.950000000000003" customHeight="1">
      <c r="A575" s="9">
        <v>48</v>
      </c>
      <c r="B575" s="222">
        <v>6710</v>
      </c>
      <c r="C575" s="50" t="s">
        <v>781</v>
      </c>
      <c r="D575" s="50" t="s">
        <v>782</v>
      </c>
      <c r="E575" s="51" t="s">
        <v>261</v>
      </c>
      <c r="F575" s="30">
        <v>7.5</v>
      </c>
      <c r="G575" s="30">
        <v>2.5</v>
      </c>
      <c r="H575" s="30">
        <f t="shared" ref="H575" si="173">IF(G575&gt;0,(G575*1.5)+F575,"YOK")</f>
        <v>11.25</v>
      </c>
      <c r="I575" s="191" t="s">
        <v>787</v>
      </c>
      <c r="J575" s="31"/>
      <c r="K575" s="32">
        <v>1</v>
      </c>
      <c r="L575" s="32"/>
      <c r="M575" s="33"/>
      <c r="N575"/>
    </row>
    <row r="576" spans="1:15" s="21" customFormat="1" ht="39.950000000000003" customHeight="1">
      <c r="A576" s="9">
        <v>49</v>
      </c>
      <c r="B576" s="222">
        <v>5655</v>
      </c>
      <c r="C576" s="50" t="s">
        <v>1088</v>
      </c>
      <c r="D576" s="50" t="s">
        <v>1097</v>
      </c>
      <c r="E576" s="51" t="s">
        <v>261</v>
      </c>
      <c r="F576" s="30">
        <v>7.5</v>
      </c>
      <c r="G576" s="30">
        <v>2.5</v>
      </c>
      <c r="H576" s="30">
        <f>IF(G576&gt;0,(G576*1.5)+F576,"YOK")</f>
        <v>11.25</v>
      </c>
      <c r="I576" s="191" t="s">
        <v>787</v>
      </c>
      <c r="J576" s="31"/>
      <c r="K576" s="32">
        <v>1</v>
      </c>
      <c r="L576" s="32"/>
      <c r="M576" s="33"/>
      <c r="N576"/>
    </row>
    <row r="577" spans="1:18" s="21" customFormat="1" ht="39.950000000000003" customHeight="1">
      <c r="A577" s="9">
        <v>50</v>
      </c>
      <c r="B577" s="222">
        <v>5019</v>
      </c>
      <c r="C577" s="50" t="s">
        <v>294</v>
      </c>
      <c r="D577" s="50" t="s">
        <v>295</v>
      </c>
      <c r="E577" s="51" t="s">
        <v>261</v>
      </c>
      <c r="F577" s="30">
        <v>7.5</v>
      </c>
      <c r="G577" s="30">
        <v>2.5</v>
      </c>
      <c r="H577" s="30">
        <f t="shared" ref="H577" si="174">IF(G577&gt;0,(G577*1.5)+F577,"YOK")</f>
        <v>11.25</v>
      </c>
      <c r="I577" s="191" t="s">
        <v>786</v>
      </c>
      <c r="J577" s="31"/>
      <c r="K577" s="32">
        <v>1</v>
      </c>
      <c r="L577" s="27"/>
      <c r="M577" s="28"/>
      <c r="N577" s="33"/>
      <c r="O577"/>
    </row>
    <row r="578" spans="1:18" s="21" customFormat="1" ht="39.950000000000003" customHeight="1">
      <c r="A578" s="9">
        <v>51</v>
      </c>
      <c r="B578" s="222">
        <v>5021</v>
      </c>
      <c r="C578" s="50" t="s">
        <v>296</v>
      </c>
      <c r="D578" s="50" t="s">
        <v>297</v>
      </c>
      <c r="E578" s="51" t="s">
        <v>261</v>
      </c>
      <c r="F578" s="30">
        <v>7.5</v>
      </c>
      <c r="G578" s="30">
        <v>2.5</v>
      </c>
      <c r="H578" s="30">
        <f t="shared" si="144"/>
        <v>11.25</v>
      </c>
      <c r="I578" s="191" t="s">
        <v>786</v>
      </c>
      <c r="J578" s="31"/>
      <c r="K578" s="32">
        <v>1</v>
      </c>
      <c r="L578" s="32"/>
      <c r="M578" s="33"/>
      <c r="N578" s="33"/>
      <c r="O578"/>
    </row>
    <row r="579" spans="1:18" s="21" customFormat="1" ht="39.950000000000003" customHeight="1">
      <c r="A579" s="9">
        <v>52</v>
      </c>
      <c r="B579" s="222">
        <v>6226</v>
      </c>
      <c r="C579" s="50" t="s">
        <v>2170</v>
      </c>
      <c r="D579" s="50" t="s">
        <v>2171</v>
      </c>
      <c r="E579" s="51" t="s">
        <v>261</v>
      </c>
      <c r="F579" s="30">
        <v>7.5</v>
      </c>
      <c r="G579" s="30">
        <v>2.5</v>
      </c>
      <c r="H579" s="30">
        <f t="shared" ref="H579" si="175">IF(G579&gt;0,(G579*1.5)+F579,"YOK")</f>
        <v>11.25</v>
      </c>
      <c r="I579" s="191" t="s">
        <v>786</v>
      </c>
      <c r="J579" s="31"/>
      <c r="K579" s="32">
        <v>1</v>
      </c>
      <c r="L579" s="32"/>
      <c r="M579" s="33"/>
      <c r="N579"/>
      <c r="O579"/>
    </row>
    <row r="580" spans="1:18" s="21" customFormat="1" ht="39.950000000000003" customHeight="1">
      <c r="A580" s="9">
        <v>53</v>
      </c>
      <c r="B580" s="222">
        <v>6248</v>
      </c>
      <c r="C580" s="50" t="s">
        <v>274</v>
      </c>
      <c r="D580" s="50" t="s">
        <v>275</v>
      </c>
      <c r="E580" s="51" t="s">
        <v>261</v>
      </c>
      <c r="F580" s="30">
        <v>7.5</v>
      </c>
      <c r="G580" s="30">
        <v>2.5</v>
      </c>
      <c r="H580" s="30">
        <f t="shared" si="144"/>
        <v>11.25</v>
      </c>
      <c r="I580" s="191" t="s">
        <v>786</v>
      </c>
      <c r="J580" s="31"/>
      <c r="K580" s="32">
        <v>1</v>
      </c>
      <c r="L580" s="32"/>
      <c r="M580" s="33"/>
      <c r="N580" s="33"/>
      <c r="O580"/>
    </row>
    <row r="581" spans="1:18" s="21" customFormat="1" ht="39.950000000000003" customHeight="1">
      <c r="A581" s="9">
        <v>54</v>
      </c>
      <c r="B581" s="222">
        <v>6384</v>
      </c>
      <c r="C581" s="50" t="s">
        <v>2466</v>
      </c>
      <c r="D581" s="50" t="s">
        <v>2467</v>
      </c>
      <c r="E581" s="51" t="s">
        <v>261</v>
      </c>
      <c r="F581" s="30">
        <v>7.5</v>
      </c>
      <c r="G581" s="30">
        <v>2.5</v>
      </c>
      <c r="H581" s="30">
        <f t="shared" ref="H581" si="176">IF(G581&gt;0,(G581*1.5)+F581,"YOK")</f>
        <v>11.25</v>
      </c>
      <c r="I581" s="191" t="s">
        <v>786</v>
      </c>
      <c r="J581" s="31"/>
      <c r="K581" s="32">
        <v>1</v>
      </c>
      <c r="L581" s="32"/>
      <c r="M581" s="33"/>
      <c r="N581" s="33"/>
      <c r="O581"/>
    </row>
    <row r="582" spans="1:18" s="21" customFormat="1" ht="39.950000000000003" customHeight="1">
      <c r="A582" s="9">
        <v>55</v>
      </c>
      <c r="B582" s="222">
        <v>6385</v>
      </c>
      <c r="C582" s="50" t="s">
        <v>2468</v>
      </c>
      <c r="D582" s="50" t="s">
        <v>2469</v>
      </c>
      <c r="E582" s="51" t="s">
        <v>261</v>
      </c>
      <c r="F582" s="30">
        <v>7.5</v>
      </c>
      <c r="G582" s="30">
        <v>2.5</v>
      </c>
      <c r="H582" s="30">
        <f t="shared" ref="H582" si="177">IF(G582&gt;0,(G582*1.5)+F582,"YOK")</f>
        <v>11.25</v>
      </c>
      <c r="I582" s="191" t="s">
        <v>786</v>
      </c>
      <c r="J582" s="31"/>
      <c r="K582" s="32">
        <v>1</v>
      </c>
      <c r="L582" s="32"/>
      <c r="M582" s="33"/>
      <c r="N582" s="33"/>
      <c r="O582"/>
    </row>
    <row r="583" spans="1:18" s="21" customFormat="1" ht="39.950000000000003" customHeight="1">
      <c r="A583" s="9">
        <v>56</v>
      </c>
      <c r="B583" s="222">
        <v>6708</v>
      </c>
      <c r="C583" s="185" t="s">
        <v>3181</v>
      </c>
      <c r="D583" s="50" t="s">
        <v>3182</v>
      </c>
      <c r="E583" s="51" t="s">
        <v>261</v>
      </c>
      <c r="F583" s="30">
        <v>7.5</v>
      </c>
      <c r="G583" s="30">
        <v>2.5</v>
      </c>
      <c r="H583" s="30">
        <f t="shared" ref="H583:H584" si="178">IF(G583&gt;0,(G583*1.5)+F583,"YOK")</f>
        <v>11.25</v>
      </c>
      <c r="I583" s="191" t="s">
        <v>786</v>
      </c>
      <c r="J583" s="31"/>
      <c r="K583" s="32">
        <v>1</v>
      </c>
      <c r="L583" s="32"/>
      <c r="M583" s="33"/>
      <c r="N583" s="33"/>
      <c r="O583"/>
    </row>
    <row r="584" spans="1:18" s="21" customFormat="1" ht="39.950000000000003" customHeight="1">
      <c r="A584" s="9">
        <v>57</v>
      </c>
      <c r="B584" s="222">
        <v>6711</v>
      </c>
      <c r="C584" s="185" t="s">
        <v>3183</v>
      </c>
      <c r="D584" s="50" t="s">
        <v>3184</v>
      </c>
      <c r="E584" s="51" t="s">
        <v>261</v>
      </c>
      <c r="F584" s="30">
        <v>7.5</v>
      </c>
      <c r="G584" s="30">
        <v>2.5</v>
      </c>
      <c r="H584" s="30">
        <f t="shared" si="178"/>
        <v>11.25</v>
      </c>
      <c r="I584" s="191" t="s">
        <v>786</v>
      </c>
      <c r="J584" s="31"/>
      <c r="K584" s="32">
        <v>1</v>
      </c>
      <c r="L584" s="32"/>
      <c r="M584" s="33"/>
      <c r="N584" s="33"/>
      <c r="O584"/>
    </row>
    <row r="585" spans="1:18" s="21" customFormat="1" ht="39.950000000000003" customHeight="1">
      <c r="A585" s="9">
        <v>58</v>
      </c>
      <c r="B585" s="222">
        <v>6786</v>
      </c>
      <c r="C585" s="185" t="s">
        <v>3408</v>
      </c>
      <c r="D585" s="50" t="s">
        <v>3409</v>
      </c>
      <c r="E585" s="51" t="s">
        <v>261</v>
      </c>
      <c r="F585" s="30">
        <v>7.5</v>
      </c>
      <c r="G585" s="30">
        <v>2.5</v>
      </c>
      <c r="H585" s="30">
        <f t="shared" ref="H585" si="179">IF(G585&gt;0,(G585*1.5)+F585,"YOK")</f>
        <v>11.25</v>
      </c>
      <c r="I585" s="191" t="s">
        <v>786</v>
      </c>
      <c r="J585" s="31"/>
      <c r="K585" s="32">
        <v>1</v>
      </c>
      <c r="L585" s="32"/>
      <c r="M585" s="33"/>
      <c r="N585" s="33"/>
      <c r="O585"/>
    </row>
    <row r="586" spans="1:18" s="21" customFormat="1" ht="39.950000000000003" customHeight="1">
      <c r="A586" s="9">
        <v>59</v>
      </c>
      <c r="B586" s="222">
        <v>6291</v>
      </c>
      <c r="C586" s="50" t="s">
        <v>2293</v>
      </c>
      <c r="D586" s="50" t="s">
        <v>2294</v>
      </c>
      <c r="E586" s="51" t="s">
        <v>260</v>
      </c>
      <c r="F586" s="30">
        <v>7.5</v>
      </c>
      <c r="G586" s="30">
        <v>2.5</v>
      </c>
      <c r="H586" s="30">
        <f t="shared" ref="H586" si="180">IF(G586&gt;0,(G586*1.5)+F586,"YOK")</f>
        <v>11.25</v>
      </c>
      <c r="I586" s="191" t="s">
        <v>787</v>
      </c>
      <c r="J586" s="31"/>
      <c r="K586" s="32">
        <v>1</v>
      </c>
      <c r="L586" s="32"/>
      <c r="M586" s="33"/>
      <c r="N586" s="33"/>
      <c r="O586"/>
    </row>
    <row r="587" spans="1:18" s="52" customFormat="1" ht="39.950000000000003" customHeight="1">
      <c r="A587" s="9">
        <v>60</v>
      </c>
      <c r="B587" s="222">
        <v>6290</v>
      </c>
      <c r="C587" s="50" t="s">
        <v>2304</v>
      </c>
      <c r="D587" s="50" t="s">
        <v>2295</v>
      </c>
      <c r="E587" s="51" t="s">
        <v>260</v>
      </c>
      <c r="F587" s="30">
        <v>7.5</v>
      </c>
      <c r="G587" s="30">
        <v>2.5</v>
      </c>
      <c r="H587" s="30">
        <f t="shared" si="144"/>
        <v>11.25</v>
      </c>
      <c r="I587" s="191" t="s">
        <v>787</v>
      </c>
      <c r="J587" s="31"/>
      <c r="K587" s="32">
        <v>1</v>
      </c>
      <c r="L587" s="32"/>
      <c r="M587" s="33"/>
      <c r="N587" s="33"/>
      <c r="O587"/>
      <c r="P587" s="21"/>
      <c r="Q587" s="21"/>
      <c r="R587" s="21"/>
    </row>
    <row r="588" spans="1:18" s="21" customFormat="1" ht="39.950000000000003" customHeight="1">
      <c r="A588" s="9">
        <v>61</v>
      </c>
      <c r="B588" s="222">
        <v>6294</v>
      </c>
      <c r="C588" s="50" t="s">
        <v>2303</v>
      </c>
      <c r="D588" s="50" t="s">
        <v>2296</v>
      </c>
      <c r="E588" s="51" t="s">
        <v>260</v>
      </c>
      <c r="F588" s="30">
        <v>7.5</v>
      </c>
      <c r="G588" s="30">
        <v>2.5</v>
      </c>
      <c r="H588" s="30">
        <f t="shared" ref="H588" si="181">IF(G588&gt;0,(G588*1.5)+F588,"YOK")</f>
        <v>11.25</v>
      </c>
      <c r="I588" s="191" t="s">
        <v>787</v>
      </c>
      <c r="J588" s="31"/>
      <c r="K588" s="32">
        <v>1</v>
      </c>
      <c r="L588" s="32"/>
      <c r="M588" s="33"/>
      <c r="N588" s="33"/>
      <c r="O588"/>
    </row>
    <row r="589" spans="1:18" s="21" customFormat="1" ht="39.950000000000003" customHeight="1">
      <c r="A589" s="9">
        <v>62</v>
      </c>
      <c r="B589" s="222">
        <v>6293</v>
      </c>
      <c r="C589" s="50" t="s">
        <v>2301</v>
      </c>
      <c r="D589" s="50" t="s">
        <v>2298</v>
      </c>
      <c r="E589" s="51" t="s">
        <v>260</v>
      </c>
      <c r="F589" s="30">
        <v>7.5</v>
      </c>
      <c r="G589" s="30">
        <v>2.5</v>
      </c>
      <c r="H589" s="30">
        <f t="shared" ref="H589" si="182">IF(G589&gt;0,(G589*1.5)+F589,"YOK")</f>
        <v>11.25</v>
      </c>
      <c r="I589" s="191" t="s">
        <v>787</v>
      </c>
      <c r="J589" s="31"/>
      <c r="K589" s="32">
        <v>1</v>
      </c>
      <c r="L589" s="32"/>
      <c r="M589" s="33"/>
      <c r="N589" s="33"/>
      <c r="O589"/>
    </row>
    <row r="590" spans="1:18" s="21" customFormat="1" ht="39.950000000000003" customHeight="1">
      <c r="A590" s="9">
        <v>63</v>
      </c>
      <c r="B590" s="222">
        <v>6354</v>
      </c>
      <c r="C590" s="50" t="s">
        <v>2407</v>
      </c>
      <c r="D590" s="50" t="s">
        <v>2410</v>
      </c>
      <c r="E590" s="51" t="s">
        <v>260</v>
      </c>
      <c r="F590" s="30">
        <v>7.5</v>
      </c>
      <c r="G590" s="30">
        <v>2.5</v>
      </c>
      <c r="H590" s="30">
        <f t="shared" ref="H590" si="183">IF(G590&gt;0,(G590*1.5)+F590,"YOK")</f>
        <v>11.25</v>
      </c>
      <c r="I590" s="191" t="s">
        <v>787</v>
      </c>
      <c r="J590" s="31"/>
      <c r="K590" s="32">
        <v>1</v>
      </c>
      <c r="L590" s="32"/>
      <c r="M590" s="33"/>
      <c r="N590"/>
    </row>
    <row r="591" spans="1:18" s="21" customFormat="1" ht="39.950000000000003" customHeight="1">
      <c r="A591" s="9">
        <v>64</v>
      </c>
      <c r="B591" s="222">
        <v>6355</v>
      </c>
      <c r="C591" s="50" t="s">
        <v>2408</v>
      </c>
      <c r="D591" s="50" t="s">
        <v>2409</v>
      </c>
      <c r="E591" s="51" t="s">
        <v>260</v>
      </c>
      <c r="F591" s="30">
        <v>7.5</v>
      </c>
      <c r="G591" s="30">
        <v>2.5</v>
      </c>
      <c r="H591" s="30">
        <f t="shared" si="144"/>
        <v>11.25</v>
      </c>
      <c r="I591" s="191" t="s">
        <v>787</v>
      </c>
      <c r="J591" s="31"/>
      <c r="K591" s="32">
        <v>1</v>
      </c>
      <c r="L591" s="32"/>
      <c r="M591" s="33"/>
      <c r="N591" s="33"/>
    </row>
    <row r="592" spans="1:18" s="21" customFormat="1" ht="39.950000000000003" customHeight="1">
      <c r="A592" s="9">
        <v>65</v>
      </c>
      <c r="B592" s="222">
        <v>6156</v>
      </c>
      <c r="C592" s="50" t="s">
        <v>2651</v>
      </c>
      <c r="D592" s="50" t="s">
        <v>1996</v>
      </c>
      <c r="E592" s="51" t="s">
        <v>260</v>
      </c>
      <c r="F592" s="30">
        <v>7.5</v>
      </c>
      <c r="G592" s="30">
        <v>2.5</v>
      </c>
      <c r="H592" s="30">
        <f>IF(G592&gt;0,(G592*1.5)+F592,"YOK")</f>
        <v>11.25</v>
      </c>
      <c r="I592" s="208" t="s">
        <v>132</v>
      </c>
      <c r="J592" s="31"/>
      <c r="K592" s="32">
        <v>1</v>
      </c>
      <c r="L592" s="32">
        <v>1</v>
      </c>
      <c r="M592" s="33"/>
      <c r="N592" s="33"/>
    </row>
    <row r="593" spans="1:15" s="21" customFormat="1" ht="39.950000000000003" customHeight="1">
      <c r="A593" s="9">
        <v>66</v>
      </c>
      <c r="B593" s="222">
        <v>6519</v>
      </c>
      <c r="C593" s="185" t="s">
        <v>2649</v>
      </c>
      <c r="D593" s="50" t="s">
        <v>2650</v>
      </c>
      <c r="E593" s="51" t="s">
        <v>260</v>
      </c>
      <c r="F593" s="30">
        <v>7.5</v>
      </c>
      <c r="G593" s="30">
        <v>2.5</v>
      </c>
      <c r="H593" s="30">
        <f>IF(G593&gt;0,(G593*1.5)+F593,"YOK")</f>
        <v>11.25</v>
      </c>
      <c r="I593" s="191" t="s">
        <v>787</v>
      </c>
      <c r="J593" s="31"/>
      <c r="K593" s="32">
        <v>1</v>
      </c>
      <c r="L593" s="32"/>
      <c r="M593" s="33"/>
      <c r="N593" s="33"/>
    </row>
    <row r="594" spans="1:15" s="21" customFormat="1" ht="39.950000000000003" customHeight="1">
      <c r="A594" s="9">
        <v>67</v>
      </c>
      <c r="B594" s="222">
        <v>6272</v>
      </c>
      <c r="C594" s="50" t="s">
        <v>2188</v>
      </c>
      <c r="D594" s="50" t="s">
        <v>2189</v>
      </c>
      <c r="E594" s="51" t="s">
        <v>260</v>
      </c>
      <c r="F594" s="30">
        <v>7.5</v>
      </c>
      <c r="G594" s="30">
        <v>2.5</v>
      </c>
      <c r="H594" s="30">
        <f>IF(G594&gt;0,(G594*1.5)+F594,"YOK")</f>
        <v>11.25</v>
      </c>
      <c r="I594" s="191" t="s">
        <v>787</v>
      </c>
      <c r="J594" s="31"/>
      <c r="K594" s="32">
        <v>1</v>
      </c>
      <c r="L594" s="32"/>
      <c r="M594" s="33"/>
      <c r="N594" s="33"/>
      <c r="O594"/>
    </row>
    <row r="595" spans="1:15" s="21" customFormat="1" ht="39.950000000000003" customHeight="1">
      <c r="A595" s="9">
        <v>68</v>
      </c>
      <c r="B595" s="222">
        <v>6295</v>
      </c>
      <c r="C595" s="50" t="s">
        <v>2302</v>
      </c>
      <c r="D595" s="50" t="s">
        <v>2297</v>
      </c>
      <c r="E595" s="51" t="s">
        <v>260</v>
      </c>
      <c r="F595" s="30">
        <v>7.5</v>
      </c>
      <c r="G595" s="30">
        <v>2.5</v>
      </c>
      <c r="H595" s="30">
        <f>IF(G595&gt;0,(G595*1.5)+F595,"YOK")</f>
        <v>11.25</v>
      </c>
      <c r="I595" s="191" t="s">
        <v>787</v>
      </c>
      <c r="J595" s="31"/>
      <c r="K595" s="32">
        <v>1</v>
      </c>
      <c r="L595" s="32"/>
      <c r="M595" s="33"/>
      <c r="N595"/>
    </row>
    <row r="596" spans="1:15" s="21" customFormat="1" ht="39.950000000000003" customHeight="1">
      <c r="A596" s="9">
        <v>69</v>
      </c>
      <c r="B596" s="222">
        <v>6292</v>
      </c>
      <c r="C596" s="50" t="s">
        <v>2300</v>
      </c>
      <c r="D596" s="50" t="s">
        <v>2299</v>
      </c>
      <c r="E596" s="51" t="s">
        <v>260</v>
      </c>
      <c r="F596" s="30">
        <v>7.5</v>
      </c>
      <c r="G596" s="30">
        <v>2.5</v>
      </c>
      <c r="H596" s="30">
        <f t="shared" ref="H596" si="184">IF(G596&gt;0,(G596*1.5)+F596,"YOK")</f>
        <v>11.25</v>
      </c>
      <c r="I596" s="191" t="s">
        <v>787</v>
      </c>
      <c r="J596" s="31"/>
      <c r="K596" s="32">
        <v>1</v>
      </c>
      <c r="L596" s="32"/>
      <c r="M596" s="33"/>
      <c r="N596"/>
    </row>
    <row r="597" spans="1:15" s="21" customFormat="1" ht="39.950000000000003" customHeight="1">
      <c r="A597" s="9">
        <v>70</v>
      </c>
      <c r="B597" s="222">
        <v>6372</v>
      </c>
      <c r="C597" s="50" t="s">
        <v>2428</v>
      </c>
      <c r="D597" s="50" t="s">
        <v>2429</v>
      </c>
      <c r="E597" s="51" t="s">
        <v>260</v>
      </c>
      <c r="F597" s="30">
        <v>7.5</v>
      </c>
      <c r="G597" s="30">
        <v>2.5</v>
      </c>
      <c r="H597" s="30">
        <f t="shared" ref="H597" si="185">IF(G597&gt;0,(G597*1.5)+F597,"YOK")</f>
        <v>11.25</v>
      </c>
      <c r="I597" s="191" t="s">
        <v>787</v>
      </c>
      <c r="J597" s="31"/>
      <c r="K597" s="32">
        <v>1</v>
      </c>
      <c r="L597" s="32"/>
      <c r="M597" s="33"/>
      <c r="N597"/>
    </row>
    <row r="598" spans="1:15" s="21" customFormat="1" ht="39.950000000000003" customHeight="1">
      <c r="A598" s="9">
        <v>71</v>
      </c>
      <c r="B598" s="222">
        <v>6371</v>
      </c>
      <c r="C598" s="50" t="s">
        <v>2431</v>
      </c>
      <c r="D598" s="50" t="s">
        <v>2430</v>
      </c>
      <c r="E598" s="51" t="s">
        <v>260</v>
      </c>
      <c r="F598" s="30">
        <v>7.5</v>
      </c>
      <c r="G598" s="30">
        <v>2.5</v>
      </c>
      <c r="H598" s="30">
        <f t="shared" ref="H598" si="186">IF(G598&gt;0,(G598*1.5)+F598,"YOK")</f>
        <v>11.25</v>
      </c>
      <c r="I598" s="191" t="s">
        <v>787</v>
      </c>
      <c r="J598" s="31"/>
      <c r="K598" s="32">
        <v>1</v>
      </c>
      <c r="L598" s="32"/>
      <c r="M598" s="33"/>
      <c r="N598"/>
    </row>
    <row r="599" spans="1:15" s="21" customFormat="1" ht="39.950000000000003" customHeight="1">
      <c r="A599" s="9">
        <v>72</v>
      </c>
      <c r="B599" s="222">
        <v>6387</v>
      </c>
      <c r="C599" s="50" t="s">
        <v>2472</v>
      </c>
      <c r="D599" s="50" t="s">
        <v>2473</v>
      </c>
      <c r="E599" s="51" t="s">
        <v>260</v>
      </c>
      <c r="F599" s="30">
        <v>7.5</v>
      </c>
      <c r="G599" s="30">
        <v>2.5</v>
      </c>
      <c r="H599" s="30">
        <f t="shared" ref="H599" si="187">IF(G599&gt;0,(G599*1.5)+F599,"YOK")</f>
        <v>11.25</v>
      </c>
      <c r="I599" s="191" t="s">
        <v>787</v>
      </c>
      <c r="J599" s="31"/>
      <c r="K599" s="32">
        <v>1</v>
      </c>
      <c r="L599" s="32"/>
      <c r="M599" s="33"/>
      <c r="N599"/>
    </row>
    <row r="600" spans="1:15" s="21" customFormat="1" ht="39.950000000000003" customHeight="1">
      <c r="A600" s="9">
        <v>73</v>
      </c>
      <c r="B600" s="222">
        <v>6388</v>
      </c>
      <c r="C600" s="50" t="s">
        <v>2474</v>
      </c>
      <c r="D600" s="50" t="s">
        <v>2475</v>
      </c>
      <c r="E600" s="51" t="s">
        <v>260</v>
      </c>
      <c r="F600" s="30">
        <v>7.5</v>
      </c>
      <c r="G600" s="30">
        <v>2.5</v>
      </c>
      <c r="H600" s="30">
        <f t="shared" ref="H600" si="188">IF(G600&gt;0,(G600*1.5)+F600,"YOK")</f>
        <v>11.25</v>
      </c>
      <c r="I600" s="191" t="s">
        <v>787</v>
      </c>
      <c r="J600" s="31"/>
      <c r="K600" s="32">
        <v>1</v>
      </c>
      <c r="L600" s="32"/>
      <c r="M600" s="33"/>
      <c r="N600"/>
    </row>
    <row r="601" spans="1:15" s="21" customFormat="1" ht="39.950000000000003" customHeight="1">
      <c r="A601" s="9">
        <v>74</v>
      </c>
      <c r="B601" s="222">
        <v>6562</v>
      </c>
      <c r="C601" s="185" t="s">
        <v>2764</v>
      </c>
      <c r="D601" s="50" t="s">
        <v>2765</v>
      </c>
      <c r="E601" s="51" t="s">
        <v>260</v>
      </c>
      <c r="F601" s="30">
        <v>0</v>
      </c>
      <c r="G601" s="30">
        <v>0</v>
      </c>
      <c r="H601" s="30" t="str">
        <f t="shared" ref="H601" si="189">IF(G601&gt;0,(G601*1.5)+F601,"YOK")</f>
        <v>YOK</v>
      </c>
      <c r="I601" s="191" t="s">
        <v>1185</v>
      </c>
      <c r="J601" s="31">
        <v>1</v>
      </c>
      <c r="K601" s="32">
        <v>0</v>
      </c>
      <c r="L601" s="32"/>
      <c r="M601" s="33"/>
      <c r="N601"/>
    </row>
    <row r="602" spans="1:15" s="21" customFormat="1" ht="39.950000000000003" customHeight="1">
      <c r="A602" s="9">
        <v>75</v>
      </c>
      <c r="B602" s="222">
        <v>6785</v>
      </c>
      <c r="C602" s="185" t="s">
        <v>3406</v>
      </c>
      <c r="D602" s="50" t="s">
        <v>3407</v>
      </c>
      <c r="E602" s="51" t="s">
        <v>260</v>
      </c>
      <c r="F602" s="30">
        <v>7.5</v>
      </c>
      <c r="G602" s="30">
        <v>2.5</v>
      </c>
      <c r="H602" s="30">
        <f t="shared" ref="H602" si="190">IF(G602&gt;0,(G602*1.5)+F602,"YOK")</f>
        <v>11.25</v>
      </c>
      <c r="I602" s="191" t="s">
        <v>787</v>
      </c>
      <c r="J602" s="31"/>
      <c r="K602" s="32">
        <v>1</v>
      </c>
      <c r="L602" s="32"/>
      <c r="M602" s="33"/>
      <c r="N602"/>
    </row>
    <row r="603" spans="1:15" s="21" customFormat="1" ht="39.950000000000003" customHeight="1">
      <c r="A603" s="9">
        <v>76</v>
      </c>
      <c r="B603" s="222">
        <v>5990</v>
      </c>
      <c r="C603" s="50" t="s">
        <v>1583</v>
      </c>
      <c r="D603" s="50" t="s">
        <v>1582</v>
      </c>
      <c r="E603" s="51" t="s">
        <v>306</v>
      </c>
      <c r="F603" s="30">
        <v>7.5</v>
      </c>
      <c r="G603" s="30">
        <v>2.5</v>
      </c>
      <c r="H603" s="30">
        <f>IF(G603&gt;0,(G603*1.5)+F603,"YOK")</f>
        <v>11.25</v>
      </c>
      <c r="I603" s="191" t="s">
        <v>791</v>
      </c>
      <c r="J603" s="31"/>
      <c r="K603" s="32">
        <v>1</v>
      </c>
      <c r="L603" s="32"/>
      <c r="M603" s="33"/>
      <c r="N603"/>
    </row>
    <row r="604" spans="1:15" s="21" customFormat="1" ht="39.950000000000003" customHeight="1">
      <c r="A604" s="9">
        <v>77</v>
      </c>
      <c r="B604" s="222">
        <v>5017</v>
      </c>
      <c r="C604" s="50" t="s">
        <v>307</v>
      </c>
      <c r="D604" s="50" t="s">
        <v>308</v>
      </c>
      <c r="E604" s="51" t="s">
        <v>306</v>
      </c>
      <c r="F604" s="30">
        <v>7.5</v>
      </c>
      <c r="G604" s="30">
        <v>2.5</v>
      </c>
      <c r="H604" s="30">
        <f t="shared" ref="H604" si="191">IF(G604&gt;0,(G604*1.5)+F604,"YOK")</f>
        <v>11.25</v>
      </c>
      <c r="I604" s="191" t="s">
        <v>791</v>
      </c>
      <c r="J604" s="31"/>
      <c r="K604" s="32">
        <v>1</v>
      </c>
      <c r="L604" s="32"/>
      <c r="M604" s="33"/>
      <c r="N604"/>
    </row>
    <row r="605" spans="1:15" s="21" customFormat="1" ht="39.950000000000003" customHeight="1">
      <c r="A605" s="9">
        <v>78</v>
      </c>
      <c r="B605" s="222">
        <v>5283</v>
      </c>
      <c r="C605" s="50" t="s">
        <v>309</v>
      </c>
      <c r="D605" s="50" t="s">
        <v>310</v>
      </c>
      <c r="E605" s="51" t="s">
        <v>306</v>
      </c>
      <c r="F605" s="30">
        <v>7.5</v>
      </c>
      <c r="G605" s="30">
        <v>2.5</v>
      </c>
      <c r="H605" s="30">
        <f>IF(G605&gt;0,(G605*1.5)+F605,"YOK")</f>
        <v>11.25</v>
      </c>
      <c r="I605" s="191" t="s">
        <v>791</v>
      </c>
      <c r="J605" s="31"/>
      <c r="K605" s="32">
        <v>1</v>
      </c>
      <c r="L605" s="32"/>
      <c r="M605" s="33"/>
      <c r="N605"/>
    </row>
    <row r="606" spans="1:15" s="21" customFormat="1" ht="39.950000000000003" customHeight="1">
      <c r="A606" s="9">
        <v>79</v>
      </c>
      <c r="B606" s="222">
        <v>5520</v>
      </c>
      <c r="C606" s="50" t="s">
        <v>878</v>
      </c>
      <c r="D606" s="50" t="s">
        <v>879</v>
      </c>
      <c r="E606" s="51" t="s">
        <v>306</v>
      </c>
      <c r="F606" s="30">
        <v>7.5</v>
      </c>
      <c r="G606" s="30">
        <v>2.5</v>
      </c>
      <c r="H606" s="30">
        <f t="shared" ref="H606" si="192">IF(G606&gt;0,(G606*1.5)+F606,"YOK")</f>
        <v>11.25</v>
      </c>
      <c r="I606" s="191" t="s">
        <v>791</v>
      </c>
      <c r="J606" s="31"/>
      <c r="K606" s="32">
        <v>1</v>
      </c>
      <c r="L606" s="32"/>
      <c r="M606" s="33"/>
      <c r="N606"/>
    </row>
    <row r="607" spans="1:15" s="21" customFormat="1" ht="39.950000000000003" customHeight="1">
      <c r="A607" s="9">
        <v>80</v>
      </c>
      <c r="B607" s="222">
        <v>5857</v>
      </c>
      <c r="C607" s="50" t="s">
        <v>1344</v>
      </c>
      <c r="D607" s="50" t="s">
        <v>1347</v>
      </c>
      <c r="E607" s="51" t="s">
        <v>306</v>
      </c>
      <c r="F607" s="30">
        <v>7.5</v>
      </c>
      <c r="G607" s="30">
        <v>2.5</v>
      </c>
      <c r="H607" s="30">
        <f>IF(G607&gt;0,(G607*1.5)+F607,"YOK")</f>
        <v>11.25</v>
      </c>
      <c r="I607" s="191" t="s">
        <v>791</v>
      </c>
      <c r="J607" s="31"/>
      <c r="K607" s="32">
        <v>1</v>
      </c>
      <c r="L607" s="32"/>
      <c r="M607" s="33"/>
      <c r="N607"/>
      <c r="O607"/>
    </row>
    <row r="608" spans="1:15" s="21" customFormat="1" ht="39.950000000000003" customHeight="1">
      <c r="A608" s="9">
        <v>81</v>
      </c>
      <c r="B608" s="222">
        <v>5856</v>
      </c>
      <c r="C608" s="50" t="s">
        <v>1345</v>
      </c>
      <c r="D608" s="50" t="s">
        <v>1346</v>
      </c>
      <c r="E608" s="51" t="s">
        <v>306</v>
      </c>
      <c r="F608" s="30">
        <v>7.5</v>
      </c>
      <c r="G608" s="30">
        <v>2.5</v>
      </c>
      <c r="H608" s="30">
        <f>IF(G608&gt;0,(G608*1.5)+F608,"YOK")</f>
        <v>11.25</v>
      </c>
      <c r="I608" s="191" t="s">
        <v>791</v>
      </c>
      <c r="J608" s="31"/>
      <c r="K608" s="32">
        <v>1</v>
      </c>
      <c r="L608" s="32"/>
      <c r="M608" s="33"/>
      <c r="N608"/>
      <c r="O608"/>
    </row>
    <row r="609" spans="1:15" s="21" customFormat="1" ht="39.950000000000003" customHeight="1">
      <c r="A609" s="9">
        <v>82</v>
      </c>
      <c r="B609" s="222">
        <v>6386</v>
      </c>
      <c r="C609" s="50" t="s">
        <v>2470</v>
      </c>
      <c r="D609" s="50" t="s">
        <v>2471</v>
      </c>
      <c r="E609" s="51" t="s">
        <v>306</v>
      </c>
      <c r="F609" s="30">
        <v>7.5</v>
      </c>
      <c r="G609" s="30">
        <v>2.5</v>
      </c>
      <c r="H609" s="30">
        <f t="shared" ref="H609" si="193">IF(G609&gt;0,(G609*1.5)+F609,"YOK")</f>
        <v>11.25</v>
      </c>
      <c r="I609" s="191" t="s">
        <v>791</v>
      </c>
      <c r="J609" s="31"/>
      <c r="K609" s="32">
        <v>1</v>
      </c>
      <c r="L609" s="32"/>
      <c r="M609" s="33"/>
      <c r="N609"/>
      <c r="O609"/>
    </row>
    <row r="610" spans="1:15" s="21" customFormat="1" ht="39.950000000000003" customHeight="1">
      <c r="A610" s="9">
        <v>83</v>
      </c>
      <c r="B610" s="222">
        <v>5926</v>
      </c>
      <c r="C610" s="50" t="s">
        <v>1489</v>
      </c>
      <c r="D610" s="50" t="s">
        <v>1490</v>
      </c>
      <c r="E610" s="51" t="s">
        <v>306</v>
      </c>
      <c r="F610" s="30">
        <v>7.5</v>
      </c>
      <c r="G610" s="30">
        <v>2.5</v>
      </c>
      <c r="H610" s="30">
        <f t="shared" ref="H610" si="194">IF(G610&gt;0,(G610*1.5)+F610,"YOK")</f>
        <v>11.25</v>
      </c>
      <c r="I610" s="191" t="s">
        <v>791</v>
      </c>
      <c r="J610" s="31"/>
      <c r="K610" s="32">
        <v>1</v>
      </c>
      <c r="L610" s="32"/>
      <c r="M610" s="33"/>
      <c r="N610"/>
    </row>
    <row r="611" spans="1:15" s="21" customFormat="1" ht="39.950000000000003" customHeight="1">
      <c r="A611" s="9">
        <v>84</v>
      </c>
      <c r="B611" s="222">
        <v>5913</v>
      </c>
      <c r="C611" s="50" t="s">
        <v>1445</v>
      </c>
      <c r="D611" s="50" t="s">
        <v>1446</v>
      </c>
      <c r="E611" s="51" t="s">
        <v>306</v>
      </c>
      <c r="F611" s="30">
        <v>7.5</v>
      </c>
      <c r="G611" s="30">
        <v>2.5</v>
      </c>
      <c r="H611" s="30">
        <f t="shared" ref="H611" si="195">IF(G611&gt;0,(G611*1.5)+F611,"YOK")</f>
        <v>11.25</v>
      </c>
      <c r="I611" s="191" t="s">
        <v>787</v>
      </c>
      <c r="J611" s="31"/>
      <c r="K611" s="32">
        <v>1</v>
      </c>
      <c r="L611" s="32"/>
      <c r="M611" s="33"/>
      <c r="N611"/>
    </row>
    <row r="612" spans="1:15" s="21" customFormat="1" ht="39.950000000000003" customHeight="1">
      <c r="A612" s="9">
        <v>85</v>
      </c>
      <c r="B612" s="222">
        <v>5998</v>
      </c>
      <c r="C612" s="50" t="s">
        <v>1685</v>
      </c>
      <c r="D612" s="50" t="s">
        <v>1686</v>
      </c>
      <c r="E612" s="51" t="s">
        <v>306</v>
      </c>
      <c r="F612" s="30">
        <v>7.5</v>
      </c>
      <c r="G612" s="30">
        <v>2.5</v>
      </c>
      <c r="H612" s="30">
        <f t="shared" ref="H612" si="196">IF(G612&gt;0,(G612*1.5)+F612,"YOK")</f>
        <v>11.25</v>
      </c>
      <c r="I612" s="191" t="s">
        <v>787</v>
      </c>
      <c r="J612" s="31"/>
      <c r="K612" s="32">
        <v>1</v>
      </c>
      <c r="L612" s="32"/>
      <c r="M612" s="33"/>
      <c r="N612"/>
    </row>
    <row r="613" spans="1:15" s="21" customFormat="1" ht="39.950000000000003" customHeight="1">
      <c r="A613" s="9">
        <v>86</v>
      </c>
      <c r="B613" s="222" t="s">
        <v>979</v>
      </c>
      <c r="C613" s="185" t="s">
        <v>3211</v>
      </c>
      <c r="D613" s="50" t="s">
        <v>3212</v>
      </c>
      <c r="E613" s="51" t="s">
        <v>1621</v>
      </c>
      <c r="F613" s="30">
        <v>7.5</v>
      </c>
      <c r="G613" s="30">
        <v>2.5</v>
      </c>
      <c r="H613" s="30">
        <f t="shared" ref="H613:H614" si="197">IF(G613&gt;0,(G613*1.5)+F613,"YOK")</f>
        <v>11.25</v>
      </c>
      <c r="I613" s="227" t="s">
        <v>1100</v>
      </c>
      <c r="J613" s="31"/>
      <c r="K613" s="32">
        <v>1</v>
      </c>
      <c r="L613" s="32"/>
      <c r="M613" s="33"/>
      <c r="N613"/>
    </row>
    <row r="614" spans="1:15" s="21" customFormat="1" ht="39.950000000000003" customHeight="1">
      <c r="A614" s="9">
        <v>87</v>
      </c>
      <c r="B614" s="222" t="s">
        <v>979</v>
      </c>
      <c r="C614" s="185" t="s">
        <v>3213</v>
      </c>
      <c r="D614" s="50" t="s">
        <v>3214</v>
      </c>
      <c r="E614" s="51" t="s">
        <v>316</v>
      </c>
      <c r="F614" s="30">
        <v>7.5</v>
      </c>
      <c r="G614" s="30">
        <v>2.5</v>
      </c>
      <c r="H614" s="30">
        <f t="shared" si="197"/>
        <v>11.25</v>
      </c>
      <c r="I614" s="227" t="s">
        <v>1100</v>
      </c>
      <c r="J614" s="31"/>
      <c r="K614" s="32">
        <v>1</v>
      </c>
      <c r="L614" s="32"/>
      <c r="M614" s="33"/>
      <c r="N614"/>
    </row>
    <row r="615" spans="1:15" s="21" customFormat="1" ht="39.950000000000003" customHeight="1">
      <c r="A615" s="9">
        <v>88</v>
      </c>
      <c r="B615" s="222">
        <v>5909</v>
      </c>
      <c r="C615" s="243" t="s">
        <v>1444</v>
      </c>
      <c r="D615" s="50" t="s">
        <v>1443</v>
      </c>
      <c r="E615" s="51" t="s">
        <v>260</v>
      </c>
      <c r="F615" s="30">
        <v>0</v>
      </c>
      <c r="G615" s="30"/>
      <c r="H615" s="30"/>
      <c r="I615" s="227" t="s">
        <v>34</v>
      </c>
      <c r="J615" s="31"/>
      <c r="K615" s="27">
        <v>0</v>
      </c>
      <c r="L615" s="32"/>
      <c r="M615" s="28">
        <v>1</v>
      </c>
      <c r="N615" s="33"/>
      <c r="O615"/>
    </row>
    <row r="616" spans="1:15" s="21" customFormat="1" ht="39.950000000000003" customHeight="1">
      <c r="A616" s="9">
        <v>89</v>
      </c>
      <c r="B616" s="222">
        <v>5910</v>
      </c>
      <c r="C616" s="243" t="s">
        <v>1441</v>
      </c>
      <c r="D616" s="50" t="s">
        <v>1442</v>
      </c>
      <c r="E616" s="51" t="s">
        <v>260</v>
      </c>
      <c r="F616" s="30">
        <v>0</v>
      </c>
      <c r="G616" s="30"/>
      <c r="H616" s="30"/>
      <c r="I616" s="227" t="s">
        <v>34</v>
      </c>
      <c r="J616" s="31"/>
      <c r="K616" s="27">
        <v>0</v>
      </c>
      <c r="L616" s="32"/>
      <c r="M616" s="28">
        <v>1</v>
      </c>
      <c r="N616"/>
      <c r="O616"/>
    </row>
    <row r="617" spans="1:15" s="21" customFormat="1" ht="39.950000000000003" customHeight="1">
      <c r="A617" s="9">
        <v>90</v>
      </c>
      <c r="B617" s="222">
        <v>5947</v>
      </c>
      <c r="C617" s="185" t="s">
        <v>1520</v>
      </c>
      <c r="D617" s="50" t="s">
        <v>1519</v>
      </c>
      <c r="E617" s="51" t="s">
        <v>260</v>
      </c>
      <c r="F617" s="30">
        <v>0</v>
      </c>
      <c r="G617" s="30">
        <v>0</v>
      </c>
      <c r="H617" s="30" t="s">
        <v>1356</v>
      </c>
      <c r="I617" s="227" t="s">
        <v>1185</v>
      </c>
      <c r="J617" s="31">
        <v>1</v>
      </c>
      <c r="K617" s="27">
        <v>0</v>
      </c>
      <c r="L617" s="32"/>
      <c r="M617" s="28"/>
      <c r="N617"/>
      <c r="O617"/>
    </row>
    <row r="618" spans="1:15" s="21" customFormat="1" ht="39.950000000000003" customHeight="1">
      <c r="A618" s="9">
        <v>91</v>
      </c>
      <c r="B618" s="222">
        <v>5987</v>
      </c>
      <c r="C618" s="185" t="s">
        <v>1584</v>
      </c>
      <c r="D618" s="50" t="s">
        <v>1585</v>
      </c>
      <c r="E618" s="51" t="s">
        <v>260</v>
      </c>
      <c r="F618" s="30">
        <v>0</v>
      </c>
      <c r="G618" s="30"/>
      <c r="H618" s="30"/>
      <c r="I618" s="227" t="s">
        <v>34</v>
      </c>
      <c r="J618" s="31"/>
      <c r="K618" s="27">
        <v>0</v>
      </c>
      <c r="L618" s="32"/>
      <c r="M618" s="28">
        <v>1</v>
      </c>
      <c r="N618"/>
      <c r="O618"/>
    </row>
    <row r="619" spans="1:15" s="21" customFormat="1" ht="39.950000000000003" customHeight="1">
      <c r="A619" s="9">
        <v>92</v>
      </c>
      <c r="B619" s="222">
        <v>5989</v>
      </c>
      <c r="C619" s="185" t="s">
        <v>1586</v>
      </c>
      <c r="D619" s="50" t="s">
        <v>3589</v>
      </c>
      <c r="E619" s="51" t="s">
        <v>260</v>
      </c>
      <c r="F619" s="30">
        <v>0</v>
      </c>
      <c r="G619" s="30"/>
      <c r="H619" s="30"/>
      <c r="I619" s="227" t="s">
        <v>34</v>
      </c>
      <c r="J619" s="31"/>
      <c r="K619" s="27">
        <v>0</v>
      </c>
      <c r="L619" s="32"/>
      <c r="M619" s="28">
        <v>1</v>
      </c>
      <c r="N619"/>
      <c r="O619"/>
    </row>
    <row r="620" spans="1:15" s="21" customFormat="1" ht="39.950000000000003" customHeight="1">
      <c r="A620" s="9">
        <v>93</v>
      </c>
      <c r="B620" s="222">
        <v>5492</v>
      </c>
      <c r="C620" s="185" t="s">
        <v>861</v>
      </c>
      <c r="D620" s="50" t="s">
        <v>862</v>
      </c>
      <c r="E620" s="51" t="s">
        <v>261</v>
      </c>
      <c r="F620" s="30">
        <v>0</v>
      </c>
      <c r="G620" s="30"/>
      <c r="H620" s="30"/>
      <c r="I620" s="227" t="s">
        <v>34</v>
      </c>
      <c r="J620" s="31"/>
      <c r="K620" s="27">
        <v>0</v>
      </c>
      <c r="L620" s="32"/>
      <c r="M620" s="28">
        <v>1</v>
      </c>
      <c r="N620"/>
      <c r="O620"/>
    </row>
    <row r="621" spans="1:15" s="21" customFormat="1" ht="39.950000000000003" customHeight="1">
      <c r="A621" s="9">
        <v>94</v>
      </c>
      <c r="B621" s="222">
        <v>5440</v>
      </c>
      <c r="C621" s="185" t="s">
        <v>824</v>
      </c>
      <c r="D621" s="50" t="s">
        <v>825</v>
      </c>
      <c r="E621" s="51" t="s">
        <v>261</v>
      </c>
      <c r="F621" s="30">
        <v>0</v>
      </c>
      <c r="G621" s="30"/>
      <c r="H621" s="30"/>
      <c r="I621" s="227" t="s">
        <v>34</v>
      </c>
      <c r="J621" s="31"/>
      <c r="K621" s="27">
        <v>0</v>
      </c>
      <c r="L621" s="32"/>
      <c r="M621" s="28">
        <v>1</v>
      </c>
      <c r="N621"/>
      <c r="O621"/>
    </row>
    <row r="622" spans="1:15" s="21" customFormat="1" ht="39.950000000000003" customHeight="1">
      <c r="A622" s="9">
        <v>95</v>
      </c>
      <c r="B622" s="222">
        <v>6010</v>
      </c>
      <c r="C622" s="185" t="s">
        <v>1681</v>
      </c>
      <c r="D622" s="50" t="s">
        <v>1682</v>
      </c>
      <c r="E622" s="51" t="s">
        <v>298</v>
      </c>
      <c r="F622" s="30">
        <v>0</v>
      </c>
      <c r="G622" s="30"/>
      <c r="H622" s="30"/>
      <c r="I622" s="227" t="s">
        <v>34</v>
      </c>
      <c r="J622" s="31"/>
      <c r="K622" s="27">
        <v>0</v>
      </c>
      <c r="L622" s="32"/>
      <c r="M622" s="28">
        <v>1</v>
      </c>
      <c r="N622"/>
      <c r="O622"/>
    </row>
    <row r="623" spans="1:15" s="21" customFormat="1" ht="39.950000000000003" customHeight="1">
      <c r="A623" s="9">
        <v>96</v>
      </c>
      <c r="B623" s="222">
        <v>5111</v>
      </c>
      <c r="C623" s="185" t="s">
        <v>300</v>
      </c>
      <c r="D623" s="50" t="s">
        <v>301</v>
      </c>
      <c r="E623" s="51" t="s">
        <v>299</v>
      </c>
      <c r="F623" s="30">
        <v>0</v>
      </c>
      <c r="G623" s="30"/>
      <c r="H623" s="30"/>
      <c r="I623" s="227" t="s">
        <v>34</v>
      </c>
      <c r="J623" s="31"/>
      <c r="K623" s="27">
        <v>0</v>
      </c>
      <c r="L623" s="32"/>
      <c r="M623" s="28">
        <v>1</v>
      </c>
      <c r="N623"/>
    </row>
    <row r="624" spans="1:15" s="21" customFormat="1" ht="39.950000000000003" customHeight="1">
      <c r="A624" s="9">
        <v>97</v>
      </c>
      <c r="B624" s="222">
        <v>6011</v>
      </c>
      <c r="C624" s="185" t="s">
        <v>1683</v>
      </c>
      <c r="D624" s="50" t="s">
        <v>1684</v>
      </c>
      <c r="E624" s="51" t="s">
        <v>306</v>
      </c>
      <c r="F624" s="30">
        <v>0</v>
      </c>
      <c r="G624" s="30"/>
      <c r="H624" s="30"/>
      <c r="I624" s="227" t="s">
        <v>34</v>
      </c>
      <c r="J624" s="31"/>
      <c r="K624" s="27">
        <v>0</v>
      </c>
      <c r="L624" s="32"/>
      <c r="M624" s="28">
        <v>1</v>
      </c>
      <c r="N624"/>
    </row>
    <row r="625" spans="1:15" s="21" customFormat="1" ht="39.950000000000003" customHeight="1">
      <c r="A625" s="9">
        <v>98</v>
      </c>
      <c r="B625" s="222">
        <v>6476</v>
      </c>
      <c r="C625" s="185" t="s">
        <v>2608</v>
      </c>
      <c r="D625" s="50" t="s">
        <v>2609</v>
      </c>
      <c r="E625" s="51" t="s">
        <v>298</v>
      </c>
      <c r="F625" s="30">
        <v>0</v>
      </c>
      <c r="G625" s="30">
        <v>0</v>
      </c>
      <c r="H625" s="30" t="s">
        <v>1356</v>
      </c>
      <c r="I625" s="227" t="s">
        <v>1185</v>
      </c>
      <c r="J625" s="31">
        <v>1</v>
      </c>
      <c r="K625" s="27">
        <v>0</v>
      </c>
      <c r="L625" s="32"/>
      <c r="M625" s="28"/>
      <c r="N625"/>
      <c r="O625"/>
    </row>
    <row r="626" spans="1:15" s="21" customFormat="1" ht="39.950000000000003" customHeight="1">
      <c r="A626" s="9">
        <v>99</v>
      </c>
      <c r="B626" s="222">
        <v>5587</v>
      </c>
      <c r="C626" s="50" t="s">
        <v>975</v>
      </c>
      <c r="D626" s="50" t="s">
        <v>976</v>
      </c>
      <c r="E626" s="51" t="s">
        <v>261</v>
      </c>
      <c r="F626" s="30">
        <v>7.5</v>
      </c>
      <c r="G626" s="30">
        <v>2.5</v>
      </c>
      <c r="H626" s="30">
        <f t="shared" ref="H626:H634" si="198">IF(G626&gt;0,(G626*1.5)+F626,"YOK")</f>
        <v>11.25</v>
      </c>
      <c r="I626" s="227" t="s">
        <v>118</v>
      </c>
      <c r="J626" s="31"/>
      <c r="K626" s="32">
        <v>0</v>
      </c>
      <c r="L626" s="32"/>
      <c r="M626" s="33">
        <v>1</v>
      </c>
      <c r="N626"/>
      <c r="O626"/>
    </row>
    <row r="627" spans="1:15" s="21" customFormat="1" ht="39.950000000000003" customHeight="1">
      <c r="A627" s="9">
        <v>100</v>
      </c>
      <c r="B627" s="222">
        <v>5018</v>
      </c>
      <c r="C627" s="50" t="s">
        <v>292</v>
      </c>
      <c r="D627" s="50" t="s">
        <v>293</v>
      </c>
      <c r="E627" s="51" t="s">
        <v>261</v>
      </c>
      <c r="F627" s="30">
        <v>7.5</v>
      </c>
      <c r="G627" s="30">
        <v>2.5</v>
      </c>
      <c r="H627" s="30">
        <f t="shared" si="198"/>
        <v>11.25</v>
      </c>
      <c r="I627" s="227" t="s">
        <v>118</v>
      </c>
      <c r="J627" s="31"/>
      <c r="K627" s="32">
        <v>0</v>
      </c>
      <c r="L627" s="27"/>
      <c r="M627" s="28">
        <v>1</v>
      </c>
      <c r="N627" s="33"/>
      <c r="O627"/>
    </row>
    <row r="628" spans="1:15" s="21" customFormat="1" ht="39.950000000000003" customHeight="1">
      <c r="A628" s="9">
        <v>101</v>
      </c>
      <c r="B628" s="222">
        <v>5833</v>
      </c>
      <c r="C628" s="185" t="s">
        <v>980</v>
      </c>
      <c r="D628" s="50" t="s">
        <v>981</v>
      </c>
      <c r="E628" s="51" t="s">
        <v>261</v>
      </c>
      <c r="F628" s="30">
        <v>7.5</v>
      </c>
      <c r="G628" s="30">
        <v>2.5</v>
      </c>
      <c r="H628" s="30">
        <f t="shared" si="198"/>
        <v>11.25</v>
      </c>
      <c r="I628" s="227" t="s">
        <v>70</v>
      </c>
      <c r="J628" s="31"/>
      <c r="K628" s="32">
        <v>0</v>
      </c>
      <c r="L628" s="27"/>
      <c r="M628" s="28">
        <v>1</v>
      </c>
      <c r="N628"/>
      <c r="O628"/>
    </row>
    <row r="629" spans="1:15" s="21" customFormat="1" ht="39.950000000000003" customHeight="1">
      <c r="A629" s="9">
        <v>102</v>
      </c>
      <c r="B629" s="222">
        <v>6763</v>
      </c>
      <c r="C629" s="185" t="s">
        <v>3270</v>
      </c>
      <c r="D629" s="50" t="s">
        <v>3271</v>
      </c>
      <c r="E629" s="51" t="s">
        <v>260</v>
      </c>
      <c r="F629" s="30">
        <v>7.5</v>
      </c>
      <c r="G629" s="30">
        <v>2.5</v>
      </c>
      <c r="H629" s="30">
        <f>IF(G629&gt;0,(G629*1.5)+F629,"YOK")</f>
        <v>11.25</v>
      </c>
      <c r="I629" s="208" t="s">
        <v>132</v>
      </c>
      <c r="J629" s="31"/>
      <c r="K629" s="32">
        <v>1</v>
      </c>
      <c r="L629" s="32">
        <v>1</v>
      </c>
      <c r="M629" s="33"/>
      <c r="N629" s="33"/>
    </row>
    <row r="630" spans="1:15" s="21" customFormat="1" ht="39.950000000000003" customHeight="1">
      <c r="A630" s="9">
        <v>103</v>
      </c>
      <c r="B630" s="222">
        <v>6764</v>
      </c>
      <c r="C630" s="185" t="s">
        <v>3272</v>
      </c>
      <c r="D630" s="50" t="s">
        <v>3273</v>
      </c>
      <c r="E630" s="51" t="s">
        <v>260</v>
      </c>
      <c r="F630" s="30">
        <v>7.5</v>
      </c>
      <c r="G630" s="30">
        <v>2.5</v>
      </c>
      <c r="H630" s="30">
        <f>IF(G630&gt;0,(G630*1.5)+F630,"YOK")</f>
        <v>11.25</v>
      </c>
      <c r="I630" s="208" t="s">
        <v>132</v>
      </c>
      <c r="J630" s="31"/>
      <c r="K630" s="32">
        <v>1</v>
      </c>
      <c r="L630" s="32">
        <v>1</v>
      </c>
      <c r="M630" s="33"/>
      <c r="N630" s="33"/>
    </row>
    <row r="631" spans="1:15" s="21" customFormat="1" ht="39.950000000000003" customHeight="1">
      <c r="A631" s="9">
        <v>104</v>
      </c>
      <c r="B631" s="222">
        <v>6579</v>
      </c>
      <c r="C631" s="185" t="s">
        <v>2766</v>
      </c>
      <c r="D631" s="50" t="s">
        <v>2767</v>
      </c>
      <c r="E631" s="51" t="s">
        <v>260</v>
      </c>
      <c r="F631" s="30">
        <v>7.5</v>
      </c>
      <c r="G631" s="30">
        <v>2.5</v>
      </c>
      <c r="H631" s="30">
        <f t="shared" si="198"/>
        <v>11.25</v>
      </c>
      <c r="I631" s="208" t="s">
        <v>132</v>
      </c>
      <c r="J631" s="31"/>
      <c r="K631" s="32">
        <v>1</v>
      </c>
      <c r="L631" s="32">
        <v>1</v>
      </c>
      <c r="M631" s="33"/>
      <c r="N631"/>
    </row>
    <row r="632" spans="1:15" s="21" customFormat="1" ht="39.950000000000003" customHeight="1">
      <c r="A632" s="9">
        <v>105</v>
      </c>
      <c r="B632" s="222">
        <v>6580</v>
      </c>
      <c r="C632" s="185" t="s">
        <v>2768</v>
      </c>
      <c r="D632" s="50" t="s">
        <v>2769</v>
      </c>
      <c r="E632" s="51" t="s">
        <v>260</v>
      </c>
      <c r="F632" s="30">
        <v>7.5</v>
      </c>
      <c r="G632" s="30">
        <v>2.5</v>
      </c>
      <c r="H632" s="30">
        <f t="shared" si="198"/>
        <v>11.25</v>
      </c>
      <c r="I632" s="208" t="s">
        <v>132</v>
      </c>
      <c r="J632" s="31"/>
      <c r="K632" s="32">
        <v>1</v>
      </c>
      <c r="L632" s="32">
        <v>1</v>
      </c>
      <c r="M632" s="33"/>
      <c r="N632"/>
    </row>
    <row r="633" spans="1:15" s="21" customFormat="1" ht="39.950000000000003" customHeight="1">
      <c r="A633" s="9">
        <v>106</v>
      </c>
      <c r="B633" s="222">
        <v>6581</v>
      </c>
      <c r="C633" s="185" t="s">
        <v>2770</v>
      </c>
      <c r="D633" s="50" t="s">
        <v>2771</v>
      </c>
      <c r="E633" s="51" t="s">
        <v>260</v>
      </c>
      <c r="F633" s="30">
        <v>7.5</v>
      </c>
      <c r="G633" s="30">
        <v>2.5</v>
      </c>
      <c r="H633" s="30">
        <f t="shared" si="198"/>
        <v>11.25</v>
      </c>
      <c r="I633" s="208" t="s">
        <v>132</v>
      </c>
      <c r="J633" s="31"/>
      <c r="K633" s="32">
        <v>1</v>
      </c>
      <c r="L633" s="32">
        <v>1</v>
      </c>
      <c r="M633" s="33"/>
      <c r="N633"/>
    </row>
    <row r="634" spans="1:15" s="21" customFormat="1" ht="39.950000000000003" customHeight="1">
      <c r="A634" s="9">
        <v>107</v>
      </c>
      <c r="B634" s="222">
        <v>6367</v>
      </c>
      <c r="C634" s="50" t="s">
        <v>2432</v>
      </c>
      <c r="D634" s="50" t="s">
        <v>2433</v>
      </c>
      <c r="E634" s="51" t="s">
        <v>260</v>
      </c>
      <c r="F634" s="30">
        <v>7.5</v>
      </c>
      <c r="G634" s="30">
        <v>2.5</v>
      </c>
      <c r="H634" s="30">
        <f t="shared" si="198"/>
        <v>11.25</v>
      </c>
      <c r="I634" s="208" t="s">
        <v>132</v>
      </c>
      <c r="J634" s="31"/>
      <c r="K634" s="32">
        <v>1</v>
      </c>
      <c r="L634" s="32">
        <v>1</v>
      </c>
      <c r="M634" s="33"/>
      <c r="N634"/>
    </row>
    <row r="635" spans="1:15" s="21" customFormat="1" ht="39.950000000000003" customHeight="1">
      <c r="A635" s="9">
        <v>108</v>
      </c>
      <c r="B635" s="222">
        <v>5146</v>
      </c>
      <c r="C635" s="185" t="s">
        <v>312</v>
      </c>
      <c r="D635" s="50" t="s">
        <v>313</v>
      </c>
      <c r="E635" s="51" t="s">
        <v>260</v>
      </c>
      <c r="F635" s="30">
        <v>7.5</v>
      </c>
      <c r="G635" s="30">
        <v>2.5</v>
      </c>
      <c r="H635" s="30">
        <f t="shared" ref="H635:H651" si="199">IF(G635&gt;0,(G635*1.5)+F635,"YOK")</f>
        <v>11.25</v>
      </c>
      <c r="I635" s="208" t="s">
        <v>132</v>
      </c>
      <c r="J635" s="31"/>
      <c r="K635" s="32">
        <v>1</v>
      </c>
      <c r="L635" s="32">
        <v>1</v>
      </c>
      <c r="M635" s="33"/>
      <c r="N635"/>
      <c r="O635"/>
    </row>
    <row r="636" spans="1:15" s="21" customFormat="1" ht="39.950000000000003" customHeight="1">
      <c r="A636" s="9">
        <v>109</v>
      </c>
      <c r="B636" s="222">
        <v>5890</v>
      </c>
      <c r="C636" s="50" t="s">
        <v>1419</v>
      </c>
      <c r="D636" s="50" t="s">
        <v>1418</v>
      </c>
      <c r="E636" s="51" t="s">
        <v>260</v>
      </c>
      <c r="F636" s="30">
        <v>7.5</v>
      </c>
      <c r="G636" s="30">
        <v>2.5</v>
      </c>
      <c r="H636" s="30">
        <f t="shared" si="199"/>
        <v>11.25</v>
      </c>
      <c r="I636" s="208" t="s">
        <v>132</v>
      </c>
      <c r="J636" s="31"/>
      <c r="K636" s="32">
        <v>1</v>
      </c>
      <c r="L636" s="32">
        <v>1</v>
      </c>
      <c r="M636" s="33"/>
      <c r="N636"/>
      <c r="O636"/>
    </row>
    <row r="637" spans="1:15" s="21" customFormat="1" ht="39.950000000000003" customHeight="1">
      <c r="A637" s="9">
        <v>110</v>
      </c>
      <c r="B637" s="222">
        <v>5147</v>
      </c>
      <c r="C637" s="50" t="s">
        <v>314</v>
      </c>
      <c r="D637" s="50" t="s">
        <v>315</v>
      </c>
      <c r="E637" s="51" t="s">
        <v>260</v>
      </c>
      <c r="F637" s="30">
        <v>7.5</v>
      </c>
      <c r="G637" s="30">
        <v>2.5</v>
      </c>
      <c r="H637" s="30">
        <f t="shared" si="199"/>
        <v>11.25</v>
      </c>
      <c r="I637" s="208" t="s">
        <v>132</v>
      </c>
      <c r="J637" s="31"/>
      <c r="K637" s="32">
        <v>1</v>
      </c>
      <c r="L637" s="32">
        <v>1</v>
      </c>
      <c r="M637" s="33"/>
      <c r="N637"/>
      <c r="O637"/>
    </row>
    <row r="638" spans="1:15" s="21" customFormat="1" ht="39.950000000000003" customHeight="1">
      <c r="A638" s="9">
        <v>111</v>
      </c>
      <c r="B638" s="222">
        <v>6846</v>
      </c>
      <c r="C638" s="185" t="s">
        <v>3651</v>
      </c>
      <c r="D638" s="50" t="s">
        <v>3652</v>
      </c>
      <c r="E638" s="51" t="s">
        <v>260</v>
      </c>
      <c r="F638" s="30">
        <v>7.5</v>
      </c>
      <c r="G638" s="30">
        <v>2.5</v>
      </c>
      <c r="H638" s="30">
        <f t="shared" ref="H638" si="200">IF(G638&gt;0,(G638*1.5)+F638,"YOK")</f>
        <v>11.25</v>
      </c>
      <c r="I638" s="208" t="s">
        <v>132</v>
      </c>
      <c r="J638" s="31"/>
      <c r="K638" s="32">
        <v>1</v>
      </c>
      <c r="L638" s="32">
        <v>1</v>
      </c>
      <c r="M638" s="33"/>
      <c r="N638"/>
    </row>
    <row r="639" spans="1:15" s="21" customFormat="1" ht="39.950000000000003" customHeight="1">
      <c r="A639" s="9">
        <v>112</v>
      </c>
      <c r="B639" s="222">
        <v>6761</v>
      </c>
      <c r="C639" s="185" t="s">
        <v>3266</v>
      </c>
      <c r="D639" s="50" t="s">
        <v>3267</v>
      </c>
      <c r="E639" s="51" t="s">
        <v>261</v>
      </c>
      <c r="F639" s="30">
        <v>7.5</v>
      </c>
      <c r="G639" s="30">
        <v>2.5</v>
      </c>
      <c r="H639" s="30">
        <f>IF(G639&gt;0,(G639*1.5)+F639,"YOK")</f>
        <v>11.25</v>
      </c>
      <c r="I639" s="208" t="s">
        <v>132</v>
      </c>
      <c r="J639" s="31"/>
      <c r="K639" s="32">
        <v>1</v>
      </c>
      <c r="L639" s="32">
        <v>1</v>
      </c>
      <c r="M639" s="33"/>
      <c r="N639" s="33"/>
      <c r="O639"/>
    </row>
    <row r="640" spans="1:15" s="21" customFormat="1" ht="39.950000000000003" customHeight="1">
      <c r="A640" s="9">
        <v>113</v>
      </c>
      <c r="B640" s="222">
        <v>6762</v>
      </c>
      <c r="C640" s="185" t="s">
        <v>3268</v>
      </c>
      <c r="D640" s="50" t="s">
        <v>3269</v>
      </c>
      <c r="E640" s="51" t="s">
        <v>261</v>
      </c>
      <c r="F640" s="30">
        <v>7.5</v>
      </c>
      <c r="G640" s="30">
        <v>2.5</v>
      </c>
      <c r="H640" s="30">
        <f>IF(G640&gt;0,(G640*1.5)+F640,"YOK")</f>
        <v>11.25</v>
      </c>
      <c r="I640" s="208" t="s">
        <v>132</v>
      </c>
      <c r="J640" s="31"/>
      <c r="K640" s="32">
        <v>1</v>
      </c>
      <c r="L640" s="32">
        <v>1</v>
      </c>
      <c r="M640" s="33"/>
      <c r="N640" s="33"/>
      <c r="O640"/>
    </row>
    <row r="641" spans="1:16" s="21" customFormat="1" ht="39.950000000000003" customHeight="1">
      <c r="A641" s="9">
        <v>114</v>
      </c>
      <c r="B641" s="222">
        <v>6227</v>
      </c>
      <c r="C641" s="50" t="s">
        <v>2172</v>
      </c>
      <c r="D641" s="50" t="s">
        <v>2173</v>
      </c>
      <c r="E641" s="51" t="s">
        <v>261</v>
      </c>
      <c r="F641" s="30">
        <v>7.5</v>
      </c>
      <c r="G641" s="30">
        <v>2.5</v>
      </c>
      <c r="H641" s="30">
        <f t="shared" si="199"/>
        <v>11.25</v>
      </c>
      <c r="I641" s="208" t="s">
        <v>132</v>
      </c>
      <c r="J641" s="31"/>
      <c r="K641" s="32">
        <v>1</v>
      </c>
      <c r="L641" s="32">
        <v>1</v>
      </c>
      <c r="M641" s="33"/>
      <c r="N641"/>
      <c r="O641"/>
    </row>
    <row r="642" spans="1:16" s="21" customFormat="1" ht="39.950000000000003" customHeight="1">
      <c r="A642" s="9">
        <v>115</v>
      </c>
      <c r="B642" s="222">
        <v>6203</v>
      </c>
      <c r="C642" s="50" t="s">
        <v>2089</v>
      </c>
      <c r="D642" s="50" t="s">
        <v>2090</v>
      </c>
      <c r="E642" s="51" t="s">
        <v>261</v>
      </c>
      <c r="F642" s="30">
        <v>7.5</v>
      </c>
      <c r="G642" s="30">
        <v>2.5</v>
      </c>
      <c r="H642" s="30">
        <f t="shared" si="199"/>
        <v>11.25</v>
      </c>
      <c r="I642" s="208" t="s">
        <v>132</v>
      </c>
      <c r="J642" s="31"/>
      <c r="K642" s="32">
        <v>1</v>
      </c>
      <c r="L642" s="32">
        <v>1</v>
      </c>
      <c r="M642" s="33"/>
      <c r="N642"/>
    </row>
    <row r="643" spans="1:16" s="21" customFormat="1" ht="39.950000000000003" customHeight="1">
      <c r="A643" s="9">
        <v>116</v>
      </c>
      <c r="B643" s="222">
        <v>5678</v>
      </c>
      <c r="C643" s="50" t="s">
        <v>1122</v>
      </c>
      <c r="D643" s="50" t="s">
        <v>1123</v>
      </c>
      <c r="E643" s="51" t="s">
        <v>261</v>
      </c>
      <c r="F643" s="30">
        <v>7.5</v>
      </c>
      <c r="G643" s="30">
        <v>2.5</v>
      </c>
      <c r="H643" s="30">
        <f t="shared" si="199"/>
        <v>11.25</v>
      </c>
      <c r="I643" s="208" t="s">
        <v>132</v>
      </c>
      <c r="J643" s="31"/>
      <c r="K643" s="32">
        <v>1</v>
      </c>
      <c r="L643" s="32">
        <v>1</v>
      </c>
      <c r="M643" s="33"/>
      <c r="N643"/>
    </row>
    <row r="644" spans="1:16" s="21" customFormat="1" ht="39.950000000000003" customHeight="1">
      <c r="A644" s="9">
        <v>117</v>
      </c>
      <c r="B644" s="222">
        <v>6847</v>
      </c>
      <c r="C644" s="185" t="s">
        <v>3649</v>
      </c>
      <c r="D644" s="50" t="s">
        <v>3650</v>
      </c>
      <c r="E644" s="51" t="s">
        <v>261</v>
      </c>
      <c r="F644" s="30">
        <v>7.5</v>
      </c>
      <c r="G644" s="30">
        <v>2.5</v>
      </c>
      <c r="H644" s="30">
        <f t="shared" ref="H644" si="201">IF(G644&gt;0,(G644*1.5)+F644,"YOK")</f>
        <v>11.25</v>
      </c>
      <c r="I644" s="208" t="s">
        <v>132</v>
      </c>
      <c r="J644" s="31"/>
      <c r="K644" s="32">
        <v>1</v>
      </c>
      <c r="L644" s="32">
        <v>1</v>
      </c>
      <c r="M644" s="33"/>
      <c r="N644" s="33"/>
      <c r="O644"/>
    </row>
    <row r="645" spans="1:16" s="21" customFormat="1" ht="39.950000000000003" customHeight="1">
      <c r="A645" s="9">
        <v>118</v>
      </c>
      <c r="B645" s="222">
        <v>6765</v>
      </c>
      <c r="C645" s="185" t="s">
        <v>3275</v>
      </c>
      <c r="D645" s="50" t="s">
        <v>3276</v>
      </c>
      <c r="E645" s="51" t="s">
        <v>3274</v>
      </c>
      <c r="F645" s="30">
        <v>7.5</v>
      </c>
      <c r="G645" s="30">
        <v>2.5</v>
      </c>
      <c r="H645" s="30">
        <f t="shared" ref="H645" si="202">IF(G645&gt;0,(G645*1.5)+F645,"YOK")</f>
        <v>11.25</v>
      </c>
      <c r="I645" s="208" t="s">
        <v>132</v>
      </c>
      <c r="J645" s="31"/>
      <c r="K645" s="32">
        <v>1</v>
      </c>
      <c r="L645" s="32">
        <v>1</v>
      </c>
      <c r="M645" s="33"/>
      <c r="N645" s="33"/>
    </row>
    <row r="646" spans="1:16" s="21" customFormat="1" ht="39.950000000000003" customHeight="1">
      <c r="A646" s="9">
        <v>119</v>
      </c>
      <c r="B646" s="222">
        <v>6766</v>
      </c>
      <c r="C646" s="185" t="s">
        <v>3277</v>
      </c>
      <c r="D646" s="50" t="s">
        <v>3278</v>
      </c>
      <c r="E646" s="51" t="s">
        <v>3274</v>
      </c>
      <c r="F646" s="30">
        <v>7.5</v>
      </c>
      <c r="G646" s="30">
        <v>0</v>
      </c>
      <c r="H646" s="30">
        <v>7.5</v>
      </c>
      <c r="I646" s="248" t="s">
        <v>3665</v>
      </c>
      <c r="J646" s="31">
        <v>1</v>
      </c>
      <c r="K646" s="32">
        <v>0</v>
      </c>
      <c r="L646" s="32"/>
      <c r="M646" s="33"/>
      <c r="N646" s="33"/>
    </row>
    <row r="647" spans="1:16" s="21" customFormat="1" ht="39.950000000000003" customHeight="1">
      <c r="A647" s="9">
        <v>120</v>
      </c>
      <c r="B647" s="222">
        <v>6808</v>
      </c>
      <c r="C647" s="185" t="s">
        <v>3412</v>
      </c>
      <c r="D647" s="50" t="s">
        <v>3413</v>
      </c>
      <c r="E647" s="51" t="s">
        <v>3274</v>
      </c>
      <c r="F647" s="30">
        <v>7.5</v>
      </c>
      <c r="G647" s="30">
        <v>2.5</v>
      </c>
      <c r="H647" s="30">
        <f t="shared" ref="H647" si="203">IF(G647&gt;0,(G647*1.5)+F647,"YOK")</f>
        <v>11.25</v>
      </c>
      <c r="I647" s="208" t="s">
        <v>132</v>
      </c>
      <c r="J647" s="31"/>
      <c r="K647" s="32">
        <v>1</v>
      </c>
      <c r="L647" s="32">
        <v>1</v>
      </c>
      <c r="M647" s="33"/>
      <c r="N647" s="33"/>
    </row>
    <row r="648" spans="1:16" s="21" customFormat="1" ht="39.950000000000003" customHeight="1">
      <c r="A648" s="9">
        <v>121</v>
      </c>
      <c r="B648" s="222">
        <v>6481</v>
      </c>
      <c r="C648" s="185" t="s">
        <v>2622</v>
      </c>
      <c r="D648" s="50" t="s">
        <v>2623</v>
      </c>
      <c r="E648" s="51" t="s">
        <v>298</v>
      </c>
      <c r="F648" s="30">
        <v>7.5</v>
      </c>
      <c r="G648" s="30">
        <v>2.5</v>
      </c>
      <c r="H648" s="30">
        <f t="shared" ref="H648" si="204">IF(G648&gt;0,(G648*1.5)+F648,"YOK")</f>
        <v>11.25</v>
      </c>
      <c r="I648" s="208" t="s">
        <v>132</v>
      </c>
      <c r="J648" s="31"/>
      <c r="K648" s="32">
        <v>1</v>
      </c>
      <c r="L648" s="32">
        <v>1</v>
      </c>
      <c r="M648" s="33"/>
      <c r="N648"/>
      <c r="O648"/>
    </row>
    <row r="649" spans="1:16" s="21" customFormat="1" ht="39.950000000000003" customHeight="1">
      <c r="A649" s="9">
        <v>122</v>
      </c>
      <c r="B649" s="222">
        <v>5915</v>
      </c>
      <c r="C649" s="50" t="s">
        <v>1481</v>
      </c>
      <c r="D649" s="50" t="s">
        <v>1482</v>
      </c>
      <c r="E649" s="51" t="s">
        <v>298</v>
      </c>
      <c r="F649" s="30">
        <v>7.5</v>
      </c>
      <c r="G649" s="30">
        <v>2.5</v>
      </c>
      <c r="H649" s="30">
        <f t="shared" si="199"/>
        <v>11.25</v>
      </c>
      <c r="I649" s="208" t="s">
        <v>132</v>
      </c>
      <c r="J649" s="31"/>
      <c r="K649" s="32">
        <v>1</v>
      </c>
      <c r="L649" s="32">
        <v>1</v>
      </c>
      <c r="M649" s="33"/>
      <c r="N649"/>
    </row>
    <row r="650" spans="1:16" s="21" customFormat="1" ht="39.950000000000003" customHeight="1">
      <c r="A650" s="9">
        <v>123</v>
      </c>
      <c r="B650" s="222">
        <v>6228</v>
      </c>
      <c r="C650" s="50" t="s">
        <v>2174</v>
      </c>
      <c r="D650" s="50" t="s">
        <v>2175</v>
      </c>
      <c r="E650" s="51" t="s">
        <v>306</v>
      </c>
      <c r="F650" s="30">
        <v>7.5</v>
      </c>
      <c r="G650" s="30">
        <v>2.5</v>
      </c>
      <c r="H650" s="30">
        <f t="shared" si="199"/>
        <v>11.25</v>
      </c>
      <c r="I650" s="208" t="s">
        <v>132</v>
      </c>
      <c r="J650" s="31"/>
      <c r="K650" s="32">
        <v>1</v>
      </c>
      <c r="L650" s="32">
        <v>1</v>
      </c>
      <c r="M650" s="33"/>
      <c r="N650"/>
    </row>
    <row r="651" spans="1:16" s="21" customFormat="1" ht="39.950000000000003" customHeight="1">
      <c r="A651" s="9">
        <v>124</v>
      </c>
      <c r="B651" s="222">
        <v>6100</v>
      </c>
      <c r="C651" s="50" t="s">
        <v>1817</v>
      </c>
      <c r="D651" s="50" t="s">
        <v>1818</v>
      </c>
      <c r="E651" s="51" t="s">
        <v>306</v>
      </c>
      <c r="F651" s="30">
        <v>7.5</v>
      </c>
      <c r="G651" s="30">
        <v>2.5</v>
      </c>
      <c r="H651" s="30">
        <f t="shared" si="199"/>
        <v>11.25</v>
      </c>
      <c r="I651" s="208" t="s">
        <v>132</v>
      </c>
      <c r="J651" s="31"/>
      <c r="K651" s="32">
        <v>1</v>
      </c>
      <c r="L651" s="32">
        <v>1</v>
      </c>
      <c r="M651" s="33"/>
      <c r="N651"/>
      <c r="O651"/>
    </row>
    <row r="652" spans="1:16" ht="39.950000000000003" customHeight="1">
      <c r="A652" s="40"/>
      <c r="B652" s="262" t="s">
        <v>317</v>
      </c>
      <c r="C652" s="263"/>
      <c r="D652" s="264"/>
      <c r="E652" s="46"/>
      <c r="F652" s="41"/>
      <c r="G652" s="41"/>
      <c r="H652" s="41"/>
      <c r="I652" s="42"/>
      <c r="J652" s="204">
        <f>SUM(J528:J651)</f>
        <v>6</v>
      </c>
      <c r="K652" s="204">
        <f>SUM(K528:K651)</f>
        <v>106</v>
      </c>
      <c r="L652" s="204">
        <f>SUM(L528:L651)</f>
        <v>24</v>
      </c>
      <c r="M652" s="204">
        <f>SUM(M528:M651)</f>
        <v>12</v>
      </c>
      <c r="N652" s="33"/>
      <c r="O652" s="21"/>
      <c r="P652" s="21"/>
    </row>
    <row r="653" spans="1:16" s="52" customFormat="1" ht="39.950000000000003" customHeight="1">
      <c r="A653" s="9">
        <v>1</v>
      </c>
      <c r="B653" s="207">
        <v>6052</v>
      </c>
      <c r="C653" s="185" t="s">
        <v>3130</v>
      </c>
      <c r="D653" s="50" t="s">
        <v>1728</v>
      </c>
      <c r="E653" s="51" t="s">
        <v>256</v>
      </c>
      <c r="F653" s="30">
        <v>0</v>
      </c>
      <c r="G653" s="30"/>
      <c r="H653" s="30"/>
      <c r="I653" s="22" t="s">
        <v>34</v>
      </c>
      <c r="J653" s="31"/>
      <c r="K653" s="32">
        <v>0</v>
      </c>
      <c r="L653" s="32"/>
      <c r="M653" s="32">
        <v>1</v>
      </c>
      <c r="N653" s="33"/>
      <c r="O653" s="21"/>
      <c r="P653" s="21"/>
    </row>
    <row r="654" spans="1:16" s="52" customFormat="1" ht="39.950000000000003" customHeight="1">
      <c r="A654" s="9">
        <v>2</v>
      </c>
      <c r="B654" s="207">
        <v>5652</v>
      </c>
      <c r="C654" s="185" t="s">
        <v>330</v>
      </c>
      <c r="D654" s="50" t="s">
        <v>331</v>
      </c>
      <c r="E654" s="51" t="s">
        <v>259</v>
      </c>
      <c r="F654" s="30">
        <v>7.5</v>
      </c>
      <c r="G654" s="30">
        <v>2.5</v>
      </c>
      <c r="H654" s="30">
        <f t="shared" ref="H654" si="205">IF(G654&gt;0,(G654*1.5)+F654,"YOK")</f>
        <v>11.25</v>
      </c>
      <c r="I654" s="191" t="s">
        <v>792</v>
      </c>
      <c r="J654" s="31"/>
      <c r="K654" s="32">
        <v>1</v>
      </c>
      <c r="L654" s="32"/>
      <c r="M654" s="33"/>
      <c r="N654" s="33"/>
      <c r="O654" s="21"/>
      <c r="P654" s="21"/>
    </row>
    <row r="655" spans="1:16" s="52" customFormat="1" ht="39.950000000000003" customHeight="1">
      <c r="A655" s="9">
        <v>3</v>
      </c>
      <c r="B655" s="207">
        <v>6038</v>
      </c>
      <c r="C655" s="185" t="s">
        <v>1701</v>
      </c>
      <c r="D655" s="50" t="s">
        <v>1702</v>
      </c>
      <c r="E655" s="51" t="s">
        <v>306</v>
      </c>
      <c r="F655" s="30">
        <v>7.5</v>
      </c>
      <c r="G655" s="30">
        <v>2.5</v>
      </c>
      <c r="H655" s="30">
        <f t="shared" ref="H655:H666" si="206">IF(G655&gt;0,(G655*1.5)+F655,"YOK")</f>
        <v>11.25</v>
      </c>
      <c r="I655" s="191" t="s">
        <v>787</v>
      </c>
      <c r="J655" s="31"/>
      <c r="K655" s="32">
        <v>1</v>
      </c>
      <c r="L655" s="32"/>
      <c r="M655" s="33"/>
      <c r="N655"/>
      <c r="O655" s="21"/>
      <c r="P655" s="21"/>
    </row>
    <row r="656" spans="1:16" s="52" customFormat="1" ht="39.950000000000003" customHeight="1">
      <c r="A656" s="9">
        <v>4</v>
      </c>
      <c r="B656" s="207">
        <v>6039</v>
      </c>
      <c r="C656" s="185" t="s">
        <v>1703</v>
      </c>
      <c r="D656" s="50" t="s">
        <v>1704</v>
      </c>
      <c r="E656" s="51" t="s">
        <v>306</v>
      </c>
      <c r="F656" s="30">
        <v>7.5</v>
      </c>
      <c r="G656" s="30">
        <v>2.5</v>
      </c>
      <c r="H656" s="30">
        <f t="shared" si="206"/>
        <v>11.25</v>
      </c>
      <c r="I656" s="191" t="s">
        <v>787</v>
      </c>
      <c r="J656" s="31"/>
      <c r="K656" s="32">
        <v>1</v>
      </c>
      <c r="L656" s="32"/>
      <c r="M656" s="33"/>
      <c r="N656" s="33"/>
      <c r="O656" s="21"/>
      <c r="P656" s="21"/>
    </row>
    <row r="657" spans="1:17" s="52" customFormat="1" ht="39.950000000000003" customHeight="1">
      <c r="A657" s="9">
        <v>5</v>
      </c>
      <c r="B657" s="207">
        <v>6041</v>
      </c>
      <c r="C657" s="185" t="s">
        <v>1705</v>
      </c>
      <c r="D657" s="50" t="s">
        <v>1706</v>
      </c>
      <c r="E657" s="51" t="s">
        <v>306</v>
      </c>
      <c r="F657" s="30">
        <v>7.5</v>
      </c>
      <c r="G657" s="30">
        <v>2.5</v>
      </c>
      <c r="H657" s="30">
        <f t="shared" ref="H657" si="207">IF(G657&gt;0,(G657*1.5)+F657,"YOK")</f>
        <v>11.25</v>
      </c>
      <c r="I657" s="191" t="s">
        <v>787</v>
      </c>
      <c r="J657" s="31"/>
      <c r="K657" s="32">
        <v>1</v>
      </c>
      <c r="L657" s="32"/>
      <c r="M657" s="33"/>
      <c r="N657"/>
      <c r="O657" s="21"/>
      <c r="P657" s="21"/>
      <c r="Q657" s="21"/>
    </row>
    <row r="658" spans="1:17" s="52" customFormat="1" ht="39.950000000000003" customHeight="1">
      <c r="A658" s="9">
        <v>6</v>
      </c>
      <c r="B658" s="207">
        <v>6042</v>
      </c>
      <c r="C658" s="185" t="s">
        <v>1707</v>
      </c>
      <c r="D658" s="50" t="s">
        <v>1708</v>
      </c>
      <c r="E658" s="51" t="s">
        <v>306</v>
      </c>
      <c r="F658" s="30">
        <v>7.5</v>
      </c>
      <c r="G658" s="30">
        <v>2.5</v>
      </c>
      <c r="H658" s="30">
        <f t="shared" si="206"/>
        <v>11.25</v>
      </c>
      <c r="I658" s="191" t="s">
        <v>787</v>
      </c>
      <c r="J658" s="31"/>
      <c r="K658" s="32">
        <v>1</v>
      </c>
      <c r="L658" s="32"/>
      <c r="M658" s="33"/>
      <c r="N658"/>
      <c r="O658" s="21"/>
      <c r="P658" s="21"/>
    </row>
    <row r="659" spans="1:17" s="52" customFormat="1" ht="39.950000000000003" customHeight="1">
      <c r="A659" s="9">
        <v>7</v>
      </c>
      <c r="B659" s="207">
        <v>5977</v>
      </c>
      <c r="C659" s="185" t="s">
        <v>1559</v>
      </c>
      <c r="D659" s="50" t="s">
        <v>1560</v>
      </c>
      <c r="E659" s="51" t="s">
        <v>306</v>
      </c>
      <c r="F659" s="30">
        <v>7.5</v>
      </c>
      <c r="G659" s="30">
        <v>2.5</v>
      </c>
      <c r="H659" s="30">
        <f t="shared" ref="H659" si="208">IF(G659&gt;0,(G659*1.5)+F659,"YOK")</f>
        <v>11.25</v>
      </c>
      <c r="I659" s="191" t="s">
        <v>787</v>
      </c>
      <c r="J659" s="31"/>
      <c r="K659" s="32">
        <v>1</v>
      </c>
      <c r="L659" s="32"/>
      <c r="M659" s="33"/>
      <c r="N659"/>
      <c r="O659" s="21"/>
      <c r="P659" s="21"/>
    </row>
    <row r="660" spans="1:17" s="52" customFormat="1" ht="39.950000000000003" customHeight="1">
      <c r="A660" s="9">
        <v>8</v>
      </c>
      <c r="B660" s="207">
        <v>6043</v>
      </c>
      <c r="C660" s="185" t="s">
        <v>1709</v>
      </c>
      <c r="D660" s="50" t="s">
        <v>1710</v>
      </c>
      <c r="E660" s="51" t="s">
        <v>316</v>
      </c>
      <c r="F660" s="30">
        <v>7.5</v>
      </c>
      <c r="G660" s="30">
        <v>2.5</v>
      </c>
      <c r="H660" s="30">
        <f t="shared" ref="H660" si="209">IF(G660&gt;0,(G660*1.5)+F660,"YOK")</f>
        <v>11.25</v>
      </c>
      <c r="I660" s="191" t="s">
        <v>787</v>
      </c>
      <c r="J660" s="31"/>
      <c r="K660" s="32">
        <v>1</v>
      </c>
      <c r="L660" s="32"/>
      <c r="M660" s="33"/>
      <c r="N660"/>
      <c r="O660" s="21"/>
      <c r="P660" s="21"/>
      <c r="Q660" s="21"/>
    </row>
    <row r="661" spans="1:17" s="52" customFormat="1" ht="39.950000000000003" customHeight="1">
      <c r="A661" s="9">
        <v>9</v>
      </c>
      <c r="B661" s="207">
        <v>6045</v>
      </c>
      <c r="C661" s="185" t="s">
        <v>1713</v>
      </c>
      <c r="D661" s="50" t="s">
        <v>1714</v>
      </c>
      <c r="E661" s="51" t="s">
        <v>316</v>
      </c>
      <c r="F661" s="30">
        <v>7.5</v>
      </c>
      <c r="G661" s="30">
        <v>2.5</v>
      </c>
      <c r="H661" s="30">
        <f t="shared" ref="H661" si="210">IF(G661&gt;0,(G661*1.5)+F661,"YOK")</f>
        <v>11.25</v>
      </c>
      <c r="I661" s="191" t="s">
        <v>787</v>
      </c>
      <c r="J661" s="31"/>
      <c r="K661" s="32">
        <v>1</v>
      </c>
      <c r="L661" s="32"/>
      <c r="M661" s="33"/>
      <c r="N661"/>
      <c r="O661" s="21"/>
      <c r="P661" s="21"/>
      <c r="Q661" s="21"/>
    </row>
    <row r="662" spans="1:17" s="52" customFormat="1" ht="39.950000000000003" customHeight="1">
      <c r="A662" s="9">
        <v>10</v>
      </c>
      <c r="B662" s="207">
        <v>6046</v>
      </c>
      <c r="C662" s="185" t="s">
        <v>1715</v>
      </c>
      <c r="D662" s="50" t="s">
        <v>1716</v>
      </c>
      <c r="E662" s="51" t="s">
        <v>316</v>
      </c>
      <c r="F662" s="30">
        <v>7.5</v>
      </c>
      <c r="G662" s="30">
        <v>2.5</v>
      </c>
      <c r="H662" s="30">
        <f t="shared" si="206"/>
        <v>11.25</v>
      </c>
      <c r="I662" s="191" t="s">
        <v>787</v>
      </c>
      <c r="J662" s="31"/>
      <c r="K662" s="32">
        <v>1</v>
      </c>
      <c r="L662" s="32"/>
      <c r="M662" s="33"/>
      <c r="N662"/>
      <c r="O662" s="21"/>
      <c r="P662" s="21"/>
      <c r="Q662" s="21"/>
    </row>
    <row r="663" spans="1:17" s="52" customFormat="1" ht="39.950000000000003" customHeight="1">
      <c r="A663" s="9">
        <v>11</v>
      </c>
      <c r="B663" s="207">
        <v>6047</v>
      </c>
      <c r="C663" s="185" t="s">
        <v>1717</v>
      </c>
      <c r="D663" s="50" t="s">
        <v>1718</v>
      </c>
      <c r="E663" s="51" t="s">
        <v>1719</v>
      </c>
      <c r="F663" s="30">
        <v>0</v>
      </c>
      <c r="G663" s="30">
        <v>0</v>
      </c>
      <c r="H663" s="30" t="str">
        <f t="shared" ref="H663" si="211">IF(G663&gt;0,(G663*1.5)+F663,"YOK")</f>
        <v>YOK</v>
      </c>
      <c r="I663" s="191" t="s">
        <v>1185</v>
      </c>
      <c r="J663" s="31">
        <v>1</v>
      </c>
      <c r="K663" s="32">
        <v>0</v>
      </c>
      <c r="L663" s="32"/>
      <c r="M663" s="33"/>
      <c r="N663"/>
      <c r="O663" s="21"/>
      <c r="P663" s="21"/>
    </row>
    <row r="664" spans="1:17" s="52" customFormat="1" ht="39.950000000000003" customHeight="1">
      <c r="A664" s="9">
        <v>12</v>
      </c>
      <c r="B664" s="207">
        <v>6048</v>
      </c>
      <c r="C664" s="185" t="s">
        <v>1720</v>
      </c>
      <c r="D664" s="50" t="s">
        <v>1721</v>
      </c>
      <c r="E664" s="51" t="s">
        <v>1719</v>
      </c>
      <c r="F664" s="30">
        <v>7.5</v>
      </c>
      <c r="G664" s="30">
        <v>2.5</v>
      </c>
      <c r="H664" s="30">
        <f t="shared" ref="H664" si="212">IF(G664&gt;0,(G664*1.5)+F664,"YOK")</f>
        <v>11.25</v>
      </c>
      <c r="I664" s="191" t="s">
        <v>787</v>
      </c>
      <c r="J664" s="31"/>
      <c r="K664" s="32">
        <v>1</v>
      </c>
      <c r="L664" s="32"/>
      <c r="M664" s="33"/>
      <c r="N664"/>
      <c r="O664" s="21"/>
      <c r="P664" s="21"/>
      <c r="Q664" s="21"/>
    </row>
    <row r="665" spans="1:17" s="52" customFormat="1" ht="39.950000000000003" customHeight="1">
      <c r="A665" s="9">
        <v>13</v>
      </c>
      <c r="B665" s="207">
        <v>6113</v>
      </c>
      <c r="C665" s="185" t="s">
        <v>1828</v>
      </c>
      <c r="D665" s="50" t="s">
        <v>1829</v>
      </c>
      <c r="E665" s="51" t="s">
        <v>1719</v>
      </c>
      <c r="F665" s="30">
        <v>7.5</v>
      </c>
      <c r="G665" s="30">
        <v>2.5</v>
      </c>
      <c r="H665" s="30">
        <f t="shared" ref="H665" si="213">IF(G665&gt;0,(G665*1.5)+F665,"YOK")</f>
        <v>11.25</v>
      </c>
      <c r="I665" s="191" t="s">
        <v>787</v>
      </c>
      <c r="J665" s="31"/>
      <c r="K665" s="32">
        <v>1</v>
      </c>
      <c r="L665" s="32"/>
      <c r="M665" s="33"/>
      <c r="N665"/>
      <c r="O665" s="21"/>
      <c r="P665" s="21"/>
      <c r="Q665" s="21"/>
    </row>
    <row r="666" spans="1:17" s="21" customFormat="1" ht="39.950000000000003" customHeight="1">
      <c r="A666" s="9">
        <v>14</v>
      </c>
      <c r="B666" s="207">
        <v>6049</v>
      </c>
      <c r="C666" s="185" t="s">
        <v>1722</v>
      </c>
      <c r="D666" s="50" t="s">
        <v>1723</v>
      </c>
      <c r="E666" s="51" t="s">
        <v>1621</v>
      </c>
      <c r="F666" s="30">
        <v>7.5</v>
      </c>
      <c r="G666" s="30">
        <v>2.5</v>
      </c>
      <c r="H666" s="30">
        <f t="shared" si="206"/>
        <v>11.25</v>
      </c>
      <c r="I666" s="191" t="s">
        <v>787</v>
      </c>
      <c r="J666" s="31"/>
      <c r="K666" s="32">
        <v>1</v>
      </c>
      <c r="L666" s="32"/>
      <c r="M666" s="33"/>
      <c r="N666"/>
    </row>
    <row r="667" spans="1:17" s="52" customFormat="1" ht="39.950000000000003" customHeight="1">
      <c r="A667" s="9">
        <v>15</v>
      </c>
      <c r="B667" s="207">
        <v>6051</v>
      </c>
      <c r="C667" s="185" t="s">
        <v>1726</v>
      </c>
      <c r="D667" s="50" t="s">
        <v>1727</v>
      </c>
      <c r="E667" s="51" t="s">
        <v>162</v>
      </c>
      <c r="F667" s="30">
        <v>7.5</v>
      </c>
      <c r="G667" s="30">
        <v>2.5</v>
      </c>
      <c r="H667" s="30">
        <f t="shared" ref="H667" si="214">IF(G667&gt;0,(G667*1.5)+F667,"YOK")</f>
        <v>11.25</v>
      </c>
      <c r="I667" s="191" t="s">
        <v>787</v>
      </c>
      <c r="J667" s="31"/>
      <c r="K667" s="32">
        <v>1</v>
      </c>
      <c r="L667" s="32"/>
      <c r="M667" s="33"/>
      <c r="N667"/>
      <c r="O667" s="21"/>
      <c r="P667" s="21"/>
    </row>
    <row r="668" spans="1:17" s="52" customFormat="1" ht="39.950000000000003" customHeight="1">
      <c r="A668" s="9">
        <v>16</v>
      </c>
      <c r="B668" s="207">
        <v>4635</v>
      </c>
      <c r="C668" s="185" t="s">
        <v>417</v>
      </c>
      <c r="D668" s="50" t="s">
        <v>418</v>
      </c>
      <c r="E668" s="51" t="s">
        <v>261</v>
      </c>
      <c r="F668" s="30">
        <v>7.5</v>
      </c>
      <c r="G668" s="30">
        <v>2.5</v>
      </c>
      <c r="H668" s="30">
        <f t="shared" ref="H668" si="215">IF(G668&gt;0,(G668*1.5)+F668,"YOK")</f>
        <v>11.25</v>
      </c>
      <c r="I668" s="208" t="s">
        <v>132</v>
      </c>
      <c r="J668" s="31"/>
      <c r="K668" s="32">
        <v>1</v>
      </c>
      <c r="L668" s="32">
        <v>1</v>
      </c>
      <c r="M668" s="33"/>
      <c r="N668" s="33"/>
      <c r="O668" s="21"/>
      <c r="P668" s="21"/>
    </row>
    <row r="669" spans="1:17" s="52" customFormat="1" ht="39.950000000000003" customHeight="1">
      <c r="A669" s="9">
        <v>17</v>
      </c>
      <c r="B669" s="207" t="s">
        <v>979</v>
      </c>
      <c r="C669" s="185" t="s">
        <v>2365</v>
      </c>
      <c r="D669" s="50" t="s">
        <v>2366</v>
      </c>
      <c r="E669" s="51" t="s">
        <v>1719</v>
      </c>
      <c r="F669" s="30">
        <v>7.5</v>
      </c>
      <c r="G669" s="30">
        <v>2.5</v>
      </c>
      <c r="H669" s="30">
        <f t="shared" ref="H669" si="216">IF(G669&gt;0,(G669*1.5)+F669,"YOK")</f>
        <v>11.25</v>
      </c>
      <c r="I669" s="227" t="s">
        <v>1100</v>
      </c>
      <c r="J669" s="31"/>
      <c r="K669" s="32">
        <v>1</v>
      </c>
      <c r="L669" s="32"/>
      <c r="M669" s="33"/>
      <c r="N669"/>
      <c r="O669" s="21"/>
      <c r="P669" s="21"/>
    </row>
    <row r="670" spans="1:17" s="52" customFormat="1" ht="39.950000000000003" customHeight="1">
      <c r="A670" s="9">
        <v>18</v>
      </c>
      <c r="B670" s="207" t="s">
        <v>979</v>
      </c>
      <c r="C670" s="185" t="s">
        <v>2367</v>
      </c>
      <c r="D670" s="50" t="s">
        <v>2368</v>
      </c>
      <c r="E670" s="51" t="s">
        <v>306</v>
      </c>
      <c r="F670" s="30">
        <v>7.5</v>
      </c>
      <c r="G670" s="30">
        <v>2.5</v>
      </c>
      <c r="H670" s="30">
        <f>IF(G670&gt;0,(G670*1.5)+F670,"YOK")</f>
        <v>11.25</v>
      </c>
      <c r="I670" s="227" t="s">
        <v>1100</v>
      </c>
      <c r="J670" s="31"/>
      <c r="K670" s="32">
        <v>1</v>
      </c>
      <c r="L670" s="32"/>
      <c r="M670" s="33"/>
      <c r="N670"/>
      <c r="O670" s="21"/>
      <c r="P670" s="21"/>
    </row>
    <row r="671" spans="1:17" s="52" customFormat="1" ht="39.950000000000003" customHeight="1">
      <c r="A671" s="9">
        <v>19</v>
      </c>
      <c r="B671" s="207" t="s">
        <v>979</v>
      </c>
      <c r="C671" s="185" t="s">
        <v>3122</v>
      </c>
      <c r="D671" s="50" t="s">
        <v>3123</v>
      </c>
      <c r="E671" s="51" t="s">
        <v>306</v>
      </c>
      <c r="F671" s="30">
        <v>7.5</v>
      </c>
      <c r="G671" s="30">
        <v>2.5</v>
      </c>
      <c r="H671" s="30">
        <f t="shared" ref="H671" si="217">IF(G671&gt;0,(G671*1.5)+F671,"YOK")</f>
        <v>11.25</v>
      </c>
      <c r="I671" s="227" t="s">
        <v>1100</v>
      </c>
      <c r="J671" s="31"/>
      <c r="K671" s="32">
        <v>1</v>
      </c>
      <c r="L671" s="32"/>
      <c r="M671" s="33"/>
      <c r="N671"/>
      <c r="O671" s="21"/>
      <c r="P671" s="21"/>
    </row>
    <row r="672" spans="1:17" s="52" customFormat="1" ht="39.950000000000003" customHeight="1">
      <c r="A672" s="9">
        <v>20</v>
      </c>
      <c r="B672" s="207" t="s">
        <v>979</v>
      </c>
      <c r="C672" s="185" t="s">
        <v>3657</v>
      </c>
      <c r="D672" s="50" t="s">
        <v>3658</v>
      </c>
      <c r="E672" s="51" t="s">
        <v>306</v>
      </c>
      <c r="F672" s="30">
        <v>7.5</v>
      </c>
      <c r="G672" s="30">
        <v>2.5</v>
      </c>
      <c r="H672" s="30">
        <f t="shared" ref="H672" si="218">IF(G672&gt;0,(G672*1.5)+F672,"YOK")</f>
        <v>11.25</v>
      </c>
      <c r="I672" s="227" t="s">
        <v>1100</v>
      </c>
      <c r="J672" s="31"/>
      <c r="K672" s="32">
        <v>1</v>
      </c>
      <c r="L672" s="32"/>
      <c r="M672" s="33"/>
      <c r="N672"/>
      <c r="O672" s="21"/>
      <c r="P672" s="21"/>
    </row>
    <row r="673" spans="1:17" s="52" customFormat="1" ht="39.950000000000003" customHeight="1">
      <c r="A673" s="9">
        <v>21</v>
      </c>
      <c r="B673" s="207" t="s">
        <v>979</v>
      </c>
      <c r="C673" s="185" t="s">
        <v>3659</v>
      </c>
      <c r="D673" s="50" t="s">
        <v>3660</v>
      </c>
      <c r="E673" s="51" t="s">
        <v>306</v>
      </c>
      <c r="F673" s="30">
        <v>7.5</v>
      </c>
      <c r="G673" s="30">
        <v>2.5</v>
      </c>
      <c r="H673" s="30">
        <f t="shared" ref="H673" si="219">IF(G673&gt;0,(G673*1.5)+F673,"YOK")</f>
        <v>11.25</v>
      </c>
      <c r="I673" s="227" t="s">
        <v>1100</v>
      </c>
      <c r="J673" s="31"/>
      <c r="K673" s="32">
        <v>1</v>
      </c>
      <c r="L673" s="32"/>
      <c r="M673" s="33"/>
      <c r="N673"/>
      <c r="O673" s="21"/>
      <c r="P673" s="21"/>
    </row>
    <row r="674" spans="1:17" s="52" customFormat="1" ht="39.950000000000003" customHeight="1">
      <c r="A674" s="9">
        <v>22</v>
      </c>
      <c r="B674" s="207" t="s">
        <v>979</v>
      </c>
      <c r="C674" s="185" t="s">
        <v>3125</v>
      </c>
      <c r="D674" s="50" t="s">
        <v>3124</v>
      </c>
      <c r="E674" s="51" t="s">
        <v>316</v>
      </c>
      <c r="F674" s="30">
        <v>7.5</v>
      </c>
      <c r="G674" s="30">
        <v>2.5</v>
      </c>
      <c r="H674" s="30">
        <f t="shared" ref="H674" si="220">IF(G674&gt;0,(G674*1.5)+F674,"YOK")</f>
        <v>11.25</v>
      </c>
      <c r="I674" s="227" t="s">
        <v>1100</v>
      </c>
      <c r="J674" s="31"/>
      <c r="K674" s="32">
        <v>1</v>
      </c>
      <c r="L674" s="32"/>
      <c r="M674" s="33"/>
      <c r="N674"/>
      <c r="O674" s="21"/>
      <c r="P674" s="21"/>
    </row>
    <row r="675" spans="1:17" s="52" customFormat="1" ht="39.950000000000003" customHeight="1">
      <c r="A675" s="9">
        <v>23</v>
      </c>
      <c r="B675" s="207" t="s">
        <v>979</v>
      </c>
      <c r="C675" s="185" t="s">
        <v>992</v>
      </c>
      <c r="D675" s="50" t="s">
        <v>995</v>
      </c>
      <c r="E675" s="51" t="s">
        <v>316</v>
      </c>
      <c r="F675" s="30">
        <v>0</v>
      </c>
      <c r="G675" s="30">
        <v>0</v>
      </c>
      <c r="H675" s="30" t="str">
        <f t="shared" ref="H675" si="221">IF(G675&gt;0,(G675*1.5)+F675,"YOK")</f>
        <v>YOK</v>
      </c>
      <c r="I675" s="248" t="s">
        <v>3671</v>
      </c>
      <c r="J675" s="31">
        <v>1</v>
      </c>
      <c r="K675" s="32">
        <v>0</v>
      </c>
      <c r="L675" s="32"/>
      <c r="M675" s="33"/>
      <c r="N675"/>
      <c r="O675" s="21"/>
      <c r="P675" s="21"/>
    </row>
    <row r="676" spans="1:17" s="52" customFormat="1" ht="39.950000000000003" customHeight="1">
      <c r="A676" s="9">
        <v>24</v>
      </c>
      <c r="B676" s="207" t="s">
        <v>979</v>
      </c>
      <c r="C676" s="185" t="s">
        <v>3126</v>
      </c>
      <c r="D676" s="50" t="s">
        <v>3127</v>
      </c>
      <c r="E676" s="51" t="s">
        <v>1719</v>
      </c>
      <c r="F676" s="30">
        <v>0</v>
      </c>
      <c r="G676" s="30">
        <v>0</v>
      </c>
      <c r="H676" s="30" t="str">
        <f t="shared" ref="H676" si="222">IF(G676&gt;0,(G676*1.5)+F676,"YOK")</f>
        <v>YOK</v>
      </c>
      <c r="I676" s="248" t="s">
        <v>3671</v>
      </c>
      <c r="J676" s="31">
        <v>1</v>
      </c>
      <c r="K676" s="32">
        <v>0</v>
      </c>
      <c r="L676" s="32"/>
      <c r="M676" s="33"/>
      <c r="N676"/>
      <c r="O676" s="21"/>
      <c r="P676" s="21"/>
    </row>
    <row r="677" spans="1:17" s="52" customFormat="1" ht="39.950000000000003" customHeight="1">
      <c r="A677" s="9">
        <v>25</v>
      </c>
      <c r="B677" s="207" t="s">
        <v>979</v>
      </c>
      <c r="C677" s="185" t="s">
        <v>354</v>
      </c>
      <c r="D677" s="50" t="s">
        <v>355</v>
      </c>
      <c r="E677" s="51" t="s">
        <v>365</v>
      </c>
      <c r="F677" s="30">
        <v>7.5</v>
      </c>
      <c r="G677" s="30">
        <v>2.5</v>
      </c>
      <c r="H677" s="30">
        <f t="shared" ref="H677" si="223">IF(G677&gt;0,(G677*1.5)+F677,"YOK")</f>
        <v>11.25</v>
      </c>
      <c r="I677" s="227" t="s">
        <v>1100</v>
      </c>
      <c r="J677" s="31"/>
      <c r="K677" s="32">
        <v>1</v>
      </c>
      <c r="L677" s="32"/>
      <c r="M677" s="33"/>
      <c r="N677"/>
      <c r="O677" s="21"/>
      <c r="P677" s="21"/>
    </row>
    <row r="678" spans="1:17" s="52" customFormat="1" ht="39.950000000000003" customHeight="1">
      <c r="A678" s="9">
        <v>26</v>
      </c>
      <c r="B678" s="207">
        <v>4637</v>
      </c>
      <c r="C678" s="185" t="s">
        <v>415</v>
      </c>
      <c r="D678" s="50" t="s">
        <v>416</v>
      </c>
      <c r="E678" s="51" t="s">
        <v>306</v>
      </c>
      <c r="F678" s="30">
        <v>0</v>
      </c>
      <c r="G678" s="30"/>
      <c r="H678" s="30"/>
      <c r="I678" s="189" t="s">
        <v>34</v>
      </c>
      <c r="J678" s="31"/>
      <c r="K678" s="32">
        <v>0</v>
      </c>
      <c r="M678" s="32">
        <v>1</v>
      </c>
      <c r="N678" s="33"/>
      <c r="O678" s="21"/>
      <c r="P678" s="21"/>
    </row>
    <row r="679" spans="1:17" s="52" customFormat="1" ht="39.950000000000003" customHeight="1">
      <c r="A679" s="9">
        <v>27</v>
      </c>
      <c r="B679" s="207">
        <v>5271</v>
      </c>
      <c r="C679" s="185" t="s">
        <v>340</v>
      </c>
      <c r="D679" s="50" t="s">
        <v>341</v>
      </c>
      <c r="E679" s="51" t="s">
        <v>260</v>
      </c>
      <c r="F679" s="30">
        <v>0</v>
      </c>
      <c r="G679" s="30"/>
      <c r="H679" s="30"/>
      <c r="I679" s="189" t="s">
        <v>34</v>
      </c>
      <c r="J679" s="31"/>
      <c r="K679" s="32">
        <v>0</v>
      </c>
      <c r="M679" s="32">
        <v>1</v>
      </c>
      <c r="N679" s="33"/>
      <c r="O679" s="21"/>
      <c r="P679" s="21"/>
    </row>
    <row r="680" spans="1:17" s="52" customFormat="1" ht="39.950000000000003" customHeight="1">
      <c r="A680" s="9">
        <v>28</v>
      </c>
      <c r="B680" s="207">
        <v>6044</v>
      </c>
      <c r="C680" s="185" t="s">
        <v>1711</v>
      </c>
      <c r="D680" s="50" t="s">
        <v>1712</v>
      </c>
      <c r="E680" s="51" t="s">
        <v>316</v>
      </c>
      <c r="F680" s="30">
        <v>0</v>
      </c>
      <c r="G680" s="30"/>
      <c r="H680" s="30"/>
      <c r="I680" s="189" t="s">
        <v>34</v>
      </c>
      <c r="J680" s="31"/>
      <c r="K680" s="32">
        <v>0</v>
      </c>
      <c r="M680" s="32">
        <v>1</v>
      </c>
      <c r="N680"/>
      <c r="O680" s="21"/>
      <c r="P680" s="21"/>
      <c r="Q680" s="21"/>
    </row>
    <row r="681" spans="1:17" s="52" customFormat="1" ht="39.950000000000003" customHeight="1">
      <c r="A681" s="9">
        <v>29</v>
      </c>
      <c r="B681" s="207">
        <v>5105</v>
      </c>
      <c r="C681" s="185" t="s">
        <v>356</v>
      </c>
      <c r="D681" s="50" t="s">
        <v>900</v>
      </c>
      <c r="E681" s="51" t="s">
        <v>261</v>
      </c>
      <c r="F681" s="30">
        <v>0</v>
      </c>
      <c r="G681" s="30"/>
      <c r="H681" s="30"/>
      <c r="I681" s="189" t="s">
        <v>34</v>
      </c>
      <c r="J681" s="31"/>
      <c r="K681" s="32">
        <v>0</v>
      </c>
      <c r="M681" s="32">
        <v>1</v>
      </c>
      <c r="N681" s="33"/>
      <c r="O681" s="21"/>
      <c r="P681" s="21"/>
    </row>
    <row r="682" spans="1:17" s="52" customFormat="1" ht="39.950000000000003" customHeight="1">
      <c r="A682" s="9">
        <v>30</v>
      </c>
      <c r="B682" s="207">
        <v>5047</v>
      </c>
      <c r="C682" s="185" t="s">
        <v>359</v>
      </c>
      <c r="D682" s="50" t="s">
        <v>360</v>
      </c>
      <c r="E682" s="51" t="s">
        <v>261</v>
      </c>
      <c r="F682" s="30">
        <v>0</v>
      </c>
      <c r="G682" s="30"/>
      <c r="H682" s="30"/>
      <c r="I682" s="189" t="s">
        <v>34</v>
      </c>
      <c r="J682" s="31"/>
      <c r="K682" s="32">
        <v>0</v>
      </c>
      <c r="M682" s="32">
        <v>1</v>
      </c>
      <c r="N682" s="33"/>
      <c r="O682" s="21"/>
      <c r="P682" s="21"/>
    </row>
    <row r="683" spans="1:17" s="52" customFormat="1" ht="39.950000000000003" customHeight="1">
      <c r="A683" s="9">
        <v>31</v>
      </c>
      <c r="B683" s="207">
        <v>5713</v>
      </c>
      <c r="C683" s="185" t="s">
        <v>1176</v>
      </c>
      <c r="D683" s="50" t="s">
        <v>1177</v>
      </c>
      <c r="E683" s="51" t="s">
        <v>261</v>
      </c>
      <c r="F683" s="30">
        <v>0</v>
      </c>
      <c r="G683" s="30"/>
      <c r="H683" s="30"/>
      <c r="I683" s="189" t="s">
        <v>34</v>
      </c>
      <c r="J683" s="31"/>
      <c r="K683" s="32">
        <v>0</v>
      </c>
      <c r="M683" s="32">
        <v>1</v>
      </c>
      <c r="N683" s="33"/>
      <c r="O683" s="21"/>
      <c r="P683" s="21"/>
    </row>
    <row r="684" spans="1:17" s="52" customFormat="1" ht="39.950000000000003" customHeight="1">
      <c r="A684" s="9">
        <v>32</v>
      </c>
      <c r="B684" s="207">
        <v>4585</v>
      </c>
      <c r="C684" s="185" t="s">
        <v>361</v>
      </c>
      <c r="D684" s="50" t="s">
        <v>362</v>
      </c>
      <c r="E684" s="51" t="s">
        <v>298</v>
      </c>
      <c r="F684" s="30">
        <v>0</v>
      </c>
      <c r="G684" s="30"/>
      <c r="H684" s="30"/>
      <c r="I684" s="189" t="s">
        <v>34</v>
      </c>
      <c r="J684" s="31"/>
      <c r="K684" s="32">
        <v>0</v>
      </c>
      <c r="M684" s="32">
        <v>1</v>
      </c>
      <c r="N684" s="33"/>
      <c r="O684" s="21"/>
      <c r="P684" s="21"/>
    </row>
    <row r="685" spans="1:17" s="52" customFormat="1" ht="39.950000000000003" customHeight="1">
      <c r="A685" s="9">
        <v>33</v>
      </c>
      <c r="B685" s="207">
        <v>4374</v>
      </c>
      <c r="C685" s="185" t="s">
        <v>374</v>
      </c>
      <c r="D685" s="50" t="s">
        <v>375</v>
      </c>
      <c r="E685" s="51" t="s">
        <v>299</v>
      </c>
      <c r="F685" s="30">
        <v>7.5</v>
      </c>
      <c r="G685" s="30">
        <v>0</v>
      </c>
      <c r="H685" s="30">
        <v>7.5</v>
      </c>
      <c r="I685" s="277" t="s">
        <v>3670</v>
      </c>
      <c r="J685" s="31">
        <v>1</v>
      </c>
      <c r="K685" s="32">
        <v>0</v>
      </c>
      <c r="M685" s="32"/>
      <c r="N685" s="33"/>
      <c r="O685" s="21"/>
      <c r="P685" s="21"/>
    </row>
    <row r="686" spans="1:17" s="52" customFormat="1" ht="39.950000000000003" customHeight="1">
      <c r="A686" s="9">
        <v>34</v>
      </c>
      <c r="B686" s="207">
        <v>5242</v>
      </c>
      <c r="C686" s="185" t="s">
        <v>403</v>
      </c>
      <c r="D686" s="50" t="s">
        <v>404</v>
      </c>
      <c r="E686" s="51" t="s">
        <v>306</v>
      </c>
      <c r="F686" s="30">
        <v>0</v>
      </c>
      <c r="G686" s="30"/>
      <c r="H686" s="30"/>
      <c r="I686" s="189" t="s">
        <v>34</v>
      </c>
      <c r="J686" s="31"/>
      <c r="K686" s="32">
        <v>0</v>
      </c>
      <c r="M686" s="32">
        <v>1</v>
      </c>
      <c r="N686" s="33"/>
      <c r="O686" s="21"/>
      <c r="P686" s="21"/>
    </row>
    <row r="687" spans="1:17" s="52" customFormat="1" ht="39.950000000000003" customHeight="1">
      <c r="A687" s="9">
        <v>35</v>
      </c>
      <c r="B687" s="207">
        <v>4723</v>
      </c>
      <c r="C687" s="185" t="s">
        <v>389</v>
      </c>
      <c r="D687" s="50" t="s">
        <v>390</v>
      </c>
      <c r="E687" s="51" t="s">
        <v>306</v>
      </c>
      <c r="F687" s="30">
        <v>0</v>
      </c>
      <c r="G687" s="30"/>
      <c r="H687" s="30"/>
      <c r="I687" s="189" t="s">
        <v>34</v>
      </c>
      <c r="J687" s="31"/>
      <c r="K687" s="32">
        <v>0</v>
      </c>
      <c r="M687" s="32">
        <v>1</v>
      </c>
      <c r="N687" s="33"/>
      <c r="O687" s="21"/>
      <c r="P687" s="21"/>
    </row>
    <row r="688" spans="1:17" s="52" customFormat="1" ht="39.950000000000003" customHeight="1">
      <c r="A688" s="9">
        <v>36</v>
      </c>
      <c r="B688" s="207">
        <v>5835</v>
      </c>
      <c r="C688" s="185" t="s">
        <v>1303</v>
      </c>
      <c r="D688" s="50" t="s">
        <v>1304</v>
      </c>
      <c r="E688" s="51" t="s">
        <v>306</v>
      </c>
      <c r="F688" s="30">
        <v>0</v>
      </c>
      <c r="G688" s="30"/>
      <c r="H688" s="30"/>
      <c r="I688" s="189" t="s">
        <v>34</v>
      </c>
      <c r="J688" s="31"/>
      <c r="K688" s="32">
        <v>0</v>
      </c>
      <c r="M688" s="32">
        <v>1</v>
      </c>
      <c r="N688" s="33"/>
      <c r="O688" s="21"/>
      <c r="P688" s="21"/>
    </row>
    <row r="689" spans="1:18" s="52" customFormat="1" ht="39.950000000000003" customHeight="1">
      <c r="A689" s="9">
        <v>37</v>
      </c>
      <c r="B689" s="207">
        <v>5978</v>
      </c>
      <c r="C689" s="185" t="s">
        <v>1561</v>
      </c>
      <c r="D689" s="50" t="s">
        <v>412</v>
      </c>
      <c r="E689" s="51" t="s">
        <v>306</v>
      </c>
      <c r="F689" s="30">
        <v>0</v>
      </c>
      <c r="G689" s="30"/>
      <c r="H689" s="30"/>
      <c r="I689" s="208" t="s">
        <v>34</v>
      </c>
      <c r="J689" s="31"/>
      <c r="K689" s="32">
        <v>0</v>
      </c>
      <c r="M689" s="32">
        <v>1</v>
      </c>
      <c r="N689" s="33"/>
      <c r="O689" s="21"/>
      <c r="P689" s="21"/>
    </row>
    <row r="690" spans="1:18" s="52" customFormat="1" ht="39.950000000000003" customHeight="1">
      <c r="A690" s="9">
        <v>38</v>
      </c>
      <c r="B690" s="207">
        <v>6111</v>
      </c>
      <c r="C690" s="185" t="s">
        <v>1830</v>
      </c>
      <c r="D690" s="50" t="s">
        <v>2998</v>
      </c>
      <c r="E690" s="51" t="s">
        <v>306</v>
      </c>
      <c r="F690" s="30">
        <v>0</v>
      </c>
      <c r="G690" s="30"/>
      <c r="H690" s="30"/>
      <c r="I690" s="208" t="s">
        <v>34</v>
      </c>
      <c r="J690" s="31"/>
      <c r="K690" s="32">
        <v>0</v>
      </c>
      <c r="M690" s="32">
        <v>1</v>
      </c>
      <c r="N690" s="33"/>
      <c r="O690" s="21"/>
      <c r="P690" s="21"/>
    </row>
    <row r="691" spans="1:18" s="52" customFormat="1" ht="39.950000000000003" customHeight="1">
      <c r="A691" s="9">
        <v>39</v>
      </c>
      <c r="B691" s="207">
        <v>5272</v>
      </c>
      <c r="C691" s="185" t="s">
        <v>401</v>
      </c>
      <c r="D691" s="50" t="s">
        <v>402</v>
      </c>
      <c r="E691" s="51" t="s">
        <v>306</v>
      </c>
      <c r="F691" s="30">
        <v>0</v>
      </c>
      <c r="G691" s="30"/>
      <c r="H691" s="30"/>
      <c r="I691" s="189" t="s">
        <v>34</v>
      </c>
      <c r="J691" s="31"/>
      <c r="K691" s="32">
        <v>0</v>
      </c>
      <c r="M691" s="32">
        <v>1</v>
      </c>
      <c r="N691"/>
      <c r="O691" s="21"/>
      <c r="P691" s="21"/>
    </row>
    <row r="692" spans="1:18" s="52" customFormat="1" ht="39.950000000000003" customHeight="1">
      <c r="A692" s="9">
        <v>40</v>
      </c>
      <c r="B692" s="207">
        <v>6112</v>
      </c>
      <c r="C692" s="185" t="s">
        <v>1826</v>
      </c>
      <c r="D692" s="50" t="s">
        <v>1827</v>
      </c>
      <c r="E692" s="51" t="s">
        <v>306</v>
      </c>
      <c r="F692" s="30">
        <v>0</v>
      </c>
      <c r="G692" s="30">
        <v>0</v>
      </c>
      <c r="H692" s="30" t="s">
        <v>1356</v>
      </c>
      <c r="I692" s="189" t="s">
        <v>1185</v>
      </c>
      <c r="J692" s="31">
        <v>1</v>
      </c>
      <c r="K692" s="32">
        <v>0</v>
      </c>
      <c r="M692" s="32"/>
      <c r="N692"/>
      <c r="O692" s="21"/>
      <c r="P692" s="21"/>
      <c r="Q692" s="21"/>
    </row>
    <row r="693" spans="1:18" s="52" customFormat="1" ht="39.950000000000003" customHeight="1">
      <c r="A693" s="9">
        <v>41</v>
      </c>
      <c r="B693" s="207">
        <v>6110</v>
      </c>
      <c r="C693" s="185" t="s">
        <v>344</v>
      </c>
      <c r="D693" s="50" t="s">
        <v>1825</v>
      </c>
      <c r="E693" s="51" t="s">
        <v>316</v>
      </c>
      <c r="F693" s="30">
        <v>0</v>
      </c>
      <c r="G693" s="30"/>
      <c r="H693" s="30"/>
      <c r="I693" s="203" t="s">
        <v>34</v>
      </c>
      <c r="J693" s="31"/>
      <c r="K693" s="32">
        <v>0</v>
      </c>
      <c r="M693" s="32">
        <v>1</v>
      </c>
      <c r="N693"/>
      <c r="O693" s="21"/>
      <c r="P693" s="21"/>
    </row>
    <row r="694" spans="1:18" s="52" customFormat="1" ht="39.950000000000003" customHeight="1">
      <c r="A694" s="9">
        <v>42</v>
      </c>
      <c r="B694" s="207">
        <v>4477</v>
      </c>
      <c r="C694" s="185" t="s">
        <v>421</v>
      </c>
      <c r="D694" s="50" t="s">
        <v>422</v>
      </c>
      <c r="E694" s="51" t="s">
        <v>299</v>
      </c>
      <c r="F694" s="30">
        <v>0</v>
      </c>
      <c r="G694" s="30"/>
      <c r="H694" s="30"/>
      <c r="I694" s="203" t="s">
        <v>34</v>
      </c>
      <c r="J694" s="31"/>
      <c r="K694" s="32">
        <v>0</v>
      </c>
      <c r="M694" s="32">
        <v>1</v>
      </c>
      <c r="N694"/>
      <c r="O694" s="21"/>
      <c r="P694" s="21"/>
    </row>
    <row r="695" spans="1:18" s="52" customFormat="1" ht="39.950000000000003" customHeight="1">
      <c r="A695" s="9">
        <v>43</v>
      </c>
      <c r="B695" s="207">
        <v>6037</v>
      </c>
      <c r="C695" s="185" t="s">
        <v>1699</v>
      </c>
      <c r="D695" s="50" t="s">
        <v>1700</v>
      </c>
      <c r="E695" s="51" t="s">
        <v>306</v>
      </c>
      <c r="F695" s="30">
        <v>0</v>
      </c>
      <c r="G695" s="30"/>
      <c r="H695" s="30"/>
      <c r="I695" s="203" t="s">
        <v>34</v>
      </c>
      <c r="J695" s="31"/>
      <c r="K695" s="32">
        <v>0</v>
      </c>
      <c r="M695" s="32">
        <v>1</v>
      </c>
      <c r="N695"/>
      <c r="O695" s="21"/>
      <c r="P695" s="21"/>
      <c r="Q695" s="21"/>
    </row>
    <row r="696" spans="1:18" s="52" customFormat="1" ht="39.950000000000003" customHeight="1">
      <c r="A696" s="9">
        <v>44</v>
      </c>
      <c r="B696" s="207">
        <v>5445</v>
      </c>
      <c r="C696" s="185" t="s">
        <v>840</v>
      </c>
      <c r="D696" s="50" t="s">
        <v>841</v>
      </c>
      <c r="E696" s="51" t="s">
        <v>261</v>
      </c>
      <c r="F696" s="30">
        <v>0</v>
      </c>
      <c r="G696" s="30"/>
      <c r="H696" s="30"/>
      <c r="I696" s="203" t="s">
        <v>34</v>
      </c>
      <c r="J696" s="31"/>
      <c r="K696" s="32">
        <v>0</v>
      </c>
      <c r="M696" s="32">
        <v>1</v>
      </c>
      <c r="N696"/>
      <c r="O696" s="21"/>
      <c r="P696" s="21"/>
    </row>
    <row r="697" spans="1:18" s="21" customFormat="1" ht="39.950000000000003" customHeight="1">
      <c r="A697" s="9">
        <v>45</v>
      </c>
      <c r="B697" s="207">
        <v>6050</v>
      </c>
      <c r="C697" s="185" t="s">
        <v>1724</v>
      </c>
      <c r="D697" s="50" t="s">
        <v>1725</v>
      </c>
      <c r="E697" s="51" t="s">
        <v>1621</v>
      </c>
      <c r="F697" s="30">
        <v>7.5</v>
      </c>
      <c r="G697" s="30">
        <v>2.5</v>
      </c>
      <c r="H697" s="30">
        <f>IF(G697&gt;0,(G697*1.5)+F697,"YOK")</f>
        <v>11.25</v>
      </c>
      <c r="I697" s="22" t="s">
        <v>118</v>
      </c>
      <c r="J697" s="31"/>
      <c r="K697" s="32">
        <v>0</v>
      </c>
      <c r="L697" s="32"/>
      <c r="M697" s="32">
        <v>1</v>
      </c>
      <c r="N697"/>
    </row>
    <row r="698" spans="1:18" s="52" customFormat="1" ht="39.950000000000003" customHeight="1">
      <c r="A698" s="9">
        <v>46</v>
      </c>
      <c r="B698" s="207">
        <v>5134</v>
      </c>
      <c r="C698" s="185" t="s">
        <v>322</v>
      </c>
      <c r="D698" s="50" t="s">
        <v>323</v>
      </c>
      <c r="E698" s="51" t="s">
        <v>260</v>
      </c>
      <c r="F698" s="30">
        <v>7.5</v>
      </c>
      <c r="G698" s="30">
        <v>2.5</v>
      </c>
      <c r="H698" s="30">
        <f>IF(G698&gt;0,(G698*1.5)+F698,"YOK")</f>
        <v>11.25</v>
      </c>
      <c r="I698" s="22" t="s">
        <v>118</v>
      </c>
      <c r="J698" s="31"/>
      <c r="K698" s="32">
        <v>0</v>
      </c>
      <c r="L698" s="32"/>
      <c r="M698" s="32">
        <v>1</v>
      </c>
      <c r="N698"/>
      <c r="O698" s="21"/>
      <c r="P698" s="21"/>
      <c r="R698" s="21"/>
    </row>
    <row r="699" spans="1:18" s="52" customFormat="1" ht="39.950000000000003" customHeight="1">
      <c r="A699" s="9">
        <v>47</v>
      </c>
      <c r="B699" s="207">
        <v>4601</v>
      </c>
      <c r="C699" s="185" t="s">
        <v>423</v>
      </c>
      <c r="D699" s="50" t="s">
        <v>424</v>
      </c>
      <c r="E699" s="51" t="s">
        <v>299</v>
      </c>
      <c r="F699" s="30">
        <v>0</v>
      </c>
      <c r="G699" s="30"/>
      <c r="H699" s="30"/>
      <c r="I699" s="203" t="s">
        <v>34</v>
      </c>
      <c r="J699" s="31"/>
      <c r="K699" s="32">
        <v>0</v>
      </c>
      <c r="M699" s="32">
        <v>1</v>
      </c>
      <c r="N699"/>
      <c r="O699" s="21"/>
      <c r="P699" s="21"/>
    </row>
    <row r="700" spans="1:18" ht="39.950000000000003" customHeight="1">
      <c r="A700" s="40"/>
      <c r="B700" s="262" t="s">
        <v>431</v>
      </c>
      <c r="C700" s="263"/>
      <c r="D700" s="264"/>
      <c r="E700" s="46"/>
      <c r="F700" s="41"/>
      <c r="G700" s="41"/>
      <c r="H700" s="41"/>
      <c r="I700" s="42"/>
      <c r="J700" s="43">
        <f>SUM(J653:J699)</f>
        <v>5</v>
      </c>
      <c r="K700" s="43">
        <f>SUM(K653:K699)</f>
        <v>21</v>
      </c>
      <c r="L700" s="43">
        <f>SUM(L653:L699)</f>
        <v>1</v>
      </c>
      <c r="M700" s="43">
        <f>SUM(M653:M699)</f>
        <v>21</v>
      </c>
      <c r="N700" s="33"/>
      <c r="O700" s="21"/>
      <c r="P700" s="21"/>
    </row>
    <row r="701" spans="1:18" s="52" customFormat="1" ht="39.950000000000003" customHeight="1">
      <c r="A701" s="9">
        <v>1</v>
      </c>
      <c r="B701" s="207">
        <v>4501</v>
      </c>
      <c r="C701" s="185" t="s">
        <v>432</v>
      </c>
      <c r="D701" s="185" t="s">
        <v>433</v>
      </c>
      <c r="E701" s="190" t="s">
        <v>256</v>
      </c>
      <c r="F701" s="30">
        <v>0</v>
      </c>
      <c r="G701" s="30"/>
      <c r="H701" s="30"/>
      <c r="I701" s="22" t="s">
        <v>34</v>
      </c>
      <c r="J701" s="31"/>
      <c r="K701" s="32">
        <v>0</v>
      </c>
      <c r="L701" s="32"/>
      <c r="M701" s="33">
        <v>1</v>
      </c>
      <c r="N701" s="33"/>
      <c r="O701" s="21"/>
      <c r="P701" s="21"/>
    </row>
    <row r="702" spans="1:18" s="52" customFormat="1" ht="39.950000000000003" customHeight="1">
      <c r="A702" s="9">
        <v>2</v>
      </c>
      <c r="B702" s="207">
        <v>6598</v>
      </c>
      <c r="C702" s="185" t="s">
        <v>2809</v>
      </c>
      <c r="D702" s="50" t="s">
        <v>2810</v>
      </c>
      <c r="E702" s="51" t="s">
        <v>348</v>
      </c>
      <c r="F702" s="30">
        <v>0</v>
      </c>
      <c r="G702" s="30"/>
      <c r="H702" s="30"/>
      <c r="I702" s="22" t="s">
        <v>34</v>
      </c>
      <c r="J702" s="31"/>
      <c r="K702" s="32">
        <v>0</v>
      </c>
      <c r="L702" s="32"/>
      <c r="M702" s="33">
        <v>1</v>
      </c>
      <c r="N702" s="33"/>
      <c r="O702" s="21"/>
      <c r="P702" s="21"/>
    </row>
    <row r="703" spans="1:18" s="52" customFormat="1" ht="39.950000000000003" customHeight="1">
      <c r="A703" s="9">
        <v>3</v>
      </c>
      <c r="B703" s="207">
        <v>4717</v>
      </c>
      <c r="C703" s="185" t="s">
        <v>435</v>
      </c>
      <c r="D703" s="185" t="s">
        <v>436</v>
      </c>
      <c r="E703" s="51" t="s">
        <v>261</v>
      </c>
      <c r="F703" s="30">
        <v>7.5</v>
      </c>
      <c r="G703" s="30">
        <v>2.5</v>
      </c>
      <c r="H703" s="30">
        <f t="shared" ref="H703" si="224">IF(G703&gt;0,(G703*1.5)+F703,"YOK")</f>
        <v>11.25</v>
      </c>
      <c r="I703" s="22" t="s">
        <v>104</v>
      </c>
      <c r="J703" s="31"/>
      <c r="K703" s="32">
        <v>0</v>
      </c>
      <c r="L703" s="32"/>
      <c r="M703" s="33">
        <v>1</v>
      </c>
      <c r="N703" s="33"/>
      <c r="O703" s="21"/>
      <c r="P703" s="21"/>
    </row>
    <row r="704" spans="1:18" s="52" customFormat="1" ht="39.950000000000003" customHeight="1">
      <c r="A704" s="9">
        <v>4</v>
      </c>
      <c r="B704" s="222">
        <v>4469</v>
      </c>
      <c r="C704" s="185" t="s">
        <v>434</v>
      </c>
      <c r="D704" s="185" t="s">
        <v>961</v>
      </c>
      <c r="E704" s="51" t="s">
        <v>260</v>
      </c>
      <c r="F704" s="30">
        <v>7.5</v>
      </c>
      <c r="G704" s="30">
        <v>2.5</v>
      </c>
      <c r="H704" s="30">
        <f t="shared" ref="H704:H705" si="225">IF(G704&gt;0,(G704*1.5)+F704,"YOK")</f>
        <v>11.25</v>
      </c>
      <c r="I704" s="22" t="s">
        <v>1354</v>
      </c>
      <c r="J704" s="31"/>
      <c r="K704" s="32">
        <v>0</v>
      </c>
      <c r="L704" s="32"/>
      <c r="M704" s="33">
        <v>1</v>
      </c>
      <c r="N704" s="33"/>
      <c r="O704" s="21"/>
      <c r="P704" s="21"/>
      <c r="Q704" s="21"/>
      <c r="R704" s="21"/>
    </row>
    <row r="705" spans="1:18" s="52" customFormat="1" ht="39.950000000000003" customHeight="1">
      <c r="A705" s="9">
        <v>5</v>
      </c>
      <c r="B705" s="207">
        <v>5904</v>
      </c>
      <c r="C705" s="185" t="s">
        <v>1449</v>
      </c>
      <c r="D705" s="185" t="s">
        <v>1450</v>
      </c>
      <c r="E705" s="51" t="s">
        <v>260</v>
      </c>
      <c r="F705" s="30">
        <v>7.5</v>
      </c>
      <c r="G705" s="30">
        <v>2.5</v>
      </c>
      <c r="H705" s="30">
        <f t="shared" si="225"/>
        <v>11.25</v>
      </c>
      <c r="I705" s="22" t="s">
        <v>1354</v>
      </c>
      <c r="J705" s="31"/>
      <c r="K705" s="32">
        <v>0</v>
      </c>
      <c r="L705" s="32"/>
      <c r="M705" s="33">
        <v>1</v>
      </c>
      <c r="N705" s="33"/>
      <c r="O705" s="21"/>
      <c r="P705" s="21"/>
    </row>
    <row r="706" spans="1:18" s="52" customFormat="1" ht="39.950000000000003" customHeight="1">
      <c r="A706" s="9">
        <v>6</v>
      </c>
      <c r="B706" s="207">
        <v>5609</v>
      </c>
      <c r="C706" s="185" t="s">
        <v>1011</v>
      </c>
      <c r="D706" s="50" t="s">
        <v>1012</v>
      </c>
      <c r="E706" s="51" t="s">
        <v>260</v>
      </c>
      <c r="F706" s="30">
        <v>0</v>
      </c>
      <c r="G706" s="30"/>
      <c r="H706" s="30"/>
      <c r="I706" s="22" t="s">
        <v>34</v>
      </c>
      <c r="J706" s="31"/>
      <c r="K706" s="32">
        <v>0</v>
      </c>
      <c r="L706" s="32"/>
      <c r="M706" s="33">
        <v>1</v>
      </c>
      <c r="N706" s="33"/>
      <c r="O706" s="21"/>
      <c r="P706" s="21"/>
    </row>
    <row r="707" spans="1:18" s="52" customFormat="1" ht="39.950000000000003" customHeight="1">
      <c r="A707" s="9">
        <v>7</v>
      </c>
      <c r="B707" s="207">
        <v>6475</v>
      </c>
      <c r="C707" s="185" t="s">
        <v>2606</v>
      </c>
      <c r="D707" s="50" t="s">
        <v>2607</v>
      </c>
      <c r="E707" s="51" t="s">
        <v>316</v>
      </c>
      <c r="F707" s="30">
        <v>7.5</v>
      </c>
      <c r="G707" s="30">
        <v>2.5</v>
      </c>
      <c r="H707" s="30">
        <f t="shared" ref="H707" si="226">IF(G707&gt;0,(G707*1.5)+F707,"YOK")</f>
        <v>11.25</v>
      </c>
      <c r="I707" s="22" t="s">
        <v>70</v>
      </c>
      <c r="J707" s="31"/>
      <c r="K707" s="32">
        <v>0</v>
      </c>
      <c r="L707" s="32"/>
      <c r="M707" s="33">
        <v>1</v>
      </c>
      <c r="N707" s="33"/>
      <c r="O707" s="21"/>
      <c r="P707" s="21"/>
      <c r="Q707" s="21"/>
    </row>
    <row r="708" spans="1:18" ht="39.950000000000003" customHeight="1">
      <c r="A708" s="40"/>
      <c r="B708" s="262" t="s">
        <v>1679</v>
      </c>
      <c r="C708" s="263"/>
      <c r="D708" s="264"/>
      <c r="E708" s="46"/>
      <c r="F708" s="41"/>
      <c r="G708" s="41"/>
      <c r="H708" s="41"/>
      <c r="I708" s="42"/>
      <c r="J708" s="43">
        <f>SUM(J701:J707)</f>
        <v>0</v>
      </c>
      <c r="K708" s="43">
        <f>SUM(K701:K707)</f>
        <v>0</v>
      </c>
      <c r="L708" s="43">
        <f>SUM(L701:L707)</f>
        <v>0</v>
      </c>
      <c r="M708" s="43">
        <f>SUM(M701:M707)</f>
        <v>7</v>
      </c>
      <c r="N708" s="33"/>
      <c r="O708" s="21"/>
      <c r="P708" s="21"/>
    </row>
    <row r="709" spans="1:18" s="52" customFormat="1" ht="39.950000000000003" customHeight="1">
      <c r="A709" s="9">
        <v>1</v>
      </c>
      <c r="B709" s="214">
        <v>5984</v>
      </c>
      <c r="C709" s="50" t="s">
        <v>1578</v>
      </c>
      <c r="D709" s="53" t="s">
        <v>1579</v>
      </c>
      <c r="E709" s="54" t="s">
        <v>256</v>
      </c>
      <c r="F709" s="30" t="s">
        <v>78</v>
      </c>
      <c r="G709" s="30"/>
      <c r="H709" s="30"/>
      <c r="I709" s="49" t="s">
        <v>255</v>
      </c>
      <c r="J709" s="31"/>
      <c r="K709" s="32">
        <v>1</v>
      </c>
      <c r="L709" s="32"/>
      <c r="M709" s="33"/>
      <c r="N709" s="33"/>
      <c r="O709" s="21"/>
      <c r="P709" s="21"/>
      <c r="R709" s="21"/>
    </row>
    <row r="710" spans="1:18" s="52" customFormat="1" ht="39.950000000000003" customHeight="1">
      <c r="A710" s="9">
        <v>2</v>
      </c>
      <c r="B710" s="214">
        <v>6066</v>
      </c>
      <c r="C710" s="50" t="s">
        <v>1751</v>
      </c>
      <c r="D710" s="53" t="s">
        <v>1752</v>
      </c>
      <c r="E710" s="54" t="s">
        <v>256</v>
      </c>
      <c r="F710" s="30" t="s">
        <v>78</v>
      </c>
      <c r="G710" s="30"/>
      <c r="H710" s="30"/>
      <c r="I710" s="49" t="s">
        <v>255</v>
      </c>
      <c r="J710" s="31"/>
      <c r="K710" s="32">
        <v>1</v>
      </c>
      <c r="L710" s="32"/>
      <c r="M710" s="33"/>
      <c r="N710" s="33"/>
      <c r="O710" s="21"/>
      <c r="P710" s="21"/>
      <c r="R710" s="21"/>
    </row>
    <row r="711" spans="1:18" s="52" customFormat="1" ht="39.950000000000003" customHeight="1">
      <c r="A711" s="9">
        <v>3</v>
      </c>
      <c r="B711" s="214">
        <v>6018</v>
      </c>
      <c r="C711" s="50" t="s">
        <v>1673</v>
      </c>
      <c r="D711" s="53" t="s">
        <v>1994</v>
      </c>
      <c r="E711" s="54" t="s">
        <v>306</v>
      </c>
      <c r="F711" s="30">
        <v>7.5</v>
      </c>
      <c r="G711" s="30">
        <v>2.5</v>
      </c>
      <c r="H711" s="30">
        <f t="shared" ref="H711:H712" si="227">IF(G711&gt;0,(G711*1.5)+F711,"YOK")</f>
        <v>11.25</v>
      </c>
      <c r="I711" s="49" t="s">
        <v>801</v>
      </c>
      <c r="J711" s="31"/>
      <c r="K711" s="32">
        <v>1</v>
      </c>
      <c r="L711" s="32"/>
      <c r="M711" s="33"/>
      <c r="N711" s="33"/>
      <c r="O711" s="21"/>
      <c r="P711" s="21"/>
      <c r="R711" s="21"/>
    </row>
    <row r="712" spans="1:18" s="52" customFormat="1" ht="39.950000000000003" customHeight="1">
      <c r="A712" s="9">
        <v>4</v>
      </c>
      <c r="B712" s="214">
        <v>6019</v>
      </c>
      <c r="C712" s="50" t="s">
        <v>1674</v>
      </c>
      <c r="D712" s="53" t="s">
        <v>1675</v>
      </c>
      <c r="E712" s="54" t="s">
        <v>306</v>
      </c>
      <c r="F712" s="30">
        <v>7.5</v>
      </c>
      <c r="G712" s="30">
        <v>2.5</v>
      </c>
      <c r="H712" s="30">
        <f t="shared" si="227"/>
        <v>11.25</v>
      </c>
      <c r="I712" s="49" t="s">
        <v>801</v>
      </c>
      <c r="J712" s="31"/>
      <c r="K712" s="32">
        <v>1</v>
      </c>
      <c r="L712" s="32"/>
      <c r="M712" s="33"/>
      <c r="N712" s="33"/>
      <c r="O712" s="21"/>
      <c r="P712" s="21"/>
      <c r="R712" s="21"/>
    </row>
    <row r="713" spans="1:18" s="52" customFormat="1" ht="39.950000000000003" customHeight="1">
      <c r="A713" s="9">
        <v>5</v>
      </c>
      <c r="B713" s="214">
        <v>6067</v>
      </c>
      <c r="C713" s="50" t="s">
        <v>1750</v>
      </c>
      <c r="D713" s="53" t="s">
        <v>1753</v>
      </c>
      <c r="E713" s="54" t="s">
        <v>306</v>
      </c>
      <c r="F713" s="30">
        <v>7.5</v>
      </c>
      <c r="G713" s="30">
        <v>2.5</v>
      </c>
      <c r="H713" s="30">
        <f t="shared" ref="H713" si="228">IF(G713&gt;0,(G713*1.5)+F713,"YOK")</f>
        <v>11.25</v>
      </c>
      <c r="I713" s="49" t="s">
        <v>801</v>
      </c>
      <c r="J713" s="31"/>
      <c r="K713" s="32">
        <v>1</v>
      </c>
      <c r="L713" s="32"/>
      <c r="M713" s="33"/>
      <c r="N713" s="33"/>
      <c r="O713" s="21"/>
      <c r="P713" s="21"/>
      <c r="R713" s="21"/>
    </row>
    <row r="714" spans="1:18" s="52" customFormat="1" ht="39.950000000000003" customHeight="1">
      <c r="A714" s="9">
        <v>6</v>
      </c>
      <c r="B714" s="214">
        <v>6020</v>
      </c>
      <c r="C714" s="50" t="s">
        <v>1676</v>
      </c>
      <c r="D714" s="53" t="s">
        <v>1677</v>
      </c>
      <c r="E714" s="54" t="s">
        <v>306</v>
      </c>
      <c r="F714" s="30">
        <v>7.5</v>
      </c>
      <c r="G714" s="30">
        <v>2.5</v>
      </c>
      <c r="H714" s="30">
        <f t="shared" ref="H714" si="229">IF(G714&gt;0,(G714*1.5)+F714,"YOK")</f>
        <v>11.25</v>
      </c>
      <c r="I714" s="49" t="s">
        <v>801</v>
      </c>
      <c r="J714" s="31"/>
      <c r="K714" s="32">
        <v>1</v>
      </c>
      <c r="L714" s="32"/>
      <c r="M714" s="33"/>
      <c r="N714" s="33"/>
      <c r="O714" s="21"/>
      <c r="P714" s="21"/>
      <c r="R714" s="21"/>
    </row>
    <row r="715" spans="1:18" s="52" customFormat="1" ht="39.950000000000003" customHeight="1">
      <c r="A715" s="9">
        <v>7</v>
      </c>
      <c r="B715" s="214">
        <v>6073</v>
      </c>
      <c r="C715" s="50" t="s">
        <v>1769</v>
      </c>
      <c r="D715" s="53" t="s">
        <v>1770</v>
      </c>
      <c r="E715" s="54" t="s">
        <v>306</v>
      </c>
      <c r="F715" s="30">
        <v>7.5</v>
      </c>
      <c r="G715" s="30">
        <v>2.5</v>
      </c>
      <c r="H715" s="30">
        <f t="shared" ref="H715" si="230">IF(G715&gt;0,(G715*1.5)+F715,"YOK")</f>
        <v>11.25</v>
      </c>
      <c r="I715" s="49" t="s">
        <v>801</v>
      </c>
      <c r="J715" s="31"/>
      <c r="K715" s="32">
        <v>1</v>
      </c>
      <c r="L715" s="32"/>
      <c r="M715" s="33"/>
      <c r="N715" s="33"/>
      <c r="O715" s="21"/>
      <c r="P715" s="21"/>
      <c r="R715" s="21"/>
    </row>
    <row r="716" spans="1:18" s="52" customFormat="1" ht="39.950000000000003" customHeight="1">
      <c r="A716" s="9">
        <v>8</v>
      </c>
      <c r="B716" s="214">
        <v>6074</v>
      </c>
      <c r="C716" s="50" t="s">
        <v>1771</v>
      </c>
      <c r="D716" s="53" t="s">
        <v>1772</v>
      </c>
      <c r="E716" s="54" t="s">
        <v>306</v>
      </c>
      <c r="F716" s="30">
        <v>7.5</v>
      </c>
      <c r="G716" s="30">
        <v>2.5</v>
      </c>
      <c r="H716" s="30">
        <f t="shared" ref="H716" si="231">IF(G716&gt;0,(G716*1.5)+F716,"YOK")</f>
        <v>11.25</v>
      </c>
      <c r="I716" s="49" t="s">
        <v>801</v>
      </c>
      <c r="J716" s="31"/>
      <c r="K716" s="32">
        <v>1</v>
      </c>
      <c r="L716" s="32"/>
      <c r="M716" s="33"/>
      <c r="N716" s="33"/>
      <c r="O716" s="21"/>
      <c r="P716" s="21"/>
      <c r="R716" s="21"/>
    </row>
    <row r="717" spans="1:18" s="52" customFormat="1" ht="39.950000000000003" customHeight="1">
      <c r="A717" s="9">
        <v>9</v>
      </c>
      <c r="B717" s="214">
        <v>6296</v>
      </c>
      <c r="C717" s="185" t="s">
        <v>2305</v>
      </c>
      <c r="D717" s="53" t="s">
        <v>2306</v>
      </c>
      <c r="E717" s="54" t="s">
        <v>306</v>
      </c>
      <c r="F717" s="30">
        <v>7.5</v>
      </c>
      <c r="G717" s="30">
        <v>2.5</v>
      </c>
      <c r="H717" s="30">
        <f t="shared" ref="H717" si="232">IF(G717&gt;0,(G717*1.5)+F717,"YOK")</f>
        <v>11.25</v>
      </c>
      <c r="I717" s="49" t="s">
        <v>801</v>
      </c>
      <c r="J717" s="31"/>
      <c r="K717" s="32">
        <v>1</v>
      </c>
      <c r="L717" s="32"/>
      <c r="M717" s="33"/>
      <c r="N717" s="33"/>
      <c r="O717" s="21"/>
      <c r="P717" s="21"/>
      <c r="R717" s="21"/>
    </row>
    <row r="718" spans="1:18" s="52" customFormat="1" ht="39.950000000000003" customHeight="1">
      <c r="A718" s="9">
        <v>10</v>
      </c>
      <c r="B718" s="214">
        <v>6314</v>
      </c>
      <c r="C718" s="185" t="s">
        <v>2334</v>
      </c>
      <c r="D718" s="53" t="s">
        <v>2335</v>
      </c>
      <c r="E718" s="54" t="s">
        <v>306</v>
      </c>
      <c r="F718" s="30">
        <v>7.5</v>
      </c>
      <c r="G718" s="30">
        <v>2.5</v>
      </c>
      <c r="H718" s="30">
        <f t="shared" ref="H718:H720" si="233">IF(G718&gt;0,(G718*1.5)+F718,"YOK")</f>
        <v>11.25</v>
      </c>
      <c r="I718" s="49" t="s">
        <v>801</v>
      </c>
      <c r="J718" s="31"/>
      <c r="K718" s="32">
        <v>1</v>
      </c>
      <c r="L718" s="32"/>
      <c r="M718" s="33"/>
      <c r="N718" s="33"/>
      <c r="O718" s="21"/>
      <c r="P718" s="21"/>
      <c r="R718" s="21"/>
    </row>
    <row r="719" spans="1:18" s="52" customFormat="1" ht="39.950000000000003" customHeight="1">
      <c r="A719" s="9">
        <v>11</v>
      </c>
      <c r="B719" s="214">
        <v>6315</v>
      </c>
      <c r="C719" s="185" t="s">
        <v>2336</v>
      </c>
      <c r="D719" s="53" t="s">
        <v>2337</v>
      </c>
      <c r="E719" s="54" t="s">
        <v>306</v>
      </c>
      <c r="F719" s="30">
        <v>7.5</v>
      </c>
      <c r="G719" s="30">
        <v>2.5</v>
      </c>
      <c r="H719" s="30">
        <f t="shared" ref="H719" si="234">IF(G719&gt;0,(G719*1.5)+F719,"YOK")</f>
        <v>11.25</v>
      </c>
      <c r="I719" s="49" t="s">
        <v>801</v>
      </c>
      <c r="J719" s="31"/>
      <c r="K719" s="32">
        <v>1</v>
      </c>
      <c r="L719" s="32"/>
      <c r="M719" s="33"/>
      <c r="N719" s="33"/>
      <c r="O719" s="21"/>
      <c r="P719" s="21"/>
      <c r="R719" s="21"/>
    </row>
    <row r="720" spans="1:18" s="52" customFormat="1" ht="39.950000000000003" customHeight="1">
      <c r="A720" s="9">
        <v>12</v>
      </c>
      <c r="B720" s="214">
        <v>6316</v>
      </c>
      <c r="C720" s="185" t="s">
        <v>2338</v>
      </c>
      <c r="D720" s="53" t="s">
        <v>2339</v>
      </c>
      <c r="E720" s="54" t="s">
        <v>306</v>
      </c>
      <c r="F720" s="30">
        <v>7.5</v>
      </c>
      <c r="G720" s="30">
        <v>2.5</v>
      </c>
      <c r="H720" s="30">
        <f t="shared" si="233"/>
        <v>11.25</v>
      </c>
      <c r="I720" s="49" t="s">
        <v>801</v>
      </c>
      <c r="J720" s="31"/>
      <c r="K720" s="32">
        <v>1</v>
      </c>
      <c r="L720" s="32"/>
      <c r="M720" s="33"/>
      <c r="N720" s="33"/>
      <c r="O720" s="21"/>
      <c r="P720" s="21"/>
      <c r="R720" s="21"/>
    </row>
    <row r="721" spans="1:18" s="52" customFormat="1" ht="39.950000000000003" customHeight="1">
      <c r="A721" s="9">
        <v>13</v>
      </c>
      <c r="B721" s="214">
        <v>6483</v>
      </c>
      <c r="C721" s="185" t="s">
        <v>2628</v>
      </c>
      <c r="D721" s="53" t="s">
        <v>2629</v>
      </c>
      <c r="E721" s="54" t="s">
        <v>306</v>
      </c>
      <c r="F721" s="30">
        <v>7.5</v>
      </c>
      <c r="G721" s="30">
        <v>2.5</v>
      </c>
      <c r="H721" s="30">
        <f t="shared" ref="H721" si="235">IF(G721&gt;0,(G721*1.5)+F721,"YOK")</f>
        <v>11.25</v>
      </c>
      <c r="I721" s="49" t="s">
        <v>801</v>
      </c>
      <c r="J721" s="31"/>
      <c r="K721" s="32">
        <v>1</v>
      </c>
      <c r="L721" s="32"/>
      <c r="M721" s="33"/>
      <c r="N721" s="33"/>
      <c r="O721" s="21"/>
      <c r="P721" s="21"/>
      <c r="R721" s="21"/>
    </row>
    <row r="722" spans="1:18" s="52" customFormat="1" ht="39.950000000000003" customHeight="1">
      <c r="A722" s="9">
        <v>14</v>
      </c>
      <c r="B722" s="214">
        <v>6484</v>
      </c>
      <c r="C722" s="185" t="s">
        <v>2630</v>
      </c>
      <c r="D722" s="53" t="s">
        <v>2631</v>
      </c>
      <c r="E722" s="54" t="s">
        <v>306</v>
      </c>
      <c r="F722" s="30">
        <v>7.5</v>
      </c>
      <c r="G722" s="30">
        <v>2.5</v>
      </c>
      <c r="H722" s="30">
        <f t="shared" ref="H722" si="236">IF(G722&gt;0,(G722*1.5)+F722,"YOK")</f>
        <v>11.25</v>
      </c>
      <c r="I722" s="49" t="s">
        <v>801</v>
      </c>
      <c r="J722" s="31"/>
      <c r="K722" s="32">
        <v>1</v>
      </c>
      <c r="L722" s="32"/>
      <c r="M722" s="33"/>
      <c r="N722" s="33"/>
      <c r="O722" s="21"/>
      <c r="P722" s="21"/>
      <c r="R722" s="21"/>
    </row>
    <row r="723" spans="1:18" s="52" customFormat="1" ht="39.950000000000003" customHeight="1">
      <c r="A723" s="9">
        <v>15</v>
      </c>
      <c r="B723" s="214">
        <v>6485</v>
      </c>
      <c r="C723" s="185" t="s">
        <v>2632</v>
      </c>
      <c r="D723" s="53" t="s">
        <v>2633</v>
      </c>
      <c r="E723" s="54" t="s">
        <v>306</v>
      </c>
      <c r="F723" s="30">
        <v>7.5</v>
      </c>
      <c r="G723" s="30">
        <v>2.5</v>
      </c>
      <c r="H723" s="30">
        <f t="shared" ref="H723" si="237">IF(G723&gt;0,(G723*1.5)+F723,"YOK")</f>
        <v>11.25</v>
      </c>
      <c r="I723" s="49" t="s">
        <v>801</v>
      </c>
      <c r="J723" s="31"/>
      <c r="K723" s="32">
        <v>1</v>
      </c>
      <c r="L723" s="32"/>
      <c r="M723" s="33"/>
      <c r="N723" s="33"/>
      <c r="O723" s="21"/>
      <c r="P723" s="21"/>
      <c r="R723" s="21"/>
    </row>
    <row r="724" spans="1:18" s="52" customFormat="1" ht="39.950000000000003" customHeight="1">
      <c r="A724" s="9">
        <v>16</v>
      </c>
      <c r="B724" s="214">
        <v>6486</v>
      </c>
      <c r="C724" s="185" t="s">
        <v>2634</v>
      </c>
      <c r="D724" s="53" t="s">
        <v>2635</v>
      </c>
      <c r="E724" s="54" t="s">
        <v>306</v>
      </c>
      <c r="F724" s="30">
        <v>7.5</v>
      </c>
      <c r="G724" s="30">
        <v>2.5</v>
      </c>
      <c r="H724" s="30">
        <f t="shared" ref="H724" si="238">IF(G724&gt;0,(G724*1.5)+F724,"YOK")</f>
        <v>11.25</v>
      </c>
      <c r="I724" s="49" t="s">
        <v>801</v>
      </c>
      <c r="J724" s="31"/>
      <c r="K724" s="32">
        <v>1</v>
      </c>
      <c r="L724" s="32"/>
      <c r="M724" s="33"/>
      <c r="N724" s="33"/>
      <c r="O724" s="21"/>
      <c r="P724" s="21"/>
      <c r="R724" s="21"/>
    </row>
    <row r="725" spans="1:18" s="52" customFormat="1" ht="39.950000000000003" customHeight="1">
      <c r="A725" s="9">
        <v>17</v>
      </c>
      <c r="B725" s="214">
        <v>6075</v>
      </c>
      <c r="C725" s="50" t="s">
        <v>1773</v>
      </c>
      <c r="D725" s="53" t="s">
        <v>1774</v>
      </c>
      <c r="E725" s="54" t="s">
        <v>1719</v>
      </c>
      <c r="F725" s="30">
        <v>7.5</v>
      </c>
      <c r="G725" s="30">
        <v>2.5</v>
      </c>
      <c r="H725" s="30">
        <f>IF(G725&gt;0,(G725*1.5)+F725,"YOK")</f>
        <v>11.25</v>
      </c>
      <c r="I725" s="49" t="s">
        <v>801</v>
      </c>
      <c r="J725" s="31"/>
      <c r="K725" s="32">
        <v>1</v>
      </c>
      <c r="L725" s="32"/>
      <c r="M725" s="33"/>
      <c r="N725" s="33"/>
      <c r="O725" s="21"/>
      <c r="P725" s="21"/>
      <c r="R725" s="21"/>
    </row>
    <row r="726" spans="1:18" s="52" customFormat="1" ht="39.950000000000003" customHeight="1">
      <c r="A726" s="9">
        <v>18</v>
      </c>
      <c r="B726" s="207">
        <v>6129</v>
      </c>
      <c r="C726" s="50" t="s">
        <v>483</v>
      </c>
      <c r="D726" s="50" t="s">
        <v>484</v>
      </c>
      <c r="E726" s="51" t="s">
        <v>259</v>
      </c>
      <c r="F726" s="30">
        <v>7.5</v>
      </c>
      <c r="G726" s="30">
        <v>2.5</v>
      </c>
      <c r="H726" s="30">
        <f>IF(G726&gt;0,(G726*1.5)+F726,"YOK")</f>
        <v>11.25</v>
      </c>
      <c r="I726" s="49" t="s">
        <v>801</v>
      </c>
      <c r="J726" s="31"/>
      <c r="K726" s="32">
        <v>1</v>
      </c>
      <c r="L726" s="32"/>
      <c r="M726" s="33"/>
      <c r="N726" s="33"/>
      <c r="O726" s="21"/>
      <c r="P726" s="21"/>
      <c r="R726" s="21"/>
    </row>
    <row r="727" spans="1:18" s="52" customFormat="1" ht="39.950000000000003" customHeight="1">
      <c r="A727" s="9">
        <v>19</v>
      </c>
      <c r="B727" s="207">
        <v>6610</v>
      </c>
      <c r="C727" s="185" t="s">
        <v>2884</v>
      </c>
      <c r="D727" s="50" t="s">
        <v>2885</v>
      </c>
      <c r="E727" s="51" t="s">
        <v>259</v>
      </c>
      <c r="F727" s="30">
        <v>7.5</v>
      </c>
      <c r="G727" s="30">
        <v>2.5</v>
      </c>
      <c r="H727" s="30">
        <f t="shared" ref="H727" si="239">IF(G727&gt;0,(G727*1.5)+F727,"YOK")</f>
        <v>11.25</v>
      </c>
      <c r="I727" s="49" t="s">
        <v>799</v>
      </c>
      <c r="J727" s="31"/>
      <c r="K727" s="32">
        <v>1</v>
      </c>
      <c r="L727" s="32"/>
      <c r="M727" s="33"/>
      <c r="N727" s="33"/>
      <c r="O727" s="21"/>
      <c r="P727" s="21"/>
      <c r="R727" s="21"/>
    </row>
    <row r="728" spans="1:18" s="52" customFormat="1" ht="39.950000000000003" customHeight="1">
      <c r="A728" s="9">
        <v>20</v>
      </c>
      <c r="B728" s="214">
        <v>6653</v>
      </c>
      <c r="C728" s="185" t="s">
        <v>2946</v>
      </c>
      <c r="D728" s="53" t="s">
        <v>2947</v>
      </c>
      <c r="E728" s="51" t="s">
        <v>259</v>
      </c>
      <c r="F728" s="30">
        <v>7.5</v>
      </c>
      <c r="G728" s="30">
        <v>2.5</v>
      </c>
      <c r="H728" s="30">
        <f t="shared" ref="H728" si="240">IF(G728&gt;0,(G728*1.5)+F728,"YOK")</f>
        <v>11.25</v>
      </c>
      <c r="I728" s="49" t="s">
        <v>799</v>
      </c>
      <c r="J728" s="31"/>
      <c r="K728" s="32">
        <v>1</v>
      </c>
      <c r="L728" s="32"/>
      <c r="M728" s="33"/>
      <c r="N728" s="33"/>
      <c r="O728" s="21"/>
      <c r="P728" s="21"/>
      <c r="R728" s="21"/>
    </row>
    <row r="729" spans="1:18" s="52" customFormat="1" ht="39.950000000000003" customHeight="1">
      <c r="A729" s="9">
        <v>21</v>
      </c>
      <c r="B729" s="223">
        <v>6669</v>
      </c>
      <c r="C729" s="185" t="s">
        <v>2948</v>
      </c>
      <c r="D729" s="53" t="s">
        <v>2949</v>
      </c>
      <c r="E729" s="51" t="s">
        <v>259</v>
      </c>
      <c r="F729" s="30">
        <v>7.5</v>
      </c>
      <c r="G729" s="30">
        <v>2.5</v>
      </c>
      <c r="H729" s="30">
        <f t="shared" ref="H729" si="241">IF(G729&gt;0,(G729*1.5)+F729,"YOK")</f>
        <v>11.25</v>
      </c>
      <c r="I729" s="49" t="s">
        <v>799</v>
      </c>
      <c r="J729" s="31"/>
      <c r="K729" s="32">
        <v>1</v>
      </c>
      <c r="L729" s="32"/>
      <c r="M729" s="33"/>
      <c r="N729" s="33"/>
      <c r="O729" s="21"/>
      <c r="P729" s="21"/>
      <c r="R729" s="21"/>
    </row>
    <row r="730" spans="1:18" s="52" customFormat="1" ht="39.950000000000003" customHeight="1">
      <c r="A730" s="9">
        <v>22</v>
      </c>
      <c r="B730" s="214">
        <v>6773</v>
      </c>
      <c r="C730" s="185" t="s">
        <v>3285</v>
      </c>
      <c r="D730" s="53" t="s">
        <v>3286</v>
      </c>
      <c r="E730" s="51" t="s">
        <v>259</v>
      </c>
      <c r="F730" s="30">
        <v>7.5</v>
      </c>
      <c r="G730" s="30">
        <v>2.5</v>
      </c>
      <c r="H730" s="30">
        <f t="shared" ref="H730:H732" si="242">IF(G730&gt;0,(G730*1.5)+F730,"YOK")</f>
        <v>11.25</v>
      </c>
      <c r="I730" s="49" t="s">
        <v>799</v>
      </c>
      <c r="J730" s="31"/>
      <c r="K730" s="32">
        <v>1</v>
      </c>
      <c r="L730" s="32"/>
      <c r="M730" s="33"/>
      <c r="N730" s="33"/>
      <c r="O730" s="21"/>
      <c r="P730" s="21"/>
      <c r="R730" s="21"/>
    </row>
    <row r="731" spans="1:18" s="52" customFormat="1" ht="39.950000000000003" customHeight="1">
      <c r="A731" s="9">
        <v>23</v>
      </c>
      <c r="B731" s="214">
        <v>6774</v>
      </c>
      <c r="C731" s="185" t="s">
        <v>3287</v>
      </c>
      <c r="D731" s="53" t="s">
        <v>3288</v>
      </c>
      <c r="E731" s="51" t="s">
        <v>259</v>
      </c>
      <c r="F731" s="30">
        <v>7.5</v>
      </c>
      <c r="G731" s="30">
        <v>2.5</v>
      </c>
      <c r="H731" s="30">
        <f t="shared" si="242"/>
        <v>11.25</v>
      </c>
      <c r="I731" s="49" t="s">
        <v>799</v>
      </c>
      <c r="J731" s="31"/>
      <c r="K731" s="32">
        <v>1</v>
      </c>
      <c r="L731" s="32"/>
      <c r="M731" s="33"/>
      <c r="N731" s="33"/>
      <c r="O731" s="21"/>
      <c r="P731" s="21"/>
      <c r="R731" s="21"/>
    </row>
    <row r="732" spans="1:18" s="52" customFormat="1" ht="39.950000000000003" customHeight="1">
      <c r="A732" s="9">
        <v>24</v>
      </c>
      <c r="B732" s="223">
        <v>6775</v>
      </c>
      <c r="C732" s="185" t="s">
        <v>3289</v>
      </c>
      <c r="D732" s="53" t="s">
        <v>3290</v>
      </c>
      <c r="E732" s="51" t="s">
        <v>259</v>
      </c>
      <c r="F732" s="30">
        <v>0</v>
      </c>
      <c r="G732" s="30">
        <v>0</v>
      </c>
      <c r="H732" s="30" t="str">
        <f t="shared" si="242"/>
        <v>YOK</v>
      </c>
      <c r="I732" s="49" t="s">
        <v>1185</v>
      </c>
      <c r="J732" s="31">
        <v>1</v>
      </c>
      <c r="K732" s="32">
        <v>0</v>
      </c>
      <c r="L732" s="32"/>
      <c r="M732" s="33"/>
      <c r="N732" s="33"/>
      <c r="O732" s="21"/>
      <c r="P732" s="21"/>
      <c r="R732" s="21"/>
    </row>
    <row r="733" spans="1:18" s="52" customFormat="1" ht="39.950000000000003" customHeight="1">
      <c r="A733" s="9">
        <v>25</v>
      </c>
      <c r="B733" s="223">
        <v>6788</v>
      </c>
      <c r="C733" s="185" t="s">
        <v>3390</v>
      </c>
      <c r="D733" s="53" t="s">
        <v>3391</v>
      </c>
      <c r="E733" s="51" t="s">
        <v>259</v>
      </c>
      <c r="F733" s="30">
        <v>0</v>
      </c>
      <c r="G733" s="30">
        <v>0</v>
      </c>
      <c r="H733" s="30" t="str">
        <f t="shared" ref="H733:H734" si="243">IF(G733&gt;0,(G733*1.5)+F733,"YOK")</f>
        <v>YOK</v>
      </c>
      <c r="I733" s="49" t="s">
        <v>1185</v>
      </c>
      <c r="J733" s="31">
        <v>1</v>
      </c>
      <c r="K733" s="32">
        <v>0</v>
      </c>
      <c r="L733" s="32"/>
      <c r="M733" s="33"/>
      <c r="N733" s="33"/>
      <c r="O733" s="21"/>
      <c r="P733" s="21"/>
      <c r="R733" s="21"/>
    </row>
    <row r="734" spans="1:18" s="52" customFormat="1" ht="39.950000000000003" customHeight="1">
      <c r="A734" s="9">
        <v>26</v>
      </c>
      <c r="B734" s="223">
        <v>6789</v>
      </c>
      <c r="C734" s="185" t="s">
        <v>3392</v>
      </c>
      <c r="D734" s="53" t="s">
        <v>3393</v>
      </c>
      <c r="E734" s="51" t="s">
        <v>259</v>
      </c>
      <c r="F734" s="30">
        <v>0</v>
      </c>
      <c r="G734" s="30">
        <v>0</v>
      </c>
      <c r="H734" s="30" t="str">
        <f t="shared" si="243"/>
        <v>YOK</v>
      </c>
      <c r="I734" s="49" t="s">
        <v>1185</v>
      </c>
      <c r="J734" s="31">
        <v>1</v>
      </c>
      <c r="K734" s="32">
        <v>0</v>
      </c>
      <c r="L734" s="32"/>
      <c r="M734" s="33"/>
      <c r="N734" s="33"/>
      <c r="O734" s="21"/>
      <c r="P734" s="21"/>
      <c r="R734" s="21"/>
    </row>
    <row r="735" spans="1:18" s="52" customFormat="1" ht="39.950000000000003" customHeight="1">
      <c r="A735" s="9">
        <v>27</v>
      </c>
      <c r="B735" s="223">
        <v>6790</v>
      </c>
      <c r="C735" s="185" t="s">
        <v>3394</v>
      </c>
      <c r="D735" s="53" t="s">
        <v>3395</v>
      </c>
      <c r="E735" s="51" t="s">
        <v>259</v>
      </c>
      <c r="F735" s="30">
        <v>7.5</v>
      </c>
      <c r="G735" s="30">
        <v>2.5</v>
      </c>
      <c r="H735" s="30">
        <f t="shared" ref="H735" si="244">IF(G735&gt;0,(G735*1.5)+F735,"YOK")</f>
        <v>11.25</v>
      </c>
      <c r="I735" s="49" t="s">
        <v>799</v>
      </c>
      <c r="J735" s="31"/>
      <c r="K735" s="32">
        <v>1</v>
      </c>
      <c r="L735" s="32"/>
      <c r="M735" s="33"/>
      <c r="N735" s="33"/>
      <c r="O735" s="21"/>
      <c r="P735" s="21"/>
      <c r="R735" s="21"/>
    </row>
    <row r="736" spans="1:18" s="52" customFormat="1" ht="39.950000000000003" customHeight="1">
      <c r="A736" s="9">
        <v>28</v>
      </c>
      <c r="B736" s="214">
        <v>6791</v>
      </c>
      <c r="C736" s="185" t="s">
        <v>3396</v>
      </c>
      <c r="D736" s="53" t="s">
        <v>3397</v>
      </c>
      <c r="E736" s="51" t="s">
        <v>259</v>
      </c>
      <c r="F736" s="30">
        <v>7.5</v>
      </c>
      <c r="G736" s="30">
        <v>2.5</v>
      </c>
      <c r="H736" s="30">
        <f t="shared" ref="H736:H740" si="245">IF(G736&gt;0,(G736*1.5)+F736,"YOK")</f>
        <v>11.25</v>
      </c>
      <c r="I736" s="49" t="s">
        <v>799</v>
      </c>
      <c r="J736" s="31"/>
      <c r="K736" s="32">
        <v>1</v>
      </c>
      <c r="L736" s="32"/>
      <c r="M736" s="33"/>
      <c r="N736" s="33"/>
      <c r="O736" s="21"/>
      <c r="P736" s="21"/>
      <c r="R736" s="21"/>
    </row>
    <row r="737" spans="1:18" s="52" customFormat="1" ht="39.950000000000003" customHeight="1">
      <c r="A737" s="9">
        <v>29</v>
      </c>
      <c r="B737" s="223">
        <v>6792</v>
      </c>
      <c r="C737" s="185" t="s">
        <v>3398</v>
      </c>
      <c r="D737" s="53" t="s">
        <v>3399</v>
      </c>
      <c r="E737" s="51" t="s">
        <v>259</v>
      </c>
      <c r="F737" s="30">
        <v>0</v>
      </c>
      <c r="G737" s="30">
        <v>0</v>
      </c>
      <c r="H737" s="30" t="str">
        <f t="shared" si="245"/>
        <v>YOK</v>
      </c>
      <c r="I737" s="49" t="s">
        <v>1185</v>
      </c>
      <c r="J737" s="31">
        <v>1</v>
      </c>
      <c r="K737" s="32">
        <v>0</v>
      </c>
      <c r="L737" s="32"/>
      <c r="M737" s="33"/>
      <c r="N737" s="33"/>
      <c r="O737" s="21"/>
      <c r="P737" s="21"/>
      <c r="R737" s="21"/>
    </row>
    <row r="738" spans="1:18" s="52" customFormat="1" ht="39.950000000000003" customHeight="1">
      <c r="A738" s="9">
        <v>30</v>
      </c>
      <c r="B738" s="214">
        <v>6793</v>
      </c>
      <c r="C738" s="185" t="s">
        <v>3400</v>
      </c>
      <c r="D738" s="53" t="s">
        <v>3401</v>
      </c>
      <c r="E738" s="51" t="s">
        <v>259</v>
      </c>
      <c r="F738" s="30">
        <v>7.5</v>
      </c>
      <c r="G738" s="30">
        <v>2.5</v>
      </c>
      <c r="H738" s="30">
        <f t="shared" si="245"/>
        <v>11.25</v>
      </c>
      <c r="I738" s="49" t="s">
        <v>799</v>
      </c>
      <c r="J738" s="31"/>
      <c r="K738" s="32">
        <v>1</v>
      </c>
      <c r="L738" s="32"/>
      <c r="M738" s="33"/>
      <c r="N738" s="33"/>
      <c r="O738" s="21"/>
      <c r="P738" s="21"/>
      <c r="R738" s="21"/>
    </row>
    <row r="739" spans="1:18" s="52" customFormat="1" ht="39.950000000000003" customHeight="1">
      <c r="A739" s="9">
        <v>31</v>
      </c>
      <c r="B739" s="214">
        <v>6794</v>
      </c>
      <c r="C739" s="185" t="s">
        <v>3402</v>
      </c>
      <c r="D739" s="53" t="s">
        <v>3403</v>
      </c>
      <c r="E739" s="51" t="s">
        <v>259</v>
      </c>
      <c r="F739" s="30">
        <v>7.5</v>
      </c>
      <c r="G739" s="30">
        <v>2.5</v>
      </c>
      <c r="H739" s="30">
        <f t="shared" si="245"/>
        <v>11.25</v>
      </c>
      <c r="I739" s="49" t="s">
        <v>799</v>
      </c>
      <c r="J739" s="31"/>
      <c r="K739" s="32">
        <v>1</v>
      </c>
      <c r="L739" s="32"/>
      <c r="M739" s="33"/>
      <c r="N739" s="33"/>
      <c r="O739" s="21"/>
      <c r="P739" s="21"/>
      <c r="R739" s="21"/>
    </row>
    <row r="740" spans="1:18" s="52" customFormat="1" ht="39.950000000000003" customHeight="1">
      <c r="A740" s="9">
        <v>32</v>
      </c>
      <c r="B740" s="214">
        <v>6798</v>
      </c>
      <c r="C740" s="185" t="s">
        <v>3404</v>
      </c>
      <c r="D740" s="53" t="s">
        <v>3405</v>
      </c>
      <c r="E740" s="51" t="s">
        <v>259</v>
      </c>
      <c r="F740" s="30">
        <v>7.5</v>
      </c>
      <c r="G740" s="30">
        <v>2.5</v>
      </c>
      <c r="H740" s="30">
        <f t="shared" si="245"/>
        <v>11.25</v>
      </c>
      <c r="I740" s="49" t="s">
        <v>799</v>
      </c>
      <c r="J740" s="31"/>
      <c r="K740" s="32">
        <v>1</v>
      </c>
      <c r="L740" s="32"/>
      <c r="M740" s="33"/>
      <c r="N740" s="33"/>
      <c r="O740" s="21"/>
      <c r="P740" s="21"/>
      <c r="R740" s="21"/>
    </row>
    <row r="741" spans="1:18" s="52" customFormat="1" ht="39.950000000000003" customHeight="1">
      <c r="A741" s="9">
        <v>33</v>
      </c>
      <c r="B741" s="214">
        <v>6829</v>
      </c>
      <c r="C741" s="185" t="s">
        <v>3622</v>
      </c>
      <c r="D741" s="53" t="s">
        <v>3623</v>
      </c>
      <c r="E741" s="51" t="s">
        <v>259</v>
      </c>
      <c r="F741" s="30">
        <v>7.5</v>
      </c>
      <c r="G741" s="30">
        <v>2.5</v>
      </c>
      <c r="H741" s="30">
        <f t="shared" ref="H741" si="246">IF(G741&gt;0,(G741*1.5)+F741,"YOK")</f>
        <v>11.25</v>
      </c>
      <c r="I741" s="49" t="s">
        <v>799</v>
      </c>
      <c r="J741" s="31"/>
      <c r="K741" s="32">
        <v>1</v>
      </c>
      <c r="L741" s="32"/>
      <c r="M741" s="33"/>
      <c r="N741" s="33"/>
      <c r="O741" s="21"/>
      <c r="P741" s="21"/>
      <c r="R741" s="21"/>
    </row>
    <row r="742" spans="1:18" s="52" customFormat="1" ht="39.950000000000003" customHeight="1">
      <c r="A742" s="9">
        <v>34</v>
      </c>
      <c r="B742" s="214">
        <v>6830</v>
      </c>
      <c r="C742" s="185" t="s">
        <v>3624</v>
      </c>
      <c r="D742" s="53" t="s">
        <v>3625</v>
      </c>
      <c r="E742" s="51" t="s">
        <v>259</v>
      </c>
      <c r="F742" s="30">
        <v>7.5</v>
      </c>
      <c r="G742" s="30">
        <v>2.5</v>
      </c>
      <c r="H742" s="30">
        <f t="shared" ref="H742" si="247">IF(G742&gt;0,(G742*1.5)+F742,"YOK")</f>
        <v>11.25</v>
      </c>
      <c r="I742" s="49" t="s">
        <v>799</v>
      </c>
      <c r="J742" s="31"/>
      <c r="K742" s="32">
        <v>1</v>
      </c>
      <c r="L742" s="32"/>
      <c r="M742" s="33"/>
      <c r="N742" s="33"/>
      <c r="O742" s="21"/>
      <c r="P742" s="21"/>
      <c r="R742" s="21"/>
    </row>
    <row r="743" spans="1:18" s="52" customFormat="1" ht="39.950000000000003" customHeight="1">
      <c r="A743" s="9">
        <v>35</v>
      </c>
      <c r="B743" s="214">
        <v>6842</v>
      </c>
      <c r="C743" s="185" t="s">
        <v>3637</v>
      </c>
      <c r="D743" s="53" t="s">
        <v>3638</v>
      </c>
      <c r="E743" s="51" t="s">
        <v>259</v>
      </c>
      <c r="F743" s="30">
        <v>7.5</v>
      </c>
      <c r="G743" s="30">
        <v>2.5</v>
      </c>
      <c r="H743" s="30">
        <f t="shared" ref="H743:H744" si="248">IF(G743&gt;0,(G743*1.5)+F743,"YOK")</f>
        <v>11.25</v>
      </c>
      <c r="I743" s="49" t="s">
        <v>799</v>
      </c>
      <c r="J743" s="31"/>
      <c r="K743" s="32">
        <v>1</v>
      </c>
      <c r="L743" s="32"/>
      <c r="M743" s="33"/>
      <c r="N743" s="33"/>
      <c r="O743" s="21"/>
      <c r="P743" s="21"/>
      <c r="R743" s="21"/>
    </row>
    <row r="744" spans="1:18" s="52" customFormat="1" ht="39.950000000000003" customHeight="1">
      <c r="A744" s="9">
        <v>36</v>
      </c>
      <c r="B744" s="223">
        <v>6063</v>
      </c>
      <c r="C744" s="50" t="s">
        <v>1754</v>
      </c>
      <c r="D744" s="53" t="s">
        <v>1755</v>
      </c>
      <c r="E744" s="54" t="s">
        <v>260</v>
      </c>
      <c r="F744" s="30">
        <v>0</v>
      </c>
      <c r="G744" s="30">
        <v>0</v>
      </c>
      <c r="H744" s="30" t="str">
        <f t="shared" si="248"/>
        <v>YOK</v>
      </c>
      <c r="I744" s="49" t="s">
        <v>1185</v>
      </c>
      <c r="J744" s="31">
        <v>1</v>
      </c>
      <c r="K744" s="32">
        <v>0</v>
      </c>
      <c r="L744" s="32"/>
      <c r="M744" s="33"/>
      <c r="N744" s="33"/>
      <c r="O744" s="21"/>
      <c r="P744" s="21"/>
      <c r="R744" s="21"/>
    </row>
    <row r="745" spans="1:18" s="52" customFormat="1" ht="39.950000000000003" customHeight="1">
      <c r="A745" s="9">
        <v>37</v>
      </c>
      <c r="B745" s="214">
        <v>6108</v>
      </c>
      <c r="C745" s="50" t="s">
        <v>1835</v>
      </c>
      <c r="D745" s="53" t="s">
        <v>1836</v>
      </c>
      <c r="E745" s="54" t="s">
        <v>260</v>
      </c>
      <c r="F745" s="30">
        <v>7.5</v>
      </c>
      <c r="G745" s="30">
        <v>2.5</v>
      </c>
      <c r="H745" s="30">
        <f t="shared" ref="H745" si="249">IF(G745&gt;0,(G745*1.5)+F745,"YOK")</f>
        <v>11.25</v>
      </c>
      <c r="I745" s="49" t="s">
        <v>799</v>
      </c>
      <c r="J745" s="31"/>
      <c r="K745" s="32">
        <v>1</v>
      </c>
      <c r="L745" s="32"/>
      <c r="M745" s="33"/>
      <c r="N745" s="33"/>
      <c r="O745" s="21"/>
      <c r="P745" s="21"/>
      <c r="R745" s="21"/>
    </row>
    <row r="746" spans="1:18" s="52" customFormat="1" ht="39.950000000000003" customHeight="1">
      <c r="A746" s="9">
        <v>38</v>
      </c>
      <c r="B746" s="214">
        <v>6107</v>
      </c>
      <c r="C746" s="50" t="s">
        <v>1837</v>
      </c>
      <c r="D746" s="53" t="s">
        <v>1838</v>
      </c>
      <c r="E746" s="54" t="s">
        <v>260</v>
      </c>
      <c r="F746" s="30">
        <v>7.5</v>
      </c>
      <c r="G746" s="30">
        <v>2.5</v>
      </c>
      <c r="H746" s="30">
        <f t="shared" ref="H746:H748" si="250">IF(G746&gt;0,(G746*1.5)+F746,"YOK")</f>
        <v>11.25</v>
      </c>
      <c r="I746" s="49" t="s">
        <v>799</v>
      </c>
      <c r="J746" s="31"/>
      <c r="K746" s="32">
        <v>1</v>
      </c>
      <c r="L746" s="32"/>
      <c r="M746" s="33"/>
      <c r="N746" s="33"/>
      <c r="O746" s="21"/>
      <c r="P746" s="21"/>
      <c r="R746" s="21"/>
    </row>
    <row r="747" spans="1:18" s="52" customFormat="1" ht="39.950000000000003" customHeight="1">
      <c r="A747" s="9">
        <v>39</v>
      </c>
      <c r="B747" s="223">
        <v>6139</v>
      </c>
      <c r="C747" s="185" t="s">
        <v>1898</v>
      </c>
      <c r="D747" s="53" t="s">
        <v>1899</v>
      </c>
      <c r="E747" s="54" t="s">
        <v>260</v>
      </c>
      <c r="F747" s="30">
        <v>0</v>
      </c>
      <c r="G747" s="30">
        <v>0</v>
      </c>
      <c r="H747" s="30" t="str">
        <f t="shared" si="250"/>
        <v>YOK</v>
      </c>
      <c r="I747" s="49" t="s">
        <v>1185</v>
      </c>
      <c r="J747" s="31">
        <v>1</v>
      </c>
      <c r="K747" s="32">
        <v>0</v>
      </c>
      <c r="L747" s="32"/>
      <c r="M747" s="33"/>
      <c r="N747" s="33"/>
      <c r="O747" s="21"/>
      <c r="P747" s="21"/>
      <c r="R747" s="21"/>
    </row>
    <row r="748" spans="1:18" s="52" customFormat="1" ht="39.950000000000003" customHeight="1">
      <c r="A748" s="9">
        <v>40</v>
      </c>
      <c r="B748" s="223">
        <v>6072</v>
      </c>
      <c r="C748" s="50" t="s">
        <v>1767</v>
      </c>
      <c r="D748" s="53" t="s">
        <v>1768</v>
      </c>
      <c r="E748" s="54" t="s">
        <v>260</v>
      </c>
      <c r="F748" s="30">
        <v>0</v>
      </c>
      <c r="G748" s="30">
        <v>0</v>
      </c>
      <c r="H748" s="30" t="str">
        <f t="shared" si="250"/>
        <v>YOK</v>
      </c>
      <c r="I748" s="49" t="s">
        <v>1185</v>
      </c>
      <c r="J748" s="31">
        <v>1</v>
      </c>
      <c r="K748" s="32">
        <v>0</v>
      </c>
      <c r="L748" s="32"/>
      <c r="M748" s="33"/>
      <c r="N748" s="33"/>
      <c r="O748" s="21"/>
      <c r="P748" s="21"/>
      <c r="R748" s="21"/>
    </row>
    <row r="749" spans="1:18" s="52" customFormat="1" ht="39.950000000000003" customHeight="1">
      <c r="A749" s="9">
        <v>41</v>
      </c>
      <c r="B749" s="214">
        <v>6253</v>
      </c>
      <c r="C749" s="50" t="s">
        <v>2196</v>
      </c>
      <c r="D749" s="53" t="s">
        <v>2197</v>
      </c>
      <c r="E749" s="54" t="s">
        <v>260</v>
      </c>
      <c r="F749" s="30">
        <v>7.5</v>
      </c>
      <c r="G749" s="30">
        <v>2.5</v>
      </c>
      <c r="H749" s="30">
        <f t="shared" ref="H749" si="251">IF(G749&gt;0,(G749*1.5)+F749,"YOK")</f>
        <v>11.25</v>
      </c>
      <c r="I749" s="49" t="s">
        <v>801</v>
      </c>
      <c r="J749" s="31"/>
      <c r="K749" s="32">
        <v>1</v>
      </c>
      <c r="L749" s="32"/>
      <c r="M749" s="33"/>
      <c r="N749" s="33"/>
      <c r="O749" s="21"/>
      <c r="P749" s="21"/>
      <c r="R749" s="21"/>
    </row>
    <row r="750" spans="1:18" s="52" customFormat="1" ht="39.950000000000003" customHeight="1">
      <c r="A750" s="9">
        <v>42</v>
      </c>
      <c r="B750" s="214">
        <v>6318</v>
      </c>
      <c r="C750" s="50" t="s">
        <v>2352</v>
      </c>
      <c r="D750" s="53" t="s">
        <v>2355</v>
      </c>
      <c r="E750" s="54" t="s">
        <v>260</v>
      </c>
      <c r="F750" s="30">
        <v>7.5</v>
      </c>
      <c r="G750" s="30">
        <v>2.5</v>
      </c>
      <c r="H750" s="30">
        <f t="shared" ref="H750" si="252">IF(G750&gt;0,(G750*1.5)+F750,"YOK")</f>
        <v>11.25</v>
      </c>
      <c r="I750" s="49" t="s">
        <v>801</v>
      </c>
      <c r="J750" s="31"/>
      <c r="K750" s="32">
        <v>1</v>
      </c>
      <c r="L750" s="32"/>
      <c r="M750" s="33"/>
      <c r="N750" s="33"/>
      <c r="O750" s="21"/>
      <c r="P750" s="21"/>
      <c r="R750" s="21"/>
    </row>
    <row r="751" spans="1:18" s="52" customFormat="1" ht="39.950000000000003" customHeight="1">
      <c r="A751" s="9">
        <v>43</v>
      </c>
      <c r="B751" s="214">
        <v>6319</v>
      </c>
      <c r="C751" s="50" t="s">
        <v>2353</v>
      </c>
      <c r="D751" s="53" t="s">
        <v>2356</v>
      </c>
      <c r="E751" s="54" t="s">
        <v>260</v>
      </c>
      <c r="F751" s="30">
        <v>7.5</v>
      </c>
      <c r="G751" s="30">
        <v>2.5</v>
      </c>
      <c r="H751" s="30">
        <f t="shared" ref="H751" si="253">IF(G751&gt;0,(G751*1.5)+F751,"YOK")</f>
        <v>11.25</v>
      </c>
      <c r="I751" s="49" t="s">
        <v>801</v>
      </c>
      <c r="J751" s="31"/>
      <c r="K751" s="32">
        <v>1</v>
      </c>
      <c r="L751" s="32"/>
      <c r="M751" s="33"/>
      <c r="N751" s="33"/>
      <c r="O751" s="21"/>
      <c r="P751" s="21"/>
      <c r="R751" s="21"/>
    </row>
    <row r="752" spans="1:18" s="52" customFormat="1" ht="39.950000000000003" customHeight="1">
      <c r="A752" s="9">
        <v>44</v>
      </c>
      <c r="B752" s="214">
        <v>6320</v>
      </c>
      <c r="C752" s="50" t="s">
        <v>2354</v>
      </c>
      <c r="D752" s="53" t="s">
        <v>2357</v>
      </c>
      <c r="E752" s="54" t="s">
        <v>260</v>
      </c>
      <c r="F752" s="30">
        <v>7.5</v>
      </c>
      <c r="G752" s="30">
        <v>2.5</v>
      </c>
      <c r="H752" s="30">
        <f t="shared" ref="H752" si="254">IF(G752&gt;0,(G752*1.5)+F752,"YOK")</f>
        <v>11.25</v>
      </c>
      <c r="I752" s="49" t="s">
        <v>801</v>
      </c>
      <c r="J752" s="31"/>
      <c r="K752" s="32">
        <v>1</v>
      </c>
      <c r="L752" s="32"/>
      <c r="M752" s="33"/>
      <c r="N752" s="33"/>
      <c r="O752" s="21"/>
      <c r="P752" s="21"/>
      <c r="R752" s="21"/>
    </row>
    <row r="753" spans="1:18" s="52" customFormat="1" ht="39.950000000000003" customHeight="1">
      <c r="A753" s="9">
        <v>45</v>
      </c>
      <c r="B753" s="214">
        <v>6348</v>
      </c>
      <c r="C753" s="50" t="s">
        <v>2412</v>
      </c>
      <c r="D753" s="53" t="s">
        <v>2411</v>
      </c>
      <c r="E753" s="54" t="s">
        <v>260</v>
      </c>
      <c r="F753" s="30">
        <v>7.5</v>
      </c>
      <c r="G753" s="30">
        <v>2.5</v>
      </c>
      <c r="H753" s="30">
        <f t="shared" ref="H753" si="255">IF(G753&gt;0,(G753*1.5)+F753,"YOK")</f>
        <v>11.25</v>
      </c>
      <c r="I753" s="49" t="s">
        <v>801</v>
      </c>
      <c r="J753" s="31"/>
      <c r="K753" s="32">
        <v>1</v>
      </c>
      <c r="L753" s="32"/>
      <c r="M753" s="33"/>
      <c r="N753" s="33"/>
      <c r="O753" s="21"/>
      <c r="P753" s="21"/>
      <c r="R753" s="21"/>
    </row>
    <row r="754" spans="1:18" s="52" customFormat="1" ht="39.950000000000003" customHeight="1">
      <c r="A754" s="9">
        <v>46</v>
      </c>
      <c r="B754" s="214">
        <v>6489</v>
      </c>
      <c r="C754" s="185" t="s">
        <v>2626</v>
      </c>
      <c r="D754" s="53" t="s">
        <v>2627</v>
      </c>
      <c r="E754" s="54" t="s">
        <v>260</v>
      </c>
      <c r="F754" s="30">
        <v>7.5</v>
      </c>
      <c r="G754" s="30">
        <v>2.5</v>
      </c>
      <c r="H754" s="30">
        <f t="shared" ref="H754" si="256">IF(G754&gt;0,(G754*1.5)+F754,"YOK")</f>
        <v>11.25</v>
      </c>
      <c r="I754" s="49" t="s">
        <v>801</v>
      </c>
      <c r="J754" s="31"/>
      <c r="K754" s="32">
        <v>1</v>
      </c>
      <c r="L754" s="32"/>
      <c r="M754" s="33"/>
      <c r="N754" s="33"/>
      <c r="O754" s="21"/>
      <c r="P754" s="21"/>
      <c r="R754" s="21"/>
    </row>
    <row r="755" spans="1:18" s="52" customFormat="1" ht="39.950000000000003" customHeight="1">
      <c r="A755" s="9">
        <v>47</v>
      </c>
      <c r="B755" s="214">
        <v>6563</v>
      </c>
      <c r="C755" s="185" t="s">
        <v>2794</v>
      </c>
      <c r="D755" s="53" t="s">
        <v>2795</v>
      </c>
      <c r="E755" s="54" t="s">
        <v>260</v>
      </c>
      <c r="F755" s="30">
        <v>7.5</v>
      </c>
      <c r="G755" s="30">
        <v>2.5</v>
      </c>
      <c r="H755" s="30">
        <f t="shared" ref="H755:H756" si="257">IF(G755&gt;0,(G755*1.5)+F755,"YOK")</f>
        <v>11.25</v>
      </c>
      <c r="I755" s="49" t="s">
        <v>801</v>
      </c>
      <c r="J755" s="31"/>
      <c r="K755" s="32">
        <v>1</v>
      </c>
      <c r="L755" s="32"/>
      <c r="M755" s="33"/>
      <c r="N755" s="33"/>
      <c r="O755" s="21"/>
      <c r="P755" s="21"/>
      <c r="R755" s="21"/>
    </row>
    <row r="756" spans="1:18" s="52" customFormat="1" ht="39.950000000000003" customHeight="1">
      <c r="A756" s="9">
        <v>48</v>
      </c>
      <c r="B756" s="214">
        <v>6564</v>
      </c>
      <c r="C756" s="185" t="s">
        <v>2796</v>
      </c>
      <c r="D756" s="53" t="s">
        <v>2797</v>
      </c>
      <c r="E756" s="54" t="s">
        <v>260</v>
      </c>
      <c r="F756" s="30">
        <v>7.5</v>
      </c>
      <c r="G756" s="30">
        <v>2.5</v>
      </c>
      <c r="H756" s="30">
        <f t="shared" si="257"/>
        <v>11.25</v>
      </c>
      <c r="I756" s="47" t="s">
        <v>132</v>
      </c>
      <c r="J756" s="31"/>
      <c r="K756" s="32">
        <v>1</v>
      </c>
      <c r="L756" s="32">
        <v>1</v>
      </c>
      <c r="M756" s="33"/>
      <c r="N756" s="33"/>
      <c r="O756" s="21"/>
      <c r="P756" s="21"/>
      <c r="R756" s="21"/>
    </row>
    <row r="757" spans="1:18" s="52" customFormat="1" ht="39.950000000000003" customHeight="1">
      <c r="A757" s="9">
        <v>49</v>
      </c>
      <c r="B757" s="214">
        <v>6664</v>
      </c>
      <c r="C757" s="185" t="s">
        <v>2950</v>
      </c>
      <c r="D757" s="53" t="s">
        <v>2951</v>
      </c>
      <c r="E757" s="54" t="s">
        <v>260</v>
      </c>
      <c r="F757" s="30">
        <v>7.5</v>
      </c>
      <c r="G757" s="30">
        <v>2.5</v>
      </c>
      <c r="H757" s="30">
        <f t="shared" ref="H757" si="258">IF(G757&gt;0,(G757*1.5)+F757,"YOK")</f>
        <v>11.25</v>
      </c>
      <c r="I757" s="49" t="s">
        <v>801</v>
      </c>
      <c r="J757" s="31"/>
      <c r="K757" s="32">
        <v>1</v>
      </c>
      <c r="L757" s="32"/>
      <c r="M757" s="33"/>
      <c r="N757" s="33"/>
      <c r="O757" s="21"/>
      <c r="P757" s="21"/>
      <c r="R757" s="21"/>
    </row>
    <row r="758" spans="1:18" s="52" customFormat="1" ht="39.950000000000003" customHeight="1">
      <c r="A758" s="9">
        <v>50</v>
      </c>
      <c r="B758" s="223">
        <v>6254</v>
      </c>
      <c r="C758" s="185" t="s">
        <v>2199</v>
      </c>
      <c r="D758" s="53" t="s">
        <v>2198</v>
      </c>
      <c r="E758" s="54" t="s">
        <v>260</v>
      </c>
      <c r="F758" s="30">
        <v>7.5</v>
      </c>
      <c r="G758" s="30">
        <v>2.5</v>
      </c>
      <c r="H758" s="30">
        <f t="shared" ref="H758" si="259">IF(G758&gt;0,(G758*1.5)+F758,"YOK")</f>
        <v>11.25</v>
      </c>
      <c r="I758" s="49" t="s">
        <v>801</v>
      </c>
      <c r="J758" s="31"/>
      <c r="K758" s="32">
        <v>1</v>
      </c>
      <c r="L758" s="32"/>
      <c r="M758" s="33"/>
      <c r="N758" s="33"/>
      <c r="O758" s="21"/>
      <c r="P758" s="21"/>
      <c r="R758" s="21"/>
    </row>
    <row r="759" spans="1:18" ht="39.950000000000003" customHeight="1">
      <c r="A759" s="40"/>
      <c r="B759" s="228"/>
      <c r="C759" s="234"/>
      <c r="D759" s="213" t="s">
        <v>437</v>
      </c>
      <c r="E759" s="46" t="s">
        <v>696</v>
      </c>
      <c r="F759" s="41"/>
      <c r="G759" s="41"/>
      <c r="H759" s="41"/>
      <c r="I759" s="42"/>
      <c r="J759" s="204">
        <f>SUM(J709:J758)</f>
        <v>7</v>
      </c>
      <c r="K759" s="204">
        <f>SUM(K709:K758)</f>
        <v>43</v>
      </c>
      <c r="L759" s="204">
        <f>SUM(L709:L758)</f>
        <v>1</v>
      </c>
      <c r="M759" s="204">
        <f>SUM(M709:M758)</f>
        <v>0</v>
      </c>
      <c r="N759" s="33"/>
      <c r="O759" s="21"/>
      <c r="P759" s="21"/>
    </row>
    <row r="760" spans="1:18" s="52" customFormat="1" ht="39.950000000000003" customHeight="1">
      <c r="A760" s="9">
        <v>1</v>
      </c>
      <c r="B760" s="222">
        <v>4980</v>
      </c>
      <c r="C760" s="50" t="s">
        <v>438</v>
      </c>
      <c r="D760" s="50" t="s">
        <v>439</v>
      </c>
      <c r="E760" s="190" t="s">
        <v>256</v>
      </c>
      <c r="F760" s="30" t="s">
        <v>17</v>
      </c>
      <c r="G760" s="30"/>
      <c r="H760" s="30"/>
      <c r="I760" s="49" t="s">
        <v>255</v>
      </c>
      <c r="J760" s="31"/>
      <c r="K760" s="32">
        <v>1</v>
      </c>
      <c r="L760" s="32"/>
      <c r="M760" s="33"/>
      <c r="N760" s="33"/>
      <c r="O760" s="21"/>
      <c r="P760" s="21"/>
      <c r="R760" s="21"/>
    </row>
    <row r="761" spans="1:18" s="52" customFormat="1" ht="39.950000000000003" customHeight="1">
      <c r="A761" s="9">
        <v>2</v>
      </c>
      <c r="B761" s="223">
        <v>4732</v>
      </c>
      <c r="C761" s="185" t="s">
        <v>471</v>
      </c>
      <c r="D761" s="53" t="s">
        <v>472</v>
      </c>
      <c r="E761" s="54" t="s">
        <v>256</v>
      </c>
      <c r="F761" s="13" t="s">
        <v>17</v>
      </c>
      <c r="G761" s="30"/>
      <c r="H761" s="30"/>
      <c r="I761" s="22" t="s">
        <v>70</v>
      </c>
      <c r="J761" s="31"/>
      <c r="K761" s="32">
        <v>0</v>
      </c>
      <c r="L761" s="32"/>
      <c r="M761" s="33">
        <v>1</v>
      </c>
      <c r="N761" s="33"/>
      <c r="O761" s="21"/>
      <c r="P761" s="21"/>
      <c r="R761" s="21"/>
    </row>
    <row r="762" spans="1:18" s="52" customFormat="1" ht="39.950000000000003" customHeight="1">
      <c r="A762" s="9">
        <v>3</v>
      </c>
      <c r="B762" s="223">
        <v>5878</v>
      </c>
      <c r="C762" s="50" t="s">
        <v>1390</v>
      </c>
      <c r="D762" s="53" t="s">
        <v>1391</v>
      </c>
      <c r="E762" s="54" t="s">
        <v>256</v>
      </c>
      <c r="F762" s="30" t="s">
        <v>17</v>
      </c>
      <c r="G762" s="30"/>
      <c r="H762" s="30"/>
      <c r="I762" s="49" t="s">
        <v>255</v>
      </c>
      <c r="J762" s="31"/>
      <c r="K762" s="32">
        <v>1</v>
      </c>
      <c r="L762" s="32"/>
      <c r="M762" s="33"/>
      <c r="N762" s="33"/>
      <c r="O762" s="21"/>
      <c r="P762" s="21"/>
      <c r="R762" s="21"/>
    </row>
    <row r="763" spans="1:18" s="52" customFormat="1" ht="39.950000000000003" customHeight="1">
      <c r="A763" s="9">
        <v>4</v>
      </c>
      <c r="B763" s="222">
        <v>5110</v>
      </c>
      <c r="C763" s="50" t="s">
        <v>440</v>
      </c>
      <c r="D763" s="50" t="s">
        <v>441</v>
      </c>
      <c r="E763" s="190" t="s">
        <v>259</v>
      </c>
      <c r="F763" s="30">
        <v>7.5</v>
      </c>
      <c r="G763" s="30">
        <v>2.5</v>
      </c>
      <c r="H763" s="30">
        <f t="shared" ref="H763" si="260">IF(G763&gt;0,(G763*1.5)+F763,"YOK")</f>
        <v>11.25</v>
      </c>
      <c r="I763" s="49" t="s">
        <v>799</v>
      </c>
      <c r="J763" s="31"/>
      <c r="K763" s="32">
        <v>1</v>
      </c>
      <c r="L763" s="32"/>
      <c r="M763" s="33"/>
      <c r="N763"/>
      <c r="O763" s="21"/>
      <c r="P763" s="21"/>
      <c r="R763" s="21"/>
    </row>
    <row r="764" spans="1:18" s="52" customFormat="1" ht="39.950000000000003" customHeight="1">
      <c r="A764" s="9">
        <v>5</v>
      </c>
      <c r="B764" s="222">
        <v>5106</v>
      </c>
      <c r="C764" s="50" t="s">
        <v>481</v>
      </c>
      <c r="D764" s="50" t="s">
        <v>482</v>
      </c>
      <c r="E764" s="51" t="s">
        <v>259</v>
      </c>
      <c r="F764" s="30">
        <v>7.5</v>
      </c>
      <c r="G764" s="30">
        <v>2.5</v>
      </c>
      <c r="H764" s="30">
        <f t="shared" ref="H764" si="261">IF(G764&gt;0,(G764*1.5)+F764,"YOK")</f>
        <v>11.25</v>
      </c>
      <c r="I764" s="49" t="s">
        <v>799</v>
      </c>
      <c r="J764" s="31"/>
      <c r="K764" s="32">
        <v>1</v>
      </c>
      <c r="L764" s="32"/>
      <c r="M764" s="33"/>
      <c r="N764" s="33"/>
      <c r="O764" s="21"/>
      <c r="P764" s="21"/>
      <c r="R764" s="21"/>
    </row>
    <row r="765" spans="1:18" s="52" customFormat="1" ht="39.950000000000003" customHeight="1">
      <c r="A765" s="9">
        <v>6</v>
      </c>
      <c r="B765" s="222">
        <v>5240</v>
      </c>
      <c r="C765" s="50" t="s">
        <v>485</v>
      </c>
      <c r="D765" s="50" t="s">
        <v>486</v>
      </c>
      <c r="E765" s="51" t="s">
        <v>259</v>
      </c>
      <c r="F765" s="30">
        <v>7.5</v>
      </c>
      <c r="G765" s="30">
        <v>2.5</v>
      </c>
      <c r="H765" s="30">
        <f t="shared" ref="H765" si="262">IF(G765&gt;0,(G765*1.5)+F765,"YOK")</f>
        <v>11.25</v>
      </c>
      <c r="I765" s="49" t="s">
        <v>799</v>
      </c>
      <c r="J765" s="31"/>
      <c r="K765" s="32">
        <v>1</v>
      </c>
      <c r="L765" s="32"/>
      <c r="M765" s="33"/>
      <c r="N765" s="33"/>
      <c r="O765" s="21"/>
      <c r="P765" s="21"/>
      <c r="R765" s="21"/>
    </row>
    <row r="766" spans="1:18" s="52" customFormat="1" ht="39.950000000000003" customHeight="1">
      <c r="A766" s="9">
        <v>7</v>
      </c>
      <c r="B766" s="222">
        <v>5407</v>
      </c>
      <c r="C766" s="50" t="s">
        <v>473</v>
      </c>
      <c r="D766" s="50" t="s">
        <v>474</v>
      </c>
      <c r="E766" s="51" t="s">
        <v>259</v>
      </c>
      <c r="F766" s="30">
        <v>7.5</v>
      </c>
      <c r="G766" s="30">
        <v>2.5</v>
      </c>
      <c r="H766" s="30">
        <f t="shared" ref="H766" si="263">IF(G766&gt;0,(G766*1.5)+F766,"YOK")</f>
        <v>11.25</v>
      </c>
      <c r="I766" s="49" t="s">
        <v>799</v>
      </c>
      <c r="J766" s="31"/>
      <c r="K766" s="32">
        <v>1</v>
      </c>
      <c r="L766" s="32"/>
      <c r="M766" s="33"/>
      <c r="N766" s="33"/>
      <c r="O766" s="21"/>
      <c r="P766" s="21"/>
      <c r="R766" s="21"/>
    </row>
    <row r="767" spans="1:18" s="52" customFormat="1" ht="39.950000000000003" customHeight="1">
      <c r="A767" s="9">
        <v>8</v>
      </c>
      <c r="B767" s="222">
        <v>4752</v>
      </c>
      <c r="C767" s="50" t="s">
        <v>477</v>
      </c>
      <c r="D767" s="50" t="s">
        <v>478</v>
      </c>
      <c r="E767" s="51" t="s">
        <v>259</v>
      </c>
      <c r="F767" s="30">
        <v>7.5</v>
      </c>
      <c r="G767" s="30">
        <v>2.5</v>
      </c>
      <c r="H767" s="30">
        <f t="shared" ref="H767" si="264">IF(G767&gt;0,(G767*1.5)+F767,"YOK")</f>
        <v>11.25</v>
      </c>
      <c r="I767" s="49" t="s">
        <v>799</v>
      </c>
      <c r="J767" s="31"/>
      <c r="K767" s="32">
        <v>1</v>
      </c>
      <c r="L767" s="32"/>
      <c r="M767" s="33"/>
      <c r="N767" s="33"/>
      <c r="O767" s="21"/>
      <c r="P767" s="21"/>
      <c r="R767" s="21"/>
    </row>
    <row r="768" spans="1:18" s="52" customFormat="1" ht="39.950000000000003" customHeight="1">
      <c r="A768" s="9">
        <v>9</v>
      </c>
      <c r="B768" s="222">
        <v>4756</v>
      </c>
      <c r="C768" s="50" t="s">
        <v>479</v>
      </c>
      <c r="D768" s="50" t="s">
        <v>480</v>
      </c>
      <c r="E768" s="51" t="s">
        <v>259</v>
      </c>
      <c r="F768" s="30">
        <v>7.5</v>
      </c>
      <c r="G768" s="30">
        <v>2.5</v>
      </c>
      <c r="H768" s="30">
        <f t="shared" ref="H768" si="265">IF(G768&gt;0,(G768*1.5)+F768,"YOK")</f>
        <v>11.25</v>
      </c>
      <c r="I768" s="49" t="s">
        <v>799</v>
      </c>
      <c r="J768" s="31"/>
      <c r="K768" s="32">
        <v>1</v>
      </c>
      <c r="L768" s="32"/>
      <c r="M768" s="33"/>
      <c r="N768" s="33"/>
      <c r="O768" s="21"/>
      <c r="P768" s="21"/>
      <c r="R768" s="21"/>
    </row>
    <row r="769" spans="1:18" s="52" customFormat="1" ht="39.950000000000003" customHeight="1">
      <c r="A769" s="9">
        <v>10</v>
      </c>
      <c r="B769" s="222">
        <v>4750</v>
      </c>
      <c r="C769" s="50" t="s">
        <v>475</v>
      </c>
      <c r="D769" s="50" t="s">
        <v>476</v>
      </c>
      <c r="E769" s="51" t="s">
        <v>259</v>
      </c>
      <c r="F769" s="30">
        <v>7.5</v>
      </c>
      <c r="G769" s="30">
        <v>2.5</v>
      </c>
      <c r="H769" s="30">
        <f t="shared" ref="H769" si="266">IF(G769&gt;0,(G769*1.5)+F769,"YOK")</f>
        <v>11.25</v>
      </c>
      <c r="I769" s="49" t="s">
        <v>799</v>
      </c>
      <c r="J769" s="31"/>
      <c r="K769" s="32">
        <v>1</v>
      </c>
      <c r="L769" s="32"/>
      <c r="M769" s="33"/>
      <c r="N769" s="33"/>
      <c r="O769" s="21"/>
      <c r="P769" s="21"/>
      <c r="R769" s="21"/>
    </row>
    <row r="770" spans="1:18" s="52" customFormat="1" ht="39.950000000000003" customHeight="1">
      <c r="A770" s="9">
        <v>11</v>
      </c>
      <c r="B770" s="222">
        <v>5118</v>
      </c>
      <c r="C770" s="50" t="s">
        <v>487</v>
      </c>
      <c r="D770" s="50" t="s">
        <v>488</v>
      </c>
      <c r="E770" s="51" t="s">
        <v>259</v>
      </c>
      <c r="F770" s="30">
        <v>0</v>
      </c>
      <c r="G770" s="30">
        <v>0</v>
      </c>
      <c r="H770" s="30" t="str">
        <f t="shared" ref="H770" si="267">IF(G770&gt;0,(G770*1.5)+F770,"YOK")</f>
        <v>YOK</v>
      </c>
      <c r="I770" s="49" t="s">
        <v>1185</v>
      </c>
      <c r="J770" s="31">
        <v>1</v>
      </c>
      <c r="K770" s="32">
        <v>0</v>
      </c>
      <c r="L770" s="32"/>
      <c r="M770" s="33"/>
      <c r="N770" s="33"/>
      <c r="O770" s="21"/>
      <c r="P770" s="21"/>
      <c r="R770" s="21"/>
    </row>
    <row r="771" spans="1:18" s="52" customFormat="1" ht="39.950000000000003" customHeight="1">
      <c r="A771" s="9">
        <v>12</v>
      </c>
      <c r="B771" s="223">
        <v>6646</v>
      </c>
      <c r="C771" s="185" t="s">
        <v>2952</v>
      </c>
      <c r="D771" s="238" t="s">
        <v>2953</v>
      </c>
      <c r="E771" s="51" t="s">
        <v>259</v>
      </c>
      <c r="F771" s="30">
        <v>7.5</v>
      </c>
      <c r="G771" s="30">
        <v>2.5</v>
      </c>
      <c r="H771" s="30">
        <f t="shared" ref="H771:H775" si="268">IF(G771&gt;0,(G771*1.5)+F771,"YOK")</f>
        <v>11.25</v>
      </c>
      <c r="I771" s="245" t="s">
        <v>799</v>
      </c>
      <c r="J771" s="31"/>
      <c r="K771" s="32">
        <v>1</v>
      </c>
      <c r="L771" s="32"/>
      <c r="M771" s="33"/>
      <c r="N771" s="33"/>
      <c r="O771" s="21"/>
      <c r="P771" s="21"/>
      <c r="R771" s="21"/>
    </row>
    <row r="772" spans="1:18" s="52" customFormat="1" ht="39.950000000000003" customHeight="1">
      <c r="A772" s="9">
        <v>13</v>
      </c>
      <c r="B772" s="223">
        <v>6647</v>
      </c>
      <c r="C772" s="185" t="s">
        <v>2954</v>
      </c>
      <c r="D772" s="53" t="s">
        <v>2955</v>
      </c>
      <c r="E772" s="51" t="s">
        <v>259</v>
      </c>
      <c r="F772" s="30">
        <v>7.5</v>
      </c>
      <c r="G772" s="30">
        <v>2.5</v>
      </c>
      <c r="H772" s="30">
        <f t="shared" si="268"/>
        <v>11.25</v>
      </c>
      <c r="I772" s="49" t="s">
        <v>799</v>
      </c>
      <c r="J772" s="31"/>
      <c r="K772" s="32">
        <v>1</v>
      </c>
      <c r="L772" s="32"/>
      <c r="M772" s="33"/>
      <c r="N772" s="33"/>
      <c r="O772" s="21"/>
      <c r="P772" s="21"/>
      <c r="R772" s="21"/>
    </row>
    <row r="773" spans="1:18" s="52" customFormat="1" ht="39.950000000000003" customHeight="1">
      <c r="A773" s="9">
        <v>14</v>
      </c>
      <c r="B773" s="223">
        <v>6648</v>
      </c>
      <c r="C773" s="185" t="s">
        <v>2956</v>
      </c>
      <c r="D773" s="53" t="s">
        <v>2957</v>
      </c>
      <c r="E773" s="51" t="s">
        <v>259</v>
      </c>
      <c r="F773" s="30">
        <v>7.5</v>
      </c>
      <c r="G773" s="30">
        <v>2.5</v>
      </c>
      <c r="H773" s="30">
        <f t="shared" si="268"/>
        <v>11.25</v>
      </c>
      <c r="I773" s="49" t="s">
        <v>799</v>
      </c>
      <c r="J773" s="31"/>
      <c r="K773" s="32">
        <v>1</v>
      </c>
      <c r="L773" s="32"/>
      <c r="M773" s="33"/>
      <c r="N773" s="33"/>
      <c r="O773" s="21"/>
      <c r="P773" s="21"/>
      <c r="R773" s="21"/>
    </row>
    <row r="774" spans="1:18" s="52" customFormat="1" ht="39.950000000000003" customHeight="1">
      <c r="A774" s="9">
        <v>15</v>
      </c>
      <c r="B774" s="223">
        <v>6649</v>
      </c>
      <c r="C774" s="185" t="s">
        <v>2958</v>
      </c>
      <c r="D774" s="53" t="s">
        <v>2960</v>
      </c>
      <c r="E774" s="51" t="s">
        <v>259</v>
      </c>
      <c r="F774" s="30">
        <v>7.5</v>
      </c>
      <c r="G774" s="30">
        <v>2.5</v>
      </c>
      <c r="H774" s="30">
        <f t="shared" ref="H774" si="269">IF(G774&gt;0,(G774*1.5)+F774,"YOK")</f>
        <v>11.25</v>
      </c>
      <c r="I774" s="49" t="s">
        <v>799</v>
      </c>
      <c r="J774" s="31"/>
      <c r="K774" s="32">
        <v>1</v>
      </c>
      <c r="L774" s="32"/>
      <c r="M774" s="33"/>
      <c r="N774" s="33"/>
      <c r="O774" s="21"/>
      <c r="P774" s="21"/>
      <c r="R774" s="21"/>
    </row>
    <row r="775" spans="1:18" s="52" customFormat="1" ht="39.950000000000003" customHeight="1">
      <c r="A775" s="9">
        <v>16</v>
      </c>
      <c r="B775" s="223">
        <v>6650</v>
      </c>
      <c r="C775" s="185" t="s">
        <v>2959</v>
      </c>
      <c r="D775" s="53" t="s">
        <v>2961</v>
      </c>
      <c r="E775" s="51" t="s">
        <v>259</v>
      </c>
      <c r="F775" s="30">
        <v>7.5</v>
      </c>
      <c r="G775" s="30">
        <v>2.5</v>
      </c>
      <c r="H775" s="30">
        <f t="shared" si="268"/>
        <v>11.25</v>
      </c>
      <c r="I775" s="49" t="s">
        <v>799</v>
      </c>
      <c r="J775" s="31"/>
      <c r="K775" s="32">
        <v>1</v>
      </c>
      <c r="L775" s="32"/>
      <c r="M775" s="33"/>
      <c r="N775" s="33"/>
      <c r="O775" s="21"/>
      <c r="P775" s="21"/>
      <c r="R775" s="21"/>
    </row>
    <row r="776" spans="1:18" s="52" customFormat="1" ht="39.950000000000003" customHeight="1">
      <c r="A776" s="9">
        <v>17</v>
      </c>
      <c r="B776" s="223">
        <v>6663</v>
      </c>
      <c r="C776" s="185" t="s">
        <v>2962</v>
      </c>
      <c r="D776" s="53" t="s">
        <v>2963</v>
      </c>
      <c r="E776" s="51" t="s">
        <v>259</v>
      </c>
      <c r="F776" s="30">
        <v>7.5</v>
      </c>
      <c r="G776" s="30">
        <v>2.5</v>
      </c>
      <c r="H776" s="30">
        <f t="shared" ref="H776" si="270">IF(G776&gt;0,(G776*1.5)+F776,"YOK")</f>
        <v>11.25</v>
      </c>
      <c r="I776" s="49" t="s">
        <v>799</v>
      </c>
      <c r="J776" s="31"/>
      <c r="K776" s="32">
        <v>1</v>
      </c>
      <c r="L776" s="32"/>
      <c r="M776" s="33"/>
      <c r="N776" s="33"/>
      <c r="O776" s="21"/>
      <c r="P776" s="21"/>
      <c r="R776" s="21"/>
    </row>
    <row r="777" spans="1:18" s="52" customFormat="1" ht="39.950000000000003" customHeight="1">
      <c r="A777" s="9">
        <v>18</v>
      </c>
      <c r="B777" s="223">
        <v>6716</v>
      </c>
      <c r="C777" s="185" t="s">
        <v>3187</v>
      </c>
      <c r="D777" s="53" t="s">
        <v>3188</v>
      </c>
      <c r="E777" s="51" t="s">
        <v>259</v>
      </c>
      <c r="F777" s="30">
        <v>7.5</v>
      </c>
      <c r="G777" s="30">
        <v>2.5</v>
      </c>
      <c r="H777" s="30">
        <f t="shared" ref="H777" si="271">IF(G777&gt;0,(G777*1.5)+F777,"YOK")</f>
        <v>11.25</v>
      </c>
      <c r="I777" s="49" t="s">
        <v>799</v>
      </c>
      <c r="J777" s="31"/>
      <c r="K777" s="32">
        <v>1</v>
      </c>
      <c r="L777" s="32"/>
      <c r="M777" s="33"/>
      <c r="N777" s="33"/>
      <c r="O777" s="21"/>
      <c r="P777" s="21"/>
      <c r="R777" s="21"/>
    </row>
    <row r="778" spans="1:18" s="52" customFormat="1" ht="39.950000000000003" customHeight="1">
      <c r="A778" s="9">
        <v>19</v>
      </c>
      <c r="B778" s="223">
        <v>6717</v>
      </c>
      <c r="C778" s="185" t="s">
        <v>3189</v>
      </c>
      <c r="D778" s="53" t="s">
        <v>3190</v>
      </c>
      <c r="E778" s="51" t="s">
        <v>259</v>
      </c>
      <c r="F778" s="30">
        <v>7.5</v>
      </c>
      <c r="G778" s="30">
        <v>2.5</v>
      </c>
      <c r="H778" s="30">
        <f t="shared" ref="H778" si="272">IF(G778&gt;0,(G778*1.5)+F778,"YOK")</f>
        <v>11.25</v>
      </c>
      <c r="I778" s="49" t="s">
        <v>799</v>
      </c>
      <c r="J778" s="31"/>
      <c r="K778" s="32">
        <v>1</v>
      </c>
      <c r="L778" s="32"/>
      <c r="M778" s="33"/>
      <c r="N778" s="33"/>
      <c r="O778" s="21"/>
      <c r="P778" s="21"/>
      <c r="R778" s="21"/>
    </row>
    <row r="779" spans="1:18" s="52" customFormat="1" ht="39.950000000000003" customHeight="1">
      <c r="A779" s="9">
        <v>20</v>
      </c>
      <c r="B779" s="223">
        <v>6769</v>
      </c>
      <c r="C779" s="185" t="s">
        <v>3279</v>
      </c>
      <c r="D779" s="53" t="s">
        <v>3280</v>
      </c>
      <c r="E779" s="51" t="s">
        <v>259</v>
      </c>
      <c r="F779" s="30">
        <v>7.5</v>
      </c>
      <c r="G779" s="30">
        <v>2.5</v>
      </c>
      <c r="H779" s="30">
        <f t="shared" ref="H779:H780" si="273">IF(G779&gt;0,(G779*1.5)+F779,"YOK")</f>
        <v>11.25</v>
      </c>
      <c r="I779" s="49" t="s">
        <v>799</v>
      </c>
      <c r="J779" s="31"/>
      <c r="K779" s="32">
        <v>1</v>
      </c>
      <c r="L779" s="32"/>
      <c r="M779" s="33"/>
      <c r="N779" s="33"/>
      <c r="O779" s="21"/>
      <c r="P779" s="21"/>
      <c r="R779" s="21"/>
    </row>
    <row r="780" spans="1:18" s="52" customFormat="1" ht="39.950000000000003" customHeight="1">
      <c r="A780" s="9">
        <v>21</v>
      </c>
      <c r="B780" s="223">
        <v>6770</v>
      </c>
      <c r="C780" s="185" t="s">
        <v>3281</v>
      </c>
      <c r="D780" s="53" t="s">
        <v>3282</v>
      </c>
      <c r="E780" s="51" t="s">
        <v>259</v>
      </c>
      <c r="F780" s="30">
        <v>7.5</v>
      </c>
      <c r="G780" s="30">
        <v>2.5</v>
      </c>
      <c r="H780" s="30">
        <f t="shared" si="273"/>
        <v>11.25</v>
      </c>
      <c r="I780" s="49" t="s">
        <v>799</v>
      </c>
      <c r="J780" s="31"/>
      <c r="K780" s="32">
        <v>1</v>
      </c>
      <c r="L780" s="32"/>
      <c r="M780" s="33"/>
      <c r="N780" s="33"/>
      <c r="O780" s="21"/>
      <c r="P780" s="21"/>
      <c r="R780" s="21"/>
    </row>
    <row r="781" spans="1:18" s="52" customFormat="1" ht="39.950000000000003" customHeight="1">
      <c r="A781" s="9">
        <v>22</v>
      </c>
      <c r="B781" s="223">
        <v>6814</v>
      </c>
      <c r="C781" s="185" t="s">
        <v>3592</v>
      </c>
      <c r="D781" s="53" t="s">
        <v>3593</v>
      </c>
      <c r="E781" s="51" t="s">
        <v>259</v>
      </c>
      <c r="F781" s="30">
        <v>7.5</v>
      </c>
      <c r="G781" s="30">
        <v>2.5</v>
      </c>
      <c r="H781" s="30">
        <f t="shared" ref="H781" si="274">IF(G781&gt;0,(G781*1.5)+F781,"YOK")</f>
        <v>11.25</v>
      </c>
      <c r="I781" s="49" t="s">
        <v>799</v>
      </c>
      <c r="J781" s="31"/>
      <c r="K781" s="32">
        <v>1</v>
      </c>
      <c r="L781" s="32"/>
      <c r="M781" s="33"/>
      <c r="N781" s="33"/>
      <c r="O781" s="21"/>
      <c r="P781" s="21"/>
      <c r="R781" s="21"/>
    </row>
    <row r="782" spans="1:18" s="52" customFormat="1" ht="39.950000000000003" customHeight="1">
      <c r="A782" s="9">
        <v>23</v>
      </c>
      <c r="B782" s="223">
        <v>5195</v>
      </c>
      <c r="C782" s="50" t="s">
        <v>489</v>
      </c>
      <c r="D782" s="53" t="s">
        <v>490</v>
      </c>
      <c r="E782" s="51" t="s">
        <v>316</v>
      </c>
      <c r="F782" s="30">
        <v>7.5</v>
      </c>
      <c r="G782" s="30">
        <v>2.5</v>
      </c>
      <c r="H782" s="30">
        <f t="shared" ref="H782:H783" si="275">IF(G782&gt;0,(G782*1.5)+F782,"YOK")</f>
        <v>11.25</v>
      </c>
      <c r="I782" s="49" t="s">
        <v>800</v>
      </c>
      <c r="J782" s="31"/>
      <c r="K782" s="32">
        <v>1</v>
      </c>
      <c r="L782" s="32"/>
      <c r="M782" s="33"/>
      <c r="N782" s="33"/>
      <c r="O782" s="21"/>
      <c r="P782" s="21"/>
      <c r="R782" s="21"/>
    </row>
    <row r="783" spans="1:18" s="52" customFormat="1" ht="39.950000000000003" customHeight="1">
      <c r="A783" s="9">
        <v>24</v>
      </c>
      <c r="B783" s="222">
        <v>5196</v>
      </c>
      <c r="C783" s="50" t="s">
        <v>491</v>
      </c>
      <c r="D783" s="50" t="s">
        <v>492</v>
      </c>
      <c r="E783" s="51" t="s">
        <v>316</v>
      </c>
      <c r="F783" s="30">
        <v>7.5</v>
      </c>
      <c r="G783" s="30">
        <v>2.5</v>
      </c>
      <c r="H783" s="30">
        <f t="shared" si="275"/>
        <v>11.25</v>
      </c>
      <c r="I783" s="49" t="s">
        <v>800</v>
      </c>
      <c r="J783" s="31"/>
      <c r="K783" s="32">
        <v>1</v>
      </c>
      <c r="L783" s="32"/>
      <c r="M783" s="33"/>
      <c r="N783" s="33"/>
      <c r="O783" s="21"/>
      <c r="P783" s="21"/>
      <c r="R783" s="21"/>
    </row>
    <row r="784" spans="1:18" s="52" customFormat="1" ht="39.950000000000003" customHeight="1">
      <c r="A784" s="9">
        <v>25</v>
      </c>
      <c r="B784" s="222">
        <v>5628</v>
      </c>
      <c r="C784" s="50" t="s">
        <v>1044</v>
      </c>
      <c r="D784" s="50" t="s">
        <v>1045</v>
      </c>
      <c r="E784" s="51" t="s">
        <v>316</v>
      </c>
      <c r="F784" s="30">
        <v>7.5</v>
      </c>
      <c r="G784" s="30">
        <v>2.5</v>
      </c>
      <c r="H784" s="30">
        <f t="shared" ref="H784:H806" si="276">IF(G784&gt;0,(G784*1.5)+F784,"YOK")</f>
        <v>11.25</v>
      </c>
      <c r="I784" s="49" t="s">
        <v>800</v>
      </c>
      <c r="J784" s="31"/>
      <c r="K784" s="32">
        <v>1</v>
      </c>
      <c r="L784" s="32"/>
      <c r="M784" s="33"/>
      <c r="N784" s="33"/>
      <c r="O784" s="21"/>
      <c r="P784" s="21"/>
      <c r="R784" s="21"/>
    </row>
    <row r="785" spans="1:18" s="52" customFormat="1" ht="39.950000000000003" customHeight="1">
      <c r="A785" s="9">
        <v>26</v>
      </c>
      <c r="B785" s="222">
        <v>5843</v>
      </c>
      <c r="C785" s="50" t="s">
        <v>1325</v>
      </c>
      <c r="D785" s="50" t="s">
        <v>1324</v>
      </c>
      <c r="E785" s="51" t="s">
        <v>316</v>
      </c>
      <c r="F785" s="30">
        <v>7.5</v>
      </c>
      <c r="G785" s="30">
        <v>2.5</v>
      </c>
      <c r="H785" s="30">
        <f t="shared" ref="H785" si="277">IF(G785&gt;0,(G785*1.5)+F785,"YOK")</f>
        <v>11.25</v>
      </c>
      <c r="I785" s="49" t="s">
        <v>800</v>
      </c>
      <c r="J785" s="31"/>
      <c r="K785" s="32">
        <v>1</v>
      </c>
      <c r="L785" s="32"/>
      <c r="M785" s="33"/>
      <c r="N785" s="33"/>
      <c r="O785" s="21"/>
      <c r="P785" s="21"/>
      <c r="R785" s="21"/>
    </row>
    <row r="786" spans="1:18" s="52" customFormat="1" ht="39.950000000000003" customHeight="1">
      <c r="A786" s="9">
        <v>27</v>
      </c>
      <c r="B786" s="222">
        <v>6298</v>
      </c>
      <c r="C786" s="185" t="s">
        <v>2312</v>
      </c>
      <c r="D786" s="50" t="s">
        <v>2307</v>
      </c>
      <c r="E786" s="51" t="s">
        <v>316</v>
      </c>
      <c r="F786" s="30">
        <v>7.5</v>
      </c>
      <c r="G786" s="30">
        <v>2.5</v>
      </c>
      <c r="H786" s="30">
        <f t="shared" ref="H786" si="278">IF(G786&gt;0,(G786*1.5)+F786,"YOK")</f>
        <v>11.25</v>
      </c>
      <c r="I786" s="49" t="s">
        <v>800</v>
      </c>
      <c r="J786" s="31"/>
      <c r="K786" s="32">
        <v>1</v>
      </c>
      <c r="L786" s="32"/>
      <c r="M786" s="33"/>
      <c r="N786" s="33"/>
      <c r="O786" s="21"/>
      <c r="P786" s="21"/>
      <c r="R786" s="21"/>
    </row>
    <row r="787" spans="1:18" s="52" customFormat="1" ht="39.950000000000003" customHeight="1">
      <c r="A787" s="9">
        <v>28</v>
      </c>
      <c r="B787" s="222">
        <v>6297</v>
      </c>
      <c r="C787" s="185" t="s">
        <v>2311</v>
      </c>
      <c r="D787" s="50" t="s">
        <v>2308</v>
      </c>
      <c r="E787" s="51" t="s">
        <v>316</v>
      </c>
      <c r="F787" s="30">
        <v>7.5</v>
      </c>
      <c r="G787" s="30">
        <v>2.5</v>
      </c>
      <c r="H787" s="30">
        <f t="shared" ref="H787:H789" si="279">IF(G787&gt;0,(G787*1.5)+F787,"YOK")</f>
        <v>11.25</v>
      </c>
      <c r="I787" s="49" t="s">
        <v>800</v>
      </c>
      <c r="J787" s="31"/>
      <c r="K787" s="32">
        <v>1</v>
      </c>
      <c r="L787" s="32"/>
      <c r="M787" s="33"/>
      <c r="N787" s="33"/>
      <c r="O787" s="21"/>
      <c r="P787" s="21"/>
      <c r="R787" s="21"/>
    </row>
    <row r="788" spans="1:18" s="52" customFormat="1" ht="39.950000000000003" customHeight="1">
      <c r="A788" s="9">
        <v>29</v>
      </c>
      <c r="B788" s="222">
        <v>6280</v>
      </c>
      <c r="C788" s="185" t="s">
        <v>2310</v>
      </c>
      <c r="D788" s="50" t="s">
        <v>2309</v>
      </c>
      <c r="E788" s="51" t="s">
        <v>316</v>
      </c>
      <c r="F788" s="30">
        <v>7.5</v>
      </c>
      <c r="G788" s="30">
        <v>2.5</v>
      </c>
      <c r="H788" s="30">
        <f t="shared" ref="H788" si="280">IF(G788&gt;0,(G788*1.5)+F788,"YOK")</f>
        <v>11.25</v>
      </c>
      <c r="I788" s="49" t="s">
        <v>800</v>
      </c>
      <c r="J788" s="31"/>
      <c r="K788" s="32">
        <v>1</v>
      </c>
      <c r="L788" s="32"/>
      <c r="M788" s="33"/>
      <c r="N788" s="33"/>
      <c r="O788" s="21"/>
      <c r="P788" s="21"/>
      <c r="R788" s="21"/>
    </row>
    <row r="789" spans="1:18" s="52" customFormat="1" ht="39.950000000000003" customHeight="1">
      <c r="A789" s="9">
        <v>30</v>
      </c>
      <c r="B789" s="222">
        <v>6281</v>
      </c>
      <c r="C789" s="185" t="s">
        <v>2314</v>
      </c>
      <c r="D789" s="50" t="s">
        <v>2315</v>
      </c>
      <c r="E789" s="51" t="s">
        <v>316</v>
      </c>
      <c r="F789" s="30">
        <v>7.5</v>
      </c>
      <c r="G789" s="30">
        <v>2.5</v>
      </c>
      <c r="H789" s="30">
        <f t="shared" si="279"/>
        <v>11.25</v>
      </c>
      <c r="I789" s="49" t="s">
        <v>800</v>
      </c>
      <c r="J789" s="31"/>
      <c r="K789" s="32">
        <v>1</v>
      </c>
      <c r="L789" s="32"/>
      <c r="M789" s="33"/>
      <c r="N789" s="33"/>
      <c r="O789" s="21"/>
      <c r="P789" s="21"/>
      <c r="R789" s="21"/>
    </row>
    <row r="790" spans="1:18" s="52" customFormat="1" ht="39.950000000000003" customHeight="1">
      <c r="A790" s="9">
        <v>31</v>
      </c>
      <c r="B790" s="222">
        <v>6325</v>
      </c>
      <c r="C790" s="185" t="s">
        <v>2359</v>
      </c>
      <c r="D790" s="50" t="s">
        <v>2358</v>
      </c>
      <c r="E790" s="51" t="s">
        <v>316</v>
      </c>
      <c r="F790" s="30">
        <v>7.5</v>
      </c>
      <c r="G790" s="30">
        <v>2.5</v>
      </c>
      <c r="H790" s="30">
        <f t="shared" ref="H790" si="281">IF(G790&gt;0,(G790*1.5)+F790,"YOK")</f>
        <v>11.25</v>
      </c>
      <c r="I790" s="49" t="s">
        <v>800</v>
      </c>
      <c r="J790" s="31"/>
      <c r="K790" s="32">
        <v>1</v>
      </c>
      <c r="L790" s="32"/>
      <c r="M790" s="33"/>
      <c r="N790" s="33"/>
      <c r="O790" s="21"/>
      <c r="P790" s="21"/>
      <c r="R790" s="21"/>
    </row>
    <row r="791" spans="1:18" s="52" customFormat="1" ht="39.950000000000003" customHeight="1">
      <c r="A791" s="9">
        <v>32</v>
      </c>
      <c r="B791" s="222">
        <v>6512</v>
      </c>
      <c r="C791" s="185" t="s">
        <v>2636</v>
      </c>
      <c r="D791" s="50" t="s">
        <v>2637</v>
      </c>
      <c r="E791" s="51" t="s">
        <v>316</v>
      </c>
      <c r="F791" s="30">
        <v>7.5</v>
      </c>
      <c r="G791" s="30">
        <v>2.5</v>
      </c>
      <c r="H791" s="30">
        <f t="shared" ref="H791" si="282">IF(G791&gt;0,(G791*1.5)+F791,"YOK")</f>
        <v>11.25</v>
      </c>
      <c r="I791" s="49" t="s">
        <v>800</v>
      </c>
      <c r="J791" s="31"/>
      <c r="K791" s="32">
        <v>1</v>
      </c>
      <c r="L791" s="32"/>
      <c r="M791" s="33"/>
      <c r="N791" s="33"/>
      <c r="O791" s="21"/>
      <c r="P791" s="21"/>
      <c r="R791" s="21"/>
    </row>
    <row r="792" spans="1:18" s="52" customFormat="1" ht="39.950000000000003" customHeight="1">
      <c r="A792" s="9">
        <v>33</v>
      </c>
      <c r="B792" s="222">
        <v>6514</v>
      </c>
      <c r="C792" s="185" t="s">
        <v>2638</v>
      </c>
      <c r="D792" s="50" t="s">
        <v>2639</v>
      </c>
      <c r="E792" s="51" t="s">
        <v>316</v>
      </c>
      <c r="F792" s="30">
        <v>7.5</v>
      </c>
      <c r="G792" s="30">
        <v>2.5</v>
      </c>
      <c r="H792" s="30">
        <f t="shared" ref="H792" si="283">IF(G792&gt;0,(G792*1.5)+F792,"YOK")</f>
        <v>11.25</v>
      </c>
      <c r="I792" s="49" t="s">
        <v>800</v>
      </c>
      <c r="J792" s="31"/>
      <c r="K792" s="32">
        <v>1</v>
      </c>
      <c r="L792" s="32"/>
      <c r="M792" s="33"/>
      <c r="N792" s="33"/>
      <c r="O792" s="21"/>
      <c r="P792" s="21"/>
      <c r="R792" s="21"/>
    </row>
    <row r="793" spans="1:18" s="52" customFormat="1" ht="39.950000000000003" customHeight="1">
      <c r="A793" s="9">
        <v>34</v>
      </c>
      <c r="B793" s="222">
        <v>6515</v>
      </c>
      <c r="C793" s="185" t="s">
        <v>2641</v>
      </c>
      <c r="D793" s="50" t="s">
        <v>2640</v>
      </c>
      <c r="E793" s="190" t="s">
        <v>316</v>
      </c>
      <c r="F793" s="30">
        <v>7.5</v>
      </c>
      <c r="G793" s="30">
        <v>2.5</v>
      </c>
      <c r="H793" s="30">
        <f t="shared" ref="H793" si="284">IF(G793&gt;0,(G793*1.5)+F793,"YOK")</f>
        <v>11.25</v>
      </c>
      <c r="I793" s="49" t="s">
        <v>800</v>
      </c>
      <c r="J793" s="31"/>
      <c r="K793" s="32">
        <v>1</v>
      </c>
      <c r="L793" s="32"/>
      <c r="M793" s="33"/>
      <c r="N793" s="33"/>
      <c r="O793" s="21"/>
      <c r="P793" s="21"/>
      <c r="R793" s="21"/>
    </row>
    <row r="794" spans="1:18" s="52" customFormat="1" ht="39.950000000000003" customHeight="1">
      <c r="A794" s="9">
        <v>35</v>
      </c>
      <c r="B794" s="222">
        <v>6516</v>
      </c>
      <c r="C794" s="185" t="s">
        <v>2642</v>
      </c>
      <c r="D794" s="50" t="s">
        <v>2643</v>
      </c>
      <c r="E794" s="190" t="s">
        <v>316</v>
      </c>
      <c r="F794" s="30">
        <v>7.5</v>
      </c>
      <c r="G794" s="30">
        <v>2.5</v>
      </c>
      <c r="H794" s="30">
        <f t="shared" ref="H794:H796" si="285">IF(G794&gt;0,(G794*1.5)+F794,"YOK")</f>
        <v>11.25</v>
      </c>
      <c r="I794" s="49" t="s">
        <v>800</v>
      </c>
      <c r="J794" s="31"/>
      <c r="K794" s="32">
        <v>1</v>
      </c>
      <c r="L794" s="32"/>
      <c r="M794" s="33"/>
      <c r="N794" s="33"/>
      <c r="O794" s="21"/>
      <c r="P794" s="21"/>
      <c r="R794" s="21"/>
    </row>
    <row r="795" spans="1:18" s="52" customFormat="1" ht="39.950000000000003" customHeight="1">
      <c r="A795" s="9">
        <v>36</v>
      </c>
      <c r="B795" s="222">
        <v>6517</v>
      </c>
      <c r="C795" s="185" t="s">
        <v>2644</v>
      </c>
      <c r="D795" s="50" t="s">
        <v>2645</v>
      </c>
      <c r="E795" s="190" t="s">
        <v>316</v>
      </c>
      <c r="F795" s="30">
        <v>7.5</v>
      </c>
      <c r="G795" s="30">
        <v>2.5</v>
      </c>
      <c r="H795" s="30">
        <f t="shared" ref="H795" si="286">IF(G795&gt;0,(G795*1.5)+F795,"YOK")</f>
        <v>11.25</v>
      </c>
      <c r="I795" s="49" t="s">
        <v>800</v>
      </c>
      <c r="J795" s="31"/>
      <c r="K795" s="32">
        <v>1</v>
      </c>
      <c r="L795" s="32"/>
      <c r="M795" s="33"/>
      <c r="N795" s="33"/>
      <c r="O795" s="21"/>
      <c r="P795" s="21"/>
      <c r="R795" s="21"/>
    </row>
    <row r="796" spans="1:18" s="52" customFormat="1" ht="39.950000000000003" customHeight="1">
      <c r="A796" s="9">
        <v>37</v>
      </c>
      <c r="B796" s="222">
        <v>6518</v>
      </c>
      <c r="C796" s="185" t="s">
        <v>2646</v>
      </c>
      <c r="D796" s="50" t="s">
        <v>2647</v>
      </c>
      <c r="E796" s="51" t="s">
        <v>316</v>
      </c>
      <c r="F796" s="30">
        <v>7.5</v>
      </c>
      <c r="G796" s="30">
        <v>2.5</v>
      </c>
      <c r="H796" s="30">
        <f t="shared" si="285"/>
        <v>11.25</v>
      </c>
      <c r="I796" s="49" t="s">
        <v>800</v>
      </c>
      <c r="J796" s="31"/>
      <c r="K796" s="32">
        <v>1</v>
      </c>
      <c r="L796" s="32"/>
      <c r="M796" s="33"/>
      <c r="N796" s="33"/>
      <c r="O796" s="21"/>
      <c r="P796" s="21"/>
      <c r="R796" s="21"/>
    </row>
    <row r="797" spans="1:18" s="52" customFormat="1" ht="39.950000000000003" customHeight="1">
      <c r="A797" s="9">
        <v>38</v>
      </c>
      <c r="B797" s="222">
        <v>6566</v>
      </c>
      <c r="C797" s="185" t="s">
        <v>2792</v>
      </c>
      <c r="D797" s="50" t="s">
        <v>2793</v>
      </c>
      <c r="E797" s="51" t="s">
        <v>316</v>
      </c>
      <c r="F797" s="30">
        <v>7.5</v>
      </c>
      <c r="G797" s="30">
        <v>2.5</v>
      </c>
      <c r="H797" s="30">
        <f t="shared" ref="H797" si="287">IF(G797&gt;0,(G797*1.5)+F797,"YOK")</f>
        <v>11.25</v>
      </c>
      <c r="I797" s="49" t="s">
        <v>800</v>
      </c>
      <c r="J797" s="31"/>
      <c r="K797" s="32">
        <v>1</v>
      </c>
      <c r="L797" s="32"/>
      <c r="M797" s="33"/>
      <c r="N797" s="33"/>
      <c r="O797" s="21"/>
      <c r="P797" s="21"/>
      <c r="R797" s="21"/>
    </row>
    <row r="798" spans="1:18" s="52" customFormat="1" ht="39.950000000000003" customHeight="1">
      <c r="A798" s="9">
        <v>39</v>
      </c>
      <c r="B798" s="223">
        <v>5233</v>
      </c>
      <c r="C798" s="50" t="s">
        <v>449</v>
      </c>
      <c r="D798" s="53" t="s">
        <v>450</v>
      </c>
      <c r="E798" s="51" t="s">
        <v>316</v>
      </c>
      <c r="F798" s="30">
        <v>7.5</v>
      </c>
      <c r="G798" s="30">
        <v>2.5</v>
      </c>
      <c r="H798" s="30">
        <f>IF(G798&gt;0,(G798*1.5)+F798,"YOK")</f>
        <v>11.25</v>
      </c>
      <c r="I798" s="49" t="s">
        <v>800</v>
      </c>
      <c r="J798" s="31"/>
      <c r="K798" s="32">
        <v>1</v>
      </c>
      <c r="L798" s="32"/>
      <c r="M798" s="33"/>
      <c r="N798" s="33"/>
      <c r="O798" s="21"/>
      <c r="P798" s="21"/>
      <c r="Q798" s="21"/>
      <c r="R798" s="21"/>
    </row>
    <row r="799" spans="1:18" s="52" customFormat="1" ht="39.950000000000003" customHeight="1">
      <c r="A799" s="9">
        <v>40</v>
      </c>
      <c r="B799" s="222">
        <v>6607</v>
      </c>
      <c r="C799" s="50" t="s">
        <v>1013</v>
      </c>
      <c r="D799" s="50" t="s">
        <v>1018</v>
      </c>
      <c r="E799" s="51" t="s">
        <v>348</v>
      </c>
      <c r="F799" s="30">
        <v>7.5</v>
      </c>
      <c r="G799" s="30">
        <v>2.5</v>
      </c>
      <c r="H799" s="30">
        <f t="shared" ref="H799" si="288">IF(G799&gt;0,(G799*1.5)+F799,"YOK")</f>
        <v>11.25</v>
      </c>
      <c r="I799" s="49" t="s">
        <v>800</v>
      </c>
      <c r="J799" s="31"/>
      <c r="K799" s="32">
        <v>1</v>
      </c>
      <c r="L799" s="32"/>
      <c r="M799" s="33"/>
      <c r="N799" s="33"/>
      <c r="O799" s="21"/>
      <c r="P799" s="21"/>
      <c r="R799" s="21"/>
    </row>
    <row r="800" spans="1:18" s="52" customFormat="1" ht="39.950000000000003" customHeight="1">
      <c r="A800" s="9">
        <v>41</v>
      </c>
      <c r="B800" s="223">
        <v>5635</v>
      </c>
      <c r="C800" s="50" t="s">
        <v>1054</v>
      </c>
      <c r="D800" s="53" t="s">
        <v>1053</v>
      </c>
      <c r="E800" s="192" t="s">
        <v>348</v>
      </c>
      <c r="F800" s="30">
        <v>0</v>
      </c>
      <c r="G800" s="30">
        <v>0</v>
      </c>
      <c r="H800" s="30" t="str">
        <f t="shared" ref="H800" si="289">IF(G800&gt;0,(G800*1.5)+F800,"YOK")</f>
        <v>YOK</v>
      </c>
      <c r="I800" s="49" t="s">
        <v>1185</v>
      </c>
      <c r="J800" s="31">
        <v>1</v>
      </c>
      <c r="K800" s="32">
        <v>0</v>
      </c>
      <c r="L800" s="32"/>
      <c r="M800" s="33"/>
      <c r="N800" s="33"/>
      <c r="O800" s="21"/>
      <c r="P800" s="21"/>
      <c r="R800" s="21"/>
    </row>
    <row r="801" spans="1:18" s="52" customFormat="1" ht="39.950000000000003" customHeight="1">
      <c r="A801" s="9">
        <v>42</v>
      </c>
      <c r="B801" s="223">
        <v>5648</v>
      </c>
      <c r="C801" s="50" t="s">
        <v>1078</v>
      </c>
      <c r="D801" s="53" t="s">
        <v>1081</v>
      </c>
      <c r="E801" s="192" t="s">
        <v>348</v>
      </c>
      <c r="F801" s="30">
        <v>7.5</v>
      </c>
      <c r="G801" s="30">
        <v>2.5</v>
      </c>
      <c r="H801" s="30">
        <f t="shared" ref="H801:H802" si="290">IF(G801&gt;0,(G801*1.5)+F801,"YOK")</f>
        <v>11.25</v>
      </c>
      <c r="I801" s="49" t="s">
        <v>800</v>
      </c>
      <c r="J801" s="31"/>
      <c r="K801" s="32">
        <v>1</v>
      </c>
      <c r="L801" s="32"/>
      <c r="M801" s="33"/>
      <c r="N801" s="33"/>
      <c r="O801" s="21"/>
      <c r="P801" s="21"/>
      <c r="R801" s="21"/>
    </row>
    <row r="802" spans="1:18" s="52" customFormat="1" ht="39.950000000000003" customHeight="1">
      <c r="A802" s="9">
        <v>43</v>
      </c>
      <c r="B802" s="223">
        <v>5647</v>
      </c>
      <c r="C802" s="50" t="s">
        <v>1079</v>
      </c>
      <c r="D802" s="53" t="s">
        <v>1080</v>
      </c>
      <c r="E802" s="192" t="s">
        <v>348</v>
      </c>
      <c r="F802" s="30">
        <v>0</v>
      </c>
      <c r="G802" s="30">
        <v>0</v>
      </c>
      <c r="H802" s="30" t="str">
        <f t="shared" si="290"/>
        <v>YOK</v>
      </c>
      <c r="I802" s="49" t="s">
        <v>1185</v>
      </c>
      <c r="J802" s="31">
        <v>1</v>
      </c>
      <c r="K802" s="32">
        <v>0</v>
      </c>
      <c r="L802" s="32"/>
      <c r="M802" s="33"/>
      <c r="N802" s="33"/>
      <c r="O802" s="21"/>
      <c r="P802" s="21"/>
      <c r="R802" s="21"/>
    </row>
    <row r="803" spans="1:18" s="52" customFormat="1" ht="39.950000000000003" customHeight="1">
      <c r="A803" s="9">
        <v>44</v>
      </c>
      <c r="B803" s="223">
        <v>5649</v>
      </c>
      <c r="C803" s="50" t="s">
        <v>1083</v>
      </c>
      <c r="D803" s="53" t="s">
        <v>1082</v>
      </c>
      <c r="E803" s="192" t="s">
        <v>348</v>
      </c>
      <c r="F803" s="30">
        <v>7.5</v>
      </c>
      <c r="G803" s="30">
        <v>2.5</v>
      </c>
      <c r="H803" s="30">
        <f t="shared" si="276"/>
        <v>11.25</v>
      </c>
      <c r="I803" s="49" t="s">
        <v>800</v>
      </c>
      <c r="J803" s="31"/>
      <c r="K803" s="32">
        <v>1</v>
      </c>
      <c r="L803" s="32"/>
      <c r="M803" s="28"/>
      <c r="N803" s="33"/>
      <c r="O803" s="21"/>
      <c r="P803" s="21"/>
      <c r="R803" s="21"/>
    </row>
    <row r="804" spans="1:18" s="52" customFormat="1" ht="39.950000000000003" customHeight="1">
      <c r="A804" s="9">
        <v>45</v>
      </c>
      <c r="B804" s="223">
        <v>5651</v>
      </c>
      <c r="C804" s="50" t="s">
        <v>1084</v>
      </c>
      <c r="D804" s="53" t="s">
        <v>1087</v>
      </c>
      <c r="E804" s="192" t="s">
        <v>348</v>
      </c>
      <c r="F804" s="30">
        <v>7.5</v>
      </c>
      <c r="G804" s="30">
        <v>2.5</v>
      </c>
      <c r="H804" s="30">
        <f t="shared" ref="H804" si="291">IF(G804&gt;0,(G804*1.5)+F804,"YOK")</f>
        <v>11.25</v>
      </c>
      <c r="I804" s="49" t="s">
        <v>800</v>
      </c>
      <c r="J804" s="31"/>
      <c r="K804" s="32">
        <v>1</v>
      </c>
      <c r="L804" s="32"/>
      <c r="M804" s="28"/>
      <c r="N804" s="33"/>
      <c r="O804" s="21"/>
      <c r="P804" s="21"/>
      <c r="R804" s="21"/>
    </row>
    <row r="805" spans="1:18" s="52" customFormat="1" ht="39.950000000000003" customHeight="1">
      <c r="A805" s="9">
        <v>46</v>
      </c>
      <c r="B805" s="223">
        <v>5650</v>
      </c>
      <c r="C805" s="50" t="s">
        <v>1085</v>
      </c>
      <c r="D805" s="53" t="s">
        <v>1086</v>
      </c>
      <c r="E805" s="192" t="s">
        <v>348</v>
      </c>
      <c r="F805" s="30">
        <v>7.5</v>
      </c>
      <c r="G805" s="30">
        <v>2.5</v>
      </c>
      <c r="H805" s="30">
        <f t="shared" si="276"/>
        <v>11.25</v>
      </c>
      <c r="I805" s="49" t="s">
        <v>800</v>
      </c>
      <c r="J805" s="31"/>
      <c r="K805" s="32">
        <v>1</v>
      </c>
      <c r="L805" s="32"/>
      <c r="M805" s="28"/>
      <c r="N805" s="33"/>
      <c r="O805" s="21"/>
      <c r="P805" s="21"/>
      <c r="R805" s="21"/>
    </row>
    <row r="806" spans="1:18" s="52" customFormat="1" ht="39.950000000000003" customHeight="1">
      <c r="A806" s="9">
        <v>47</v>
      </c>
      <c r="B806" s="223">
        <v>5663</v>
      </c>
      <c r="C806" s="50" t="s">
        <v>1110</v>
      </c>
      <c r="D806" s="53" t="s">
        <v>1109</v>
      </c>
      <c r="E806" s="192" t="s">
        <v>348</v>
      </c>
      <c r="F806" s="30">
        <v>7.5</v>
      </c>
      <c r="G806" s="30">
        <v>2.5</v>
      </c>
      <c r="H806" s="30">
        <f t="shared" si="276"/>
        <v>11.25</v>
      </c>
      <c r="I806" s="49" t="s">
        <v>800</v>
      </c>
      <c r="J806" s="31"/>
      <c r="K806" s="32">
        <v>1</v>
      </c>
      <c r="L806" s="32"/>
      <c r="M806" s="33"/>
      <c r="N806" s="33"/>
      <c r="O806" s="21"/>
      <c r="P806" s="21"/>
      <c r="R806" s="21"/>
    </row>
    <row r="807" spans="1:18" s="52" customFormat="1" ht="39.950000000000003" customHeight="1">
      <c r="A807" s="9">
        <v>48</v>
      </c>
      <c r="B807" s="223">
        <v>5682</v>
      </c>
      <c r="C807" s="50" t="s">
        <v>1130</v>
      </c>
      <c r="D807" s="53" t="s">
        <v>1129</v>
      </c>
      <c r="E807" s="192" t="s">
        <v>348</v>
      </c>
      <c r="F807" s="30">
        <v>7.5</v>
      </c>
      <c r="G807" s="30">
        <v>2.5</v>
      </c>
      <c r="H807" s="30">
        <f t="shared" ref="H807" si="292">IF(G807&gt;0,(G807*1.5)+F807,"YOK")</f>
        <v>11.25</v>
      </c>
      <c r="I807" s="49" t="s">
        <v>800</v>
      </c>
      <c r="J807" s="31"/>
      <c r="K807" s="32">
        <v>1</v>
      </c>
      <c r="L807" s="32"/>
      <c r="M807" s="33"/>
      <c r="N807" s="33"/>
      <c r="O807" s="21"/>
      <c r="P807" s="21"/>
      <c r="R807" s="21"/>
    </row>
    <row r="808" spans="1:18" s="52" customFormat="1" ht="39.950000000000003" customHeight="1">
      <c r="A808" s="9">
        <v>49</v>
      </c>
      <c r="B808" s="223">
        <v>5700</v>
      </c>
      <c r="C808" s="50" t="s">
        <v>1160</v>
      </c>
      <c r="D808" s="53" t="s">
        <v>1167</v>
      </c>
      <c r="E808" s="192" t="s">
        <v>348</v>
      </c>
      <c r="F808" s="30">
        <v>7.5</v>
      </c>
      <c r="G808" s="30">
        <v>2.5</v>
      </c>
      <c r="H808" s="30">
        <f t="shared" ref="H808" si="293">IF(G808&gt;0,(G808*1.5)+F808,"YOK")</f>
        <v>11.25</v>
      </c>
      <c r="I808" s="49" t="s">
        <v>800</v>
      </c>
      <c r="J808" s="31"/>
      <c r="K808" s="32">
        <v>1</v>
      </c>
      <c r="L808" s="32"/>
      <c r="M808" s="33"/>
      <c r="N808" s="33"/>
      <c r="O808" s="21"/>
      <c r="P808" s="21"/>
      <c r="R808" s="21"/>
    </row>
    <row r="809" spans="1:18" s="52" customFormat="1" ht="39.950000000000003" customHeight="1">
      <c r="A809" s="9">
        <v>50</v>
      </c>
      <c r="B809" s="223">
        <v>5751</v>
      </c>
      <c r="C809" s="50" t="s">
        <v>1201</v>
      </c>
      <c r="D809" s="53" t="s">
        <v>1200</v>
      </c>
      <c r="E809" s="54" t="s">
        <v>348</v>
      </c>
      <c r="F809" s="30">
        <v>7.5</v>
      </c>
      <c r="G809" s="30">
        <v>2.5</v>
      </c>
      <c r="H809" s="30">
        <f t="shared" ref="H809" si="294">IF(G809&gt;0,(G809*1.5)+F809,"YOK")</f>
        <v>11.25</v>
      </c>
      <c r="I809" s="49" t="s">
        <v>800</v>
      </c>
      <c r="J809" s="31"/>
      <c r="K809" s="32">
        <v>1</v>
      </c>
      <c r="L809" s="32"/>
      <c r="M809" s="33"/>
      <c r="N809" s="33"/>
      <c r="O809" s="21"/>
      <c r="P809" s="21"/>
      <c r="R809" s="21"/>
    </row>
    <row r="810" spans="1:18" s="52" customFormat="1" ht="39.950000000000003" customHeight="1">
      <c r="A810" s="9">
        <v>51</v>
      </c>
      <c r="B810" s="223">
        <v>5749</v>
      </c>
      <c r="C810" s="50" t="s">
        <v>1400</v>
      </c>
      <c r="D810" s="53" t="s">
        <v>1202</v>
      </c>
      <c r="E810" s="54" t="s">
        <v>348</v>
      </c>
      <c r="F810" s="30">
        <v>7.5</v>
      </c>
      <c r="G810" s="30">
        <v>2.5</v>
      </c>
      <c r="H810" s="30">
        <f t="shared" ref="H810" si="295">IF(G810&gt;0,(G810*1.5)+F810,"YOK")</f>
        <v>11.25</v>
      </c>
      <c r="I810" s="49" t="s">
        <v>800</v>
      </c>
      <c r="J810" s="31"/>
      <c r="K810" s="32">
        <v>1</v>
      </c>
      <c r="L810" s="32"/>
      <c r="M810" s="33"/>
      <c r="N810" s="33"/>
      <c r="O810" s="21"/>
      <c r="P810" s="21"/>
      <c r="R810" s="21"/>
    </row>
    <row r="811" spans="1:18" s="52" customFormat="1" ht="39.950000000000003" customHeight="1">
      <c r="A811" s="9">
        <v>52</v>
      </c>
      <c r="B811" s="223">
        <v>5768</v>
      </c>
      <c r="C811" s="50" t="s">
        <v>1229</v>
      </c>
      <c r="D811" s="53" t="s">
        <v>1230</v>
      </c>
      <c r="E811" s="54" t="s">
        <v>348</v>
      </c>
      <c r="F811" s="30">
        <v>7.5</v>
      </c>
      <c r="G811" s="30">
        <v>2.5</v>
      </c>
      <c r="H811" s="30">
        <f t="shared" ref="H811" si="296">IF(G811&gt;0,(G811*1.5)+F811,"YOK")</f>
        <v>11.25</v>
      </c>
      <c r="I811" s="49" t="s">
        <v>800</v>
      </c>
      <c r="J811" s="31"/>
      <c r="K811" s="32">
        <v>1</v>
      </c>
      <c r="L811" s="32"/>
      <c r="M811" s="33"/>
      <c r="N811" s="33"/>
      <c r="O811" s="21"/>
      <c r="P811" s="21"/>
      <c r="R811" s="21"/>
    </row>
    <row r="812" spans="1:18" s="52" customFormat="1" ht="39.950000000000003" customHeight="1">
      <c r="A812" s="9">
        <v>53</v>
      </c>
      <c r="B812" s="223">
        <v>5805</v>
      </c>
      <c r="C812" s="50" t="s">
        <v>1252</v>
      </c>
      <c r="D812" s="53" t="s">
        <v>1253</v>
      </c>
      <c r="E812" s="54" t="s">
        <v>348</v>
      </c>
      <c r="F812" s="30">
        <v>0</v>
      </c>
      <c r="G812" s="30">
        <v>0</v>
      </c>
      <c r="H812" s="30" t="str">
        <f t="shared" ref="H812" si="297">IF(G812&gt;0,(G812*1.5)+F812,"YOK")</f>
        <v>YOK</v>
      </c>
      <c r="I812" s="49" t="s">
        <v>1185</v>
      </c>
      <c r="J812" s="31">
        <v>1</v>
      </c>
      <c r="K812" s="32">
        <v>0</v>
      </c>
      <c r="L812" s="32"/>
      <c r="M812" s="33"/>
      <c r="N812" s="33"/>
      <c r="O812" s="21"/>
      <c r="P812" s="21"/>
      <c r="R812" s="21"/>
    </row>
    <row r="813" spans="1:18" s="52" customFormat="1" ht="39.950000000000003" customHeight="1">
      <c r="A813" s="9">
        <v>54</v>
      </c>
      <c r="B813" s="223">
        <v>5813</v>
      </c>
      <c r="C813" s="50" t="s">
        <v>1261</v>
      </c>
      <c r="D813" s="53" t="s">
        <v>1262</v>
      </c>
      <c r="E813" s="54" t="s">
        <v>348</v>
      </c>
      <c r="F813" s="30">
        <v>7.5</v>
      </c>
      <c r="G813" s="30">
        <v>2.5</v>
      </c>
      <c r="H813" s="30">
        <f t="shared" ref="H813" si="298">IF(G813&gt;0,(G813*1.5)+F813,"YOK")</f>
        <v>11.25</v>
      </c>
      <c r="I813" s="49" t="s">
        <v>800</v>
      </c>
      <c r="J813" s="31"/>
      <c r="K813" s="32">
        <v>1</v>
      </c>
      <c r="L813" s="32"/>
      <c r="M813" s="33"/>
      <c r="N813"/>
      <c r="O813" s="21"/>
      <c r="P813" s="21"/>
      <c r="R813" s="21"/>
    </row>
    <row r="814" spans="1:18" s="52" customFormat="1" ht="39.950000000000003" customHeight="1">
      <c r="A814" s="9">
        <v>55</v>
      </c>
      <c r="B814" s="223">
        <v>5826</v>
      </c>
      <c r="C814" s="50" t="s">
        <v>1284</v>
      </c>
      <c r="D814" s="53" t="s">
        <v>1285</v>
      </c>
      <c r="E814" s="54" t="s">
        <v>348</v>
      </c>
      <c r="F814" s="30">
        <v>7.5</v>
      </c>
      <c r="G814" s="30">
        <v>2.5</v>
      </c>
      <c r="H814" s="30">
        <f t="shared" ref="H814" si="299">IF(G814&gt;0,(G814*1.5)+F814,"YOK")</f>
        <v>11.25</v>
      </c>
      <c r="I814" s="49" t="s">
        <v>800</v>
      </c>
      <c r="J814" s="31"/>
      <c r="K814" s="32">
        <v>1</v>
      </c>
      <c r="L814" s="32"/>
      <c r="M814" s="33"/>
      <c r="N814" s="33"/>
      <c r="O814" s="21"/>
      <c r="P814" s="21"/>
      <c r="R814" s="21"/>
    </row>
    <row r="815" spans="1:18" s="52" customFormat="1" ht="39.950000000000003" customHeight="1">
      <c r="A815" s="9">
        <v>56</v>
      </c>
      <c r="B815" s="223">
        <v>5839</v>
      </c>
      <c r="C815" s="50" t="s">
        <v>1312</v>
      </c>
      <c r="D815" s="53" t="s">
        <v>1313</v>
      </c>
      <c r="E815" s="54" t="s">
        <v>348</v>
      </c>
      <c r="F815" s="30">
        <v>7.5</v>
      </c>
      <c r="G815" s="30">
        <v>2.5</v>
      </c>
      <c r="H815" s="30">
        <f t="shared" ref="H815" si="300">IF(G815&gt;0,(G815*1.5)+F815,"YOK")</f>
        <v>11.25</v>
      </c>
      <c r="I815" s="49" t="s">
        <v>800</v>
      </c>
      <c r="J815" s="31"/>
      <c r="K815" s="32">
        <v>1</v>
      </c>
      <c r="L815" s="32"/>
      <c r="M815" s="28"/>
      <c r="N815" s="33"/>
      <c r="O815" s="21"/>
      <c r="P815" s="21"/>
      <c r="R815" s="21"/>
    </row>
    <row r="816" spans="1:18" s="52" customFormat="1" ht="39.950000000000003" customHeight="1">
      <c r="A816" s="9">
        <v>57</v>
      </c>
      <c r="B816" s="223">
        <v>5838</v>
      </c>
      <c r="C816" s="50" t="s">
        <v>1314</v>
      </c>
      <c r="D816" s="53" t="s">
        <v>1315</v>
      </c>
      <c r="E816" s="54" t="s">
        <v>348</v>
      </c>
      <c r="F816" s="30">
        <v>7.5</v>
      </c>
      <c r="G816" s="30">
        <v>2.5</v>
      </c>
      <c r="H816" s="30">
        <f t="shared" ref="H816" si="301">IF(G816&gt;0,(G816*1.5)+F816,"YOK")</f>
        <v>11.25</v>
      </c>
      <c r="I816" s="49" t="s">
        <v>800</v>
      </c>
      <c r="J816" s="31"/>
      <c r="K816" s="32">
        <v>1</v>
      </c>
      <c r="L816" s="32"/>
      <c r="M816" s="28"/>
      <c r="N816" s="33"/>
      <c r="O816" s="21"/>
      <c r="P816" s="21"/>
      <c r="R816" s="21"/>
    </row>
    <row r="817" spans="1:18" s="52" customFormat="1" ht="39.950000000000003" customHeight="1">
      <c r="A817" s="9">
        <v>58</v>
      </c>
      <c r="B817" s="223">
        <v>5953</v>
      </c>
      <c r="C817" s="50" t="s">
        <v>1528</v>
      </c>
      <c r="D817" s="53" t="s">
        <v>1529</v>
      </c>
      <c r="E817" s="54" t="s">
        <v>348</v>
      </c>
      <c r="F817" s="30">
        <v>7.5</v>
      </c>
      <c r="G817" s="30">
        <v>2.5</v>
      </c>
      <c r="H817" s="30">
        <f t="shared" ref="H817" si="302">IF(G817&gt;0,(G817*1.5)+F817,"YOK")</f>
        <v>11.25</v>
      </c>
      <c r="I817" s="49" t="s">
        <v>800</v>
      </c>
      <c r="J817" s="31"/>
      <c r="K817" s="32">
        <v>1</v>
      </c>
      <c r="L817" s="32"/>
      <c r="M817" s="33"/>
      <c r="N817" s="33"/>
      <c r="O817" s="21"/>
      <c r="P817" s="21"/>
      <c r="R817" s="21"/>
    </row>
    <row r="818" spans="1:18" s="52" customFormat="1" ht="39.950000000000003" customHeight="1">
      <c r="A818" s="9">
        <v>59</v>
      </c>
      <c r="B818" s="223">
        <v>5624</v>
      </c>
      <c r="C818" s="50" t="s">
        <v>1014</v>
      </c>
      <c r="D818" s="53" t="s">
        <v>1017</v>
      </c>
      <c r="E818" s="54" t="s">
        <v>261</v>
      </c>
      <c r="F818" s="30">
        <v>7.5</v>
      </c>
      <c r="G818" s="30">
        <v>2.5</v>
      </c>
      <c r="H818" s="30">
        <f t="shared" ref="H818" si="303">IF(G818&gt;0,(G818*1.5)+F818,"YOK")</f>
        <v>11.25</v>
      </c>
      <c r="I818" s="49" t="s">
        <v>800</v>
      </c>
      <c r="J818" s="31"/>
      <c r="K818" s="32">
        <v>1</v>
      </c>
      <c r="L818" s="32"/>
      <c r="M818" s="28"/>
      <c r="N818" s="33"/>
      <c r="O818" s="21"/>
      <c r="P818" s="21"/>
      <c r="R818" s="21"/>
    </row>
    <row r="819" spans="1:18" s="52" customFormat="1" ht="39.950000000000003" customHeight="1">
      <c r="A819" s="9">
        <v>60</v>
      </c>
      <c r="B819" s="223">
        <v>5621</v>
      </c>
      <c r="C819" s="50" t="s">
        <v>1015</v>
      </c>
      <c r="D819" s="53" t="s">
        <v>1016</v>
      </c>
      <c r="E819" s="54" t="s">
        <v>261</v>
      </c>
      <c r="F819" s="30">
        <v>7.5</v>
      </c>
      <c r="G819" s="30">
        <v>2.5</v>
      </c>
      <c r="H819" s="30">
        <f t="shared" ref="H819:H820" si="304">IF(G819&gt;0,(G819*1.5)+F819,"YOK")</f>
        <v>11.25</v>
      </c>
      <c r="I819" s="49" t="s">
        <v>800</v>
      </c>
      <c r="J819" s="31"/>
      <c r="K819" s="32">
        <v>1</v>
      </c>
      <c r="L819" s="32"/>
      <c r="M819" s="28"/>
      <c r="N819" s="33"/>
      <c r="O819" s="21"/>
      <c r="P819" s="21"/>
      <c r="R819" s="21"/>
    </row>
    <row r="820" spans="1:18" s="52" customFormat="1" ht="39.950000000000003" customHeight="1">
      <c r="A820" s="9">
        <v>61</v>
      </c>
      <c r="B820" s="223">
        <v>5433</v>
      </c>
      <c r="C820" s="50" t="s">
        <v>814</v>
      </c>
      <c r="D820" s="53" t="s">
        <v>815</v>
      </c>
      <c r="E820" s="54" t="s">
        <v>261</v>
      </c>
      <c r="F820" s="30">
        <v>7.5</v>
      </c>
      <c r="G820" s="30">
        <v>2.5</v>
      </c>
      <c r="H820" s="30">
        <f t="shared" si="304"/>
        <v>11.25</v>
      </c>
      <c r="I820" s="49" t="s">
        <v>800</v>
      </c>
      <c r="J820" s="31"/>
      <c r="K820" s="32">
        <v>1</v>
      </c>
      <c r="L820" s="32"/>
      <c r="M820" s="28"/>
      <c r="N820" s="33"/>
      <c r="O820" s="21"/>
      <c r="P820" s="21"/>
      <c r="R820" s="21"/>
    </row>
    <row r="821" spans="1:18" s="52" customFormat="1" ht="39.950000000000003" customHeight="1">
      <c r="A821" s="9">
        <v>62</v>
      </c>
      <c r="B821" s="223">
        <v>5267</v>
      </c>
      <c r="C821" s="50" t="s">
        <v>493</v>
      </c>
      <c r="D821" s="53" t="s">
        <v>494</v>
      </c>
      <c r="E821" s="54" t="s">
        <v>261</v>
      </c>
      <c r="F821" s="30">
        <v>7.5</v>
      </c>
      <c r="G821" s="30">
        <v>2.5</v>
      </c>
      <c r="H821" s="30">
        <f t="shared" ref="H821" si="305">IF(G821&gt;0,(G821*1.5)+F821,"YOK")</f>
        <v>11.25</v>
      </c>
      <c r="I821" s="49" t="s">
        <v>800</v>
      </c>
      <c r="J821" s="31"/>
      <c r="K821" s="32">
        <v>1</v>
      </c>
      <c r="L821" s="32"/>
      <c r="M821" s="28"/>
      <c r="N821" s="33"/>
      <c r="O821" s="21"/>
      <c r="P821" s="21"/>
      <c r="R821" s="21"/>
    </row>
    <row r="822" spans="1:18" s="52" customFormat="1" ht="39.950000000000003" customHeight="1">
      <c r="A822" s="9">
        <v>63</v>
      </c>
      <c r="B822" s="223">
        <v>5434</v>
      </c>
      <c r="C822" s="50" t="s">
        <v>816</v>
      </c>
      <c r="D822" s="53" t="s">
        <v>817</v>
      </c>
      <c r="E822" s="54" t="s">
        <v>261</v>
      </c>
      <c r="F822" s="30">
        <v>7.5</v>
      </c>
      <c r="G822" s="30">
        <v>2.5</v>
      </c>
      <c r="H822" s="30">
        <f t="shared" ref="H822" si="306">IF(G822&gt;0,(G822*1.5)+F822,"YOK")</f>
        <v>11.25</v>
      </c>
      <c r="I822" s="49" t="s">
        <v>800</v>
      </c>
      <c r="J822" s="31"/>
      <c r="K822" s="32">
        <v>1</v>
      </c>
      <c r="L822" s="32"/>
      <c r="M822" s="28"/>
      <c r="N822" s="33"/>
      <c r="O822" s="21"/>
      <c r="P822" s="21"/>
      <c r="R822" s="21"/>
    </row>
    <row r="823" spans="1:18" s="52" customFormat="1" ht="39.950000000000003" customHeight="1">
      <c r="A823" s="9">
        <v>64</v>
      </c>
      <c r="B823" s="223">
        <v>5531</v>
      </c>
      <c r="C823" s="50" t="s">
        <v>882</v>
      </c>
      <c r="D823" s="53" t="s">
        <v>883</v>
      </c>
      <c r="E823" s="192" t="s">
        <v>454</v>
      </c>
      <c r="F823" s="30">
        <v>7.5</v>
      </c>
      <c r="G823" s="30">
        <v>2.5</v>
      </c>
      <c r="H823" s="30">
        <f t="shared" ref="H823:H839" si="307">IF(G823&gt;0,(G823*1.5)+F823,"YOK")</f>
        <v>11.25</v>
      </c>
      <c r="I823" s="49" t="s">
        <v>802</v>
      </c>
      <c r="J823" s="31"/>
      <c r="K823" s="32">
        <v>1</v>
      </c>
      <c r="L823" s="32"/>
      <c r="M823" s="33"/>
      <c r="N823" s="33"/>
      <c r="O823" s="21"/>
      <c r="P823" s="21"/>
      <c r="R823" s="21"/>
    </row>
    <row r="824" spans="1:18" s="52" customFormat="1" ht="39.950000000000003" customHeight="1">
      <c r="A824" s="9">
        <v>65</v>
      </c>
      <c r="B824" s="223">
        <v>4435</v>
      </c>
      <c r="C824" s="50" t="s">
        <v>443</v>
      </c>
      <c r="D824" s="53" t="s">
        <v>444</v>
      </c>
      <c r="E824" s="192" t="s">
        <v>299</v>
      </c>
      <c r="F824" s="30">
        <v>7.5</v>
      </c>
      <c r="G824" s="30">
        <v>2.5</v>
      </c>
      <c r="H824" s="30">
        <f t="shared" ref="H824" si="308">IF(G824&gt;0,(G824*1.5)+F824,"YOK")</f>
        <v>11.25</v>
      </c>
      <c r="I824" s="49" t="s">
        <v>800</v>
      </c>
      <c r="J824" s="31"/>
      <c r="K824" s="32">
        <v>1</v>
      </c>
      <c r="L824" s="32"/>
      <c r="M824" s="33"/>
      <c r="N824" s="33"/>
      <c r="O824" s="21"/>
      <c r="P824" s="21"/>
      <c r="R824" s="21"/>
    </row>
    <row r="825" spans="1:18" s="52" customFormat="1" ht="39.950000000000003" customHeight="1">
      <c r="A825" s="9">
        <v>66</v>
      </c>
      <c r="B825" s="223">
        <v>4757</v>
      </c>
      <c r="C825" s="185" t="s">
        <v>495</v>
      </c>
      <c r="D825" s="53" t="s">
        <v>496</v>
      </c>
      <c r="E825" s="54" t="s">
        <v>299</v>
      </c>
      <c r="F825" s="30">
        <v>7.5</v>
      </c>
      <c r="G825" s="30">
        <v>2.5</v>
      </c>
      <c r="H825" s="30">
        <f t="shared" ref="H825" si="309">IF(G825&gt;0,(G825*1.5)+F825,"YOK")</f>
        <v>11.25</v>
      </c>
      <c r="I825" s="49" t="s">
        <v>800</v>
      </c>
      <c r="J825" s="31"/>
      <c r="K825" s="32">
        <v>1</v>
      </c>
      <c r="L825" s="32"/>
      <c r="M825" s="33"/>
      <c r="N825" s="33"/>
      <c r="O825" s="21"/>
      <c r="P825" s="21"/>
      <c r="R825" s="21"/>
    </row>
    <row r="826" spans="1:18" s="52" customFormat="1" ht="39.950000000000003" customHeight="1">
      <c r="A826" s="9">
        <v>67</v>
      </c>
      <c r="B826" s="223">
        <v>6772</v>
      </c>
      <c r="C826" s="185" t="s">
        <v>3283</v>
      </c>
      <c r="D826" s="53" t="s">
        <v>3284</v>
      </c>
      <c r="E826" s="54" t="s">
        <v>299</v>
      </c>
      <c r="F826" s="30">
        <v>7.5</v>
      </c>
      <c r="G826" s="30">
        <v>2.5</v>
      </c>
      <c r="H826" s="30">
        <f t="shared" ref="H826" si="310">IF(G826&gt;0,(G826*1.5)+F826,"YOK")</f>
        <v>11.25</v>
      </c>
      <c r="I826" s="49" t="s">
        <v>800</v>
      </c>
      <c r="J826" s="31"/>
      <c r="K826" s="32">
        <v>1</v>
      </c>
      <c r="L826" s="32"/>
      <c r="M826" s="33"/>
      <c r="N826" s="33"/>
      <c r="O826" s="21"/>
      <c r="P826" s="21"/>
      <c r="R826" s="21"/>
    </row>
    <row r="827" spans="1:18" s="52" customFormat="1" ht="39.950000000000003" customHeight="1">
      <c r="A827" s="9">
        <v>68</v>
      </c>
      <c r="B827" s="223">
        <v>5197</v>
      </c>
      <c r="C827" s="50" t="s">
        <v>497</v>
      </c>
      <c r="D827" s="53" t="s">
        <v>498</v>
      </c>
      <c r="E827" s="54" t="s">
        <v>306</v>
      </c>
      <c r="F827" s="30">
        <v>7.5</v>
      </c>
      <c r="G827" s="30">
        <v>2.5</v>
      </c>
      <c r="H827" s="30">
        <f t="shared" ref="H827" si="311">IF(G827&gt;0,(G827*1.5)+F827,"YOK")</f>
        <v>11.25</v>
      </c>
      <c r="I827" s="49" t="s">
        <v>800</v>
      </c>
      <c r="J827" s="31"/>
      <c r="K827" s="32">
        <v>1</v>
      </c>
      <c r="L827" s="32"/>
      <c r="M827" s="33"/>
      <c r="N827" s="33"/>
      <c r="O827" s="21"/>
      <c r="P827" s="21"/>
      <c r="R827" s="21"/>
    </row>
    <row r="828" spans="1:18" s="52" customFormat="1" ht="39.950000000000003" customHeight="1">
      <c r="A828" s="9">
        <v>69</v>
      </c>
      <c r="B828" s="223">
        <v>5519</v>
      </c>
      <c r="C828" s="50" t="s">
        <v>877</v>
      </c>
      <c r="D828" s="53" t="s">
        <v>899</v>
      </c>
      <c r="E828" s="54" t="s">
        <v>306</v>
      </c>
      <c r="F828" s="30">
        <v>7.5</v>
      </c>
      <c r="G828" s="30">
        <v>2.5</v>
      </c>
      <c r="H828" s="30">
        <f t="shared" ref="H828" si="312">IF(G828&gt;0,(G828*1.5)+F828,"YOK")</f>
        <v>11.25</v>
      </c>
      <c r="I828" s="49" t="s">
        <v>800</v>
      </c>
      <c r="J828" s="31"/>
      <c r="K828" s="32">
        <v>1</v>
      </c>
      <c r="L828" s="32"/>
      <c r="M828" s="33"/>
      <c r="N828" s="33"/>
      <c r="O828" s="21"/>
      <c r="P828" s="21"/>
      <c r="R828" s="21"/>
    </row>
    <row r="829" spans="1:18" s="52" customFormat="1" ht="39.950000000000003" customHeight="1">
      <c r="A829" s="9">
        <v>70</v>
      </c>
      <c r="B829" s="223">
        <v>5409</v>
      </c>
      <c r="C829" s="50" t="s">
        <v>780</v>
      </c>
      <c r="D829" s="53" t="s">
        <v>957</v>
      </c>
      <c r="E829" s="54" t="s">
        <v>306</v>
      </c>
      <c r="F829" s="30">
        <v>7.5</v>
      </c>
      <c r="G829" s="30">
        <v>2.5</v>
      </c>
      <c r="H829" s="30">
        <f t="shared" ref="H829" si="313">IF(G829&gt;0,(G829*1.5)+F829,"YOK")</f>
        <v>11.25</v>
      </c>
      <c r="I829" s="49" t="s">
        <v>800</v>
      </c>
      <c r="J829" s="31"/>
      <c r="K829" s="32">
        <v>1</v>
      </c>
      <c r="L829" s="32"/>
      <c r="M829" s="33"/>
      <c r="N829" s="33"/>
      <c r="O829" s="21"/>
      <c r="P829" s="21"/>
      <c r="R829" s="21"/>
    </row>
    <row r="830" spans="1:18" s="52" customFormat="1" ht="39.950000000000003" customHeight="1">
      <c r="A830" s="9">
        <v>71</v>
      </c>
      <c r="B830" s="223">
        <v>5553</v>
      </c>
      <c r="C830" s="50" t="s">
        <v>913</v>
      </c>
      <c r="D830" s="53" t="s">
        <v>914</v>
      </c>
      <c r="E830" s="54" t="s">
        <v>306</v>
      </c>
      <c r="F830" s="30">
        <v>7.5</v>
      </c>
      <c r="G830" s="30">
        <v>2.5</v>
      </c>
      <c r="H830" s="30">
        <f t="shared" ref="H830" si="314">IF(G830&gt;0,(G830*1.5)+F830,"YOK")</f>
        <v>11.25</v>
      </c>
      <c r="I830" s="49" t="s">
        <v>800</v>
      </c>
      <c r="J830" s="31"/>
      <c r="K830" s="32">
        <v>1</v>
      </c>
      <c r="L830" s="32"/>
      <c r="M830" s="33"/>
      <c r="N830" s="33"/>
      <c r="O830" s="21"/>
      <c r="P830" s="21"/>
      <c r="R830" s="21"/>
    </row>
    <row r="831" spans="1:18" s="52" customFormat="1" ht="39.950000000000003" customHeight="1">
      <c r="A831" s="9">
        <v>72</v>
      </c>
      <c r="B831" s="223">
        <v>5539</v>
      </c>
      <c r="C831" s="50" t="s">
        <v>892</v>
      </c>
      <c r="D831" s="53" t="s">
        <v>893</v>
      </c>
      <c r="E831" s="54" t="s">
        <v>306</v>
      </c>
      <c r="F831" s="30">
        <v>7.5</v>
      </c>
      <c r="G831" s="30">
        <v>2.5</v>
      </c>
      <c r="H831" s="30">
        <f t="shared" ref="H831" si="315">IF(G831&gt;0,(G831*1.5)+F831,"YOK")</f>
        <v>11.25</v>
      </c>
      <c r="I831" s="49" t="s">
        <v>802</v>
      </c>
      <c r="J831" s="31"/>
      <c r="K831" s="32">
        <v>1</v>
      </c>
      <c r="L831" s="32"/>
      <c r="M831" s="33"/>
      <c r="N831" s="33"/>
      <c r="O831" s="21"/>
      <c r="P831" s="21"/>
      <c r="R831" s="21"/>
    </row>
    <row r="832" spans="1:18" s="52" customFormat="1" ht="39.950000000000003" customHeight="1">
      <c r="A832" s="9">
        <v>73</v>
      </c>
      <c r="B832" s="223">
        <v>5568</v>
      </c>
      <c r="C832" s="50" t="s">
        <v>935</v>
      </c>
      <c r="D832" s="53" t="s">
        <v>937</v>
      </c>
      <c r="E832" s="54" t="s">
        <v>306</v>
      </c>
      <c r="F832" s="30">
        <v>7.5</v>
      </c>
      <c r="G832" s="30">
        <v>2.5</v>
      </c>
      <c r="H832" s="30">
        <f t="shared" ref="H832" si="316">IF(G832&gt;0,(G832*1.5)+F832,"YOK")</f>
        <v>11.25</v>
      </c>
      <c r="I832" s="49" t="s">
        <v>802</v>
      </c>
      <c r="J832" s="31"/>
      <c r="K832" s="32">
        <v>1</v>
      </c>
      <c r="L832" s="32"/>
      <c r="M832" s="33"/>
      <c r="N832" s="33"/>
      <c r="O832" s="21"/>
      <c r="P832" s="21"/>
      <c r="R832" s="21"/>
    </row>
    <row r="833" spans="1:18" s="52" customFormat="1" ht="39.950000000000003" customHeight="1">
      <c r="A833" s="9">
        <v>74</v>
      </c>
      <c r="B833" s="223">
        <v>5468</v>
      </c>
      <c r="C833" s="50" t="s">
        <v>867</v>
      </c>
      <c r="D833" s="53" t="s">
        <v>868</v>
      </c>
      <c r="E833" s="192" t="s">
        <v>306</v>
      </c>
      <c r="F833" s="30">
        <v>7.5</v>
      </c>
      <c r="G833" s="30">
        <v>2.5</v>
      </c>
      <c r="H833" s="30">
        <f t="shared" ref="H833" si="317">IF(G833&gt;0,(G833*1.5)+F833,"YOK")</f>
        <v>11.25</v>
      </c>
      <c r="I833" s="49" t="s">
        <v>802</v>
      </c>
      <c r="J833" s="31"/>
      <c r="K833" s="32">
        <v>1</v>
      </c>
      <c r="L833" s="32"/>
      <c r="M833" s="33"/>
      <c r="N833" s="33"/>
      <c r="O833" s="21"/>
      <c r="P833" s="21"/>
      <c r="R833" s="21"/>
    </row>
    <row r="834" spans="1:18" s="52" customFormat="1" ht="39.950000000000003" customHeight="1">
      <c r="A834" s="9">
        <v>75</v>
      </c>
      <c r="B834" s="223">
        <v>5469</v>
      </c>
      <c r="C834" s="50" t="s">
        <v>869</v>
      </c>
      <c r="D834" s="53" t="s">
        <v>870</v>
      </c>
      <c r="E834" s="192" t="s">
        <v>306</v>
      </c>
      <c r="F834" s="30">
        <v>7.5</v>
      </c>
      <c r="G834" s="30">
        <v>2.5</v>
      </c>
      <c r="H834" s="30">
        <f t="shared" ref="H834" si="318">IF(G834&gt;0,(G834*1.5)+F834,"YOK")</f>
        <v>11.25</v>
      </c>
      <c r="I834" s="49" t="s">
        <v>802</v>
      </c>
      <c r="J834" s="31"/>
      <c r="K834" s="32">
        <v>1</v>
      </c>
      <c r="L834" s="32"/>
      <c r="M834" s="33"/>
      <c r="N834" s="33"/>
      <c r="O834" s="21"/>
      <c r="P834" s="21"/>
    </row>
    <row r="835" spans="1:18" s="52" customFormat="1" ht="39.950000000000003" customHeight="1">
      <c r="A835" s="9">
        <v>76</v>
      </c>
      <c r="B835" s="223">
        <v>5125</v>
      </c>
      <c r="C835" s="50" t="s">
        <v>447</v>
      </c>
      <c r="D835" s="53" t="s">
        <v>448</v>
      </c>
      <c r="E835" s="192" t="s">
        <v>306</v>
      </c>
      <c r="F835" s="30">
        <v>7.5</v>
      </c>
      <c r="G835" s="30">
        <v>2.5</v>
      </c>
      <c r="H835" s="30">
        <f t="shared" ref="H835" si="319">IF(G835&gt;0,(G835*1.5)+F835,"YOK")</f>
        <v>11.25</v>
      </c>
      <c r="I835" s="49" t="s">
        <v>802</v>
      </c>
      <c r="J835" s="31"/>
      <c r="K835" s="32">
        <v>1</v>
      </c>
      <c r="L835" s="32"/>
      <c r="M835" s="33"/>
      <c r="N835" s="33"/>
      <c r="O835" s="21"/>
      <c r="P835" s="21"/>
      <c r="R835" s="21"/>
    </row>
    <row r="836" spans="1:18" s="52" customFormat="1" ht="39.950000000000003" customHeight="1">
      <c r="A836" s="9">
        <v>77</v>
      </c>
      <c r="B836" s="222">
        <v>5054</v>
      </c>
      <c r="C836" s="50" t="s">
        <v>445</v>
      </c>
      <c r="D836" s="50" t="s">
        <v>446</v>
      </c>
      <c r="E836" s="190" t="s">
        <v>306</v>
      </c>
      <c r="F836" s="30">
        <v>7.5</v>
      </c>
      <c r="G836" s="30">
        <v>2.5</v>
      </c>
      <c r="H836" s="30">
        <f t="shared" ref="H836" si="320">IF(G836&gt;0,(G836*1.5)+F836,"YOK")</f>
        <v>11.25</v>
      </c>
      <c r="I836" s="49" t="s">
        <v>802</v>
      </c>
      <c r="J836" s="31"/>
      <c r="K836" s="32">
        <v>1</v>
      </c>
      <c r="L836" s="32"/>
      <c r="M836" s="33"/>
      <c r="N836" s="33"/>
      <c r="O836" s="21"/>
      <c r="P836" s="21"/>
      <c r="R836" s="21"/>
    </row>
    <row r="837" spans="1:18" s="52" customFormat="1" ht="39.950000000000003" customHeight="1">
      <c r="A837" s="9">
        <v>78</v>
      </c>
      <c r="B837" s="223">
        <v>5565</v>
      </c>
      <c r="C837" s="50" t="s">
        <v>927</v>
      </c>
      <c r="D837" s="53" t="s">
        <v>931</v>
      </c>
      <c r="E837" s="192" t="s">
        <v>306</v>
      </c>
      <c r="F837" s="30">
        <v>7.5</v>
      </c>
      <c r="G837" s="30">
        <v>2.5</v>
      </c>
      <c r="H837" s="30">
        <f t="shared" ref="H837" si="321">IF(G837&gt;0,(G837*1.5)+F837,"YOK")</f>
        <v>11.25</v>
      </c>
      <c r="I837" s="49" t="s">
        <v>802</v>
      </c>
      <c r="J837" s="31"/>
      <c r="K837" s="32">
        <v>1</v>
      </c>
      <c r="L837" s="32"/>
      <c r="M837" s="33"/>
      <c r="N837" s="33"/>
      <c r="O837" s="21"/>
      <c r="P837" s="21"/>
      <c r="R837" s="21"/>
    </row>
    <row r="838" spans="1:18" s="52" customFormat="1" ht="39.950000000000003" customHeight="1">
      <c r="A838" s="9">
        <v>79</v>
      </c>
      <c r="B838" s="223">
        <v>5566</v>
      </c>
      <c r="C838" s="50" t="s">
        <v>928</v>
      </c>
      <c r="D838" s="53" t="s">
        <v>930</v>
      </c>
      <c r="E838" s="192" t="s">
        <v>306</v>
      </c>
      <c r="F838" s="30">
        <v>7.5</v>
      </c>
      <c r="G838" s="30">
        <v>2.5</v>
      </c>
      <c r="H838" s="30">
        <f t="shared" ref="H838" si="322">IF(G838&gt;0,(G838*1.5)+F838,"YOK")</f>
        <v>11.25</v>
      </c>
      <c r="I838" s="49" t="s">
        <v>802</v>
      </c>
      <c r="J838" s="31"/>
      <c r="K838" s="32">
        <v>1</v>
      </c>
      <c r="L838" s="32"/>
      <c r="M838" s="33"/>
      <c r="N838" s="33"/>
      <c r="O838" s="21"/>
      <c r="P838" s="21"/>
      <c r="R838" s="21"/>
    </row>
    <row r="839" spans="1:18" s="52" customFormat="1" ht="39.950000000000003" customHeight="1">
      <c r="A839" s="9">
        <v>80</v>
      </c>
      <c r="B839" s="223">
        <v>5579</v>
      </c>
      <c r="C839" s="50" t="s">
        <v>963</v>
      </c>
      <c r="D839" s="53" t="s">
        <v>964</v>
      </c>
      <c r="E839" s="192" t="s">
        <v>306</v>
      </c>
      <c r="F839" s="30">
        <v>7.5</v>
      </c>
      <c r="G839" s="30">
        <v>2.5</v>
      </c>
      <c r="H839" s="30">
        <f t="shared" si="307"/>
        <v>11.25</v>
      </c>
      <c r="I839" s="49" t="s">
        <v>802</v>
      </c>
      <c r="J839" s="31"/>
      <c r="K839" s="32">
        <v>1</v>
      </c>
      <c r="L839" s="32"/>
      <c r="M839" s="33"/>
      <c r="N839" s="33"/>
      <c r="O839" s="21"/>
      <c r="P839" s="21"/>
      <c r="R839" s="21"/>
    </row>
    <row r="840" spans="1:18" s="52" customFormat="1" ht="39.950000000000003" customHeight="1">
      <c r="A840" s="9">
        <v>81</v>
      </c>
      <c r="B840" s="223">
        <v>5464</v>
      </c>
      <c r="C840" s="50" t="s">
        <v>865</v>
      </c>
      <c r="D840" s="53" t="s">
        <v>866</v>
      </c>
      <c r="E840" s="192" t="s">
        <v>306</v>
      </c>
      <c r="F840" s="30">
        <v>7.5</v>
      </c>
      <c r="G840" s="30">
        <v>2.5</v>
      </c>
      <c r="H840" s="30">
        <f t="shared" ref="H840" si="323">IF(G840&gt;0,(G840*1.5)+F840,"YOK")</f>
        <v>11.25</v>
      </c>
      <c r="I840" s="49" t="s">
        <v>802</v>
      </c>
      <c r="J840" s="31"/>
      <c r="K840" s="32">
        <v>1</v>
      </c>
      <c r="L840" s="32"/>
      <c r="M840" s="33"/>
      <c r="N840" s="33"/>
      <c r="O840" s="21"/>
      <c r="P840" s="21"/>
    </row>
    <row r="841" spans="1:18" s="52" customFormat="1" ht="39.950000000000003" customHeight="1">
      <c r="A841" s="9">
        <v>82</v>
      </c>
      <c r="B841" s="223">
        <v>5636</v>
      </c>
      <c r="C841" s="50" t="s">
        <v>1051</v>
      </c>
      <c r="D841" s="53" t="s">
        <v>1052</v>
      </c>
      <c r="E841" s="192" t="s">
        <v>306</v>
      </c>
      <c r="F841" s="30">
        <v>7.5</v>
      </c>
      <c r="G841" s="30">
        <v>2.5</v>
      </c>
      <c r="H841" s="30">
        <f t="shared" ref="H841:H842" si="324">IF(G841&gt;0,(G841*1.5)+F841,"YOK")</f>
        <v>11.25</v>
      </c>
      <c r="I841" s="49" t="s">
        <v>802</v>
      </c>
      <c r="J841" s="31"/>
      <c r="K841" s="32">
        <v>1</v>
      </c>
      <c r="L841" s="32"/>
      <c r="M841" s="33"/>
      <c r="N841" s="33"/>
      <c r="O841" s="21"/>
      <c r="P841" s="21"/>
    </row>
    <row r="842" spans="1:18" s="52" customFormat="1" ht="39.950000000000003" customHeight="1">
      <c r="A842" s="9">
        <v>83</v>
      </c>
      <c r="B842" s="223">
        <v>5384</v>
      </c>
      <c r="C842" s="50" t="s">
        <v>772</v>
      </c>
      <c r="D842" s="53" t="s">
        <v>773</v>
      </c>
      <c r="E842" s="192" t="s">
        <v>306</v>
      </c>
      <c r="F842" s="30">
        <v>7.5</v>
      </c>
      <c r="G842" s="30">
        <v>2.5</v>
      </c>
      <c r="H842" s="30">
        <f t="shared" si="324"/>
        <v>11.25</v>
      </c>
      <c r="I842" s="49" t="s">
        <v>802</v>
      </c>
      <c r="J842" s="31"/>
      <c r="K842" s="32">
        <v>1</v>
      </c>
      <c r="L842" s="32"/>
      <c r="M842" s="33"/>
      <c r="N842" s="33"/>
      <c r="O842" s="21"/>
      <c r="P842" s="21"/>
      <c r="Q842" s="21"/>
      <c r="R842" s="21"/>
    </row>
    <row r="843" spans="1:18" s="52" customFormat="1" ht="39.950000000000003" customHeight="1">
      <c r="A843" s="9">
        <v>84</v>
      </c>
      <c r="B843" s="223">
        <v>5929</v>
      </c>
      <c r="C843" s="50" t="s">
        <v>1500</v>
      </c>
      <c r="D843" s="53" t="s">
        <v>1501</v>
      </c>
      <c r="E843" s="54" t="s">
        <v>306</v>
      </c>
      <c r="F843" s="30">
        <v>7.5</v>
      </c>
      <c r="G843" s="30">
        <v>2.5</v>
      </c>
      <c r="H843" s="30">
        <f t="shared" ref="H843" si="325">IF(G843&gt;0,(G843*1.5)+F843,"YOK")</f>
        <v>11.25</v>
      </c>
      <c r="I843" s="49" t="s">
        <v>802</v>
      </c>
      <c r="J843" s="31"/>
      <c r="K843" s="32">
        <v>1</v>
      </c>
      <c r="L843" s="32"/>
      <c r="M843" s="33"/>
      <c r="N843" s="33"/>
      <c r="O843" s="21"/>
      <c r="P843" s="21"/>
      <c r="Q843" s="21"/>
      <c r="R843" s="21"/>
    </row>
    <row r="844" spans="1:18" s="52" customFormat="1" ht="39.950000000000003" customHeight="1">
      <c r="A844" s="9">
        <v>85</v>
      </c>
      <c r="B844" s="223">
        <v>5982</v>
      </c>
      <c r="C844" s="50" t="s">
        <v>1570</v>
      </c>
      <c r="D844" s="53" t="s">
        <v>1575</v>
      </c>
      <c r="E844" s="54" t="s">
        <v>306</v>
      </c>
      <c r="F844" s="30">
        <v>7.5</v>
      </c>
      <c r="G844" s="30">
        <v>2.5</v>
      </c>
      <c r="H844" s="30">
        <f t="shared" ref="H844" si="326">IF(G844&gt;0,(G844*1.5)+F844,"YOK")</f>
        <v>11.25</v>
      </c>
      <c r="I844" s="49" t="s">
        <v>802</v>
      </c>
      <c r="J844" s="31"/>
      <c r="K844" s="32">
        <v>1</v>
      </c>
      <c r="L844" s="32"/>
      <c r="M844" s="33"/>
      <c r="N844" s="33"/>
      <c r="O844" s="21"/>
      <c r="P844" s="21"/>
      <c r="Q844" s="21"/>
      <c r="R844" s="21"/>
    </row>
    <row r="845" spans="1:18" s="52" customFormat="1" ht="39.950000000000003" customHeight="1">
      <c r="A845" s="9">
        <v>86</v>
      </c>
      <c r="B845" s="223">
        <v>5981</v>
      </c>
      <c r="C845" s="50" t="s">
        <v>1571</v>
      </c>
      <c r="D845" s="53" t="s">
        <v>1574</v>
      </c>
      <c r="E845" s="54" t="s">
        <v>306</v>
      </c>
      <c r="F845" s="30">
        <v>7.5</v>
      </c>
      <c r="G845" s="30">
        <v>2.5</v>
      </c>
      <c r="H845" s="30">
        <f t="shared" ref="H845" si="327">IF(G845&gt;0,(G845*1.5)+F845,"YOK")</f>
        <v>11.25</v>
      </c>
      <c r="I845" s="49" t="s">
        <v>802</v>
      </c>
      <c r="J845" s="31"/>
      <c r="K845" s="32">
        <v>1</v>
      </c>
      <c r="L845" s="32"/>
      <c r="M845" s="33"/>
      <c r="N845" s="33"/>
      <c r="O845" s="21"/>
      <c r="P845" s="21"/>
      <c r="Q845" s="21"/>
      <c r="R845" s="21"/>
    </row>
    <row r="846" spans="1:18" s="52" customFormat="1" ht="39.950000000000003" customHeight="1">
      <c r="A846" s="9">
        <v>87</v>
      </c>
      <c r="B846" s="223">
        <v>5980</v>
      </c>
      <c r="C846" s="50" t="s">
        <v>1572</v>
      </c>
      <c r="D846" s="53" t="s">
        <v>1573</v>
      </c>
      <c r="E846" s="54" t="s">
        <v>306</v>
      </c>
      <c r="F846" s="30">
        <v>7.5</v>
      </c>
      <c r="G846" s="30">
        <v>2.5</v>
      </c>
      <c r="H846" s="30">
        <f t="shared" ref="H846" si="328">IF(G846&gt;0,(G846*1.5)+F846,"YOK")</f>
        <v>11.25</v>
      </c>
      <c r="I846" s="49" t="s">
        <v>802</v>
      </c>
      <c r="J846" s="31"/>
      <c r="K846" s="32">
        <v>1</v>
      </c>
      <c r="L846" s="32"/>
      <c r="M846" s="33"/>
      <c r="N846" s="33"/>
      <c r="O846" s="21"/>
      <c r="P846" s="21"/>
      <c r="Q846" s="21"/>
      <c r="R846" s="21"/>
    </row>
    <row r="847" spans="1:18" s="52" customFormat="1" ht="39.950000000000003" customHeight="1">
      <c r="A847" s="9">
        <v>88</v>
      </c>
      <c r="B847" s="223">
        <v>5908</v>
      </c>
      <c r="C847" s="50" t="s">
        <v>1451</v>
      </c>
      <c r="D847" s="53" t="s">
        <v>1452</v>
      </c>
      <c r="E847" s="192" t="s">
        <v>306</v>
      </c>
      <c r="F847" s="30">
        <v>7.5</v>
      </c>
      <c r="G847" s="30">
        <v>2.5</v>
      </c>
      <c r="H847" s="30">
        <f t="shared" ref="H847" si="329">IF(G847&gt;0,(G847*1.5)+F847,"YOK")</f>
        <v>11.25</v>
      </c>
      <c r="I847" s="49" t="s">
        <v>802</v>
      </c>
      <c r="J847" s="31"/>
      <c r="K847" s="32">
        <v>1</v>
      </c>
      <c r="L847" s="32"/>
      <c r="M847" s="33"/>
      <c r="N847" s="33"/>
      <c r="O847" s="21"/>
      <c r="P847" s="21"/>
      <c r="Q847" s="21"/>
      <c r="R847" s="21"/>
    </row>
    <row r="848" spans="1:18" s="52" customFormat="1" ht="39.950000000000003" customHeight="1">
      <c r="A848" s="9">
        <v>89</v>
      </c>
      <c r="B848" s="223">
        <v>5907</v>
      </c>
      <c r="C848" s="50" t="s">
        <v>1497</v>
      </c>
      <c r="D848" s="53" t="s">
        <v>1453</v>
      </c>
      <c r="E848" s="192" t="s">
        <v>306</v>
      </c>
      <c r="F848" s="30">
        <v>7.5</v>
      </c>
      <c r="G848" s="30">
        <v>2.5</v>
      </c>
      <c r="H848" s="30">
        <f t="shared" ref="H848" si="330">IF(G848&gt;0,(G848*1.5)+F848,"YOK")</f>
        <v>11.25</v>
      </c>
      <c r="I848" s="49" t="s">
        <v>802</v>
      </c>
      <c r="J848" s="31"/>
      <c r="K848" s="32">
        <v>1</v>
      </c>
      <c r="L848" s="32"/>
      <c r="M848" s="33"/>
      <c r="N848" s="33"/>
      <c r="O848" s="21"/>
      <c r="P848" s="21"/>
      <c r="Q848" s="21"/>
      <c r="R848" s="21"/>
    </row>
    <row r="849" spans="1:23" s="52" customFormat="1" ht="39.950000000000003" customHeight="1">
      <c r="A849" s="9">
        <v>90</v>
      </c>
      <c r="B849" s="223">
        <v>5906</v>
      </c>
      <c r="C849" s="50" t="s">
        <v>1454</v>
      </c>
      <c r="D849" s="53" t="s">
        <v>1455</v>
      </c>
      <c r="E849" s="192" t="s">
        <v>306</v>
      </c>
      <c r="F849" s="30">
        <v>7.5</v>
      </c>
      <c r="G849" s="30">
        <v>2.5</v>
      </c>
      <c r="H849" s="30">
        <f t="shared" ref="H849" si="331">IF(G849&gt;0,(G849*1.5)+F849,"YOK")</f>
        <v>11.25</v>
      </c>
      <c r="I849" s="49" t="s">
        <v>802</v>
      </c>
      <c r="J849" s="31"/>
      <c r="K849" s="32">
        <v>1</v>
      </c>
      <c r="L849" s="32"/>
      <c r="M849" s="33"/>
      <c r="N849" s="33"/>
      <c r="O849" s="21"/>
      <c r="P849" s="21"/>
      <c r="Q849" s="21"/>
      <c r="R849" s="21"/>
    </row>
    <row r="850" spans="1:23" s="52" customFormat="1" ht="39.950000000000003" customHeight="1">
      <c r="A850" s="9">
        <v>91</v>
      </c>
      <c r="B850" s="223">
        <v>5961</v>
      </c>
      <c r="C850" s="50" t="s">
        <v>1533</v>
      </c>
      <c r="D850" s="53" t="s">
        <v>1534</v>
      </c>
      <c r="E850" s="54" t="s">
        <v>306</v>
      </c>
      <c r="F850" s="30">
        <v>7.5</v>
      </c>
      <c r="G850" s="30">
        <v>2.5</v>
      </c>
      <c r="H850" s="30">
        <f t="shared" ref="H850:H851" si="332">IF(G850&gt;0,(G850*1.5)+F850,"YOK")</f>
        <v>11.25</v>
      </c>
      <c r="I850" s="49" t="s">
        <v>802</v>
      </c>
      <c r="J850" s="31"/>
      <c r="K850" s="32">
        <v>1</v>
      </c>
      <c r="L850" s="32"/>
      <c r="M850" s="33"/>
      <c r="N850" s="33"/>
      <c r="O850" s="21"/>
      <c r="P850" s="21"/>
      <c r="Q850" s="21"/>
      <c r="R850" s="21"/>
    </row>
    <row r="851" spans="1:23" s="52" customFormat="1" ht="39.950000000000003" customHeight="1">
      <c r="A851" s="9">
        <v>92</v>
      </c>
      <c r="B851" s="223">
        <v>6021</v>
      </c>
      <c r="C851" s="50" t="s">
        <v>1656</v>
      </c>
      <c r="D851" s="53" t="s">
        <v>1657</v>
      </c>
      <c r="E851" s="54" t="s">
        <v>306</v>
      </c>
      <c r="F851" s="30">
        <v>7.5</v>
      </c>
      <c r="G851" s="30">
        <v>2.5</v>
      </c>
      <c r="H851" s="30">
        <f t="shared" si="332"/>
        <v>11.25</v>
      </c>
      <c r="I851" s="49" t="s">
        <v>802</v>
      </c>
      <c r="J851" s="31"/>
      <c r="K851" s="32">
        <v>1</v>
      </c>
      <c r="L851" s="32"/>
      <c r="M851" s="33"/>
      <c r="N851" s="33"/>
      <c r="O851" s="21"/>
      <c r="P851" s="21"/>
      <c r="Q851" s="21"/>
      <c r="R851" s="21"/>
    </row>
    <row r="852" spans="1:23" s="52" customFormat="1" ht="39.950000000000003" customHeight="1">
      <c r="A852" s="9">
        <v>93</v>
      </c>
      <c r="B852" s="223">
        <v>6022</v>
      </c>
      <c r="C852" s="50" t="s">
        <v>1658</v>
      </c>
      <c r="D852" s="53" t="s">
        <v>1659</v>
      </c>
      <c r="E852" s="54" t="s">
        <v>306</v>
      </c>
      <c r="F852" s="30">
        <v>7.5</v>
      </c>
      <c r="G852" s="30">
        <v>2.5</v>
      </c>
      <c r="H852" s="30">
        <f t="shared" ref="H852" si="333">IF(G852&gt;0,(G852*1.5)+F852,"YOK")</f>
        <v>11.25</v>
      </c>
      <c r="I852" s="49" t="s">
        <v>802</v>
      </c>
      <c r="J852" s="31"/>
      <c r="K852" s="32">
        <v>1</v>
      </c>
      <c r="L852" s="32"/>
      <c r="M852" s="33"/>
      <c r="N852" s="33"/>
      <c r="O852" s="21"/>
      <c r="P852" s="21"/>
      <c r="Q852" s="21"/>
      <c r="R852" s="21"/>
    </row>
    <row r="853" spans="1:23" s="52" customFormat="1" ht="39.950000000000003" customHeight="1">
      <c r="A853" s="9">
        <v>94</v>
      </c>
      <c r="B853" s="223">
        <v>6025</v>
      </c>
      <c r="C853" s="50" t="s">
        <v>1664</v>
      </c>
      <c r="D853" s="53" t="s">
        <v>1665</v>
      </c>
      <c r="E853" s="54" t="s">
        <v>306</v>
      </c>
      <c r="F853" s="30">
        <v>7.5</v>
      </c>
      <c r="G853" s="30">
        <v>2.5</v>
      </c>
      <c r="H853" s="30">
        <f t="shared" ref="H853" si="334">IF(G853&gt;0,(G853*1.5)+F853,"YOK")</f>
        <v>11.25</v>
      </c>
      <c r="I853" s="49" t="s">
        <v>802</v>
      </c>
      <c r="J853" s="31"/>
      <c r="K853" s="32">
        <v>1</v>
      </c>
      <c r="L853" s="32"/>
      <c r="M853" s="33"/>
      <c r="N853" s="33"/>
      <c r="O853" s="21"/>
      <c r="P853" s="21"/>
      <c r="Q853" s="21"/>
      <c r="R853" s="21"/>
    </row>
    <row r="854" spans="1:23" s="52" customFormat="1" ht="39.950000000000003" customHeight="1">
      <c r="A854" s="9">
        <v>95</v>
      </c>
      <c r="B854" s="223">
        <v>6026</v>
      </c>
      <c r="C854" s="50" t="s">
        <v>1666</v>
      </c>
      <c r="D854" s="53" t="s">
        <v>1995</v>
      </c>
      <c r="E854" s="54" t="s">
        <v>306</v>
      </c>
      <c r="F854" s="30">
        <v>7.5</v>
      </c>
      <c r="G854" s="30">
        <v>2.5</v>
      </c>
      <c r="H854" s="30">
        <f t="shared" ref="H854" si="335">IF(G854&gt;0,(G854*1.5)+F854,"YOK")</f>
        <v>11.25</v>
      </c>
      <c r="I854" s="49" t="s">
        <v>802</v>
      </c>
      <c r="J854" s="31"/>
      <c r="K854" s="32">
        <v>1</v>
      </c>
      <c r="L854" s="32"/>
      <c r="M854" s="33"/>
      <c r="N854" s="33"/>
      <c r="O854" s="21"/>
      <c r="P854" s="21"/>
      <c r="Q854" s="21"/>
      <c r="R854" s="21"/>
    </row>
    <row r="855" spans="1:23" s="52" customFormat="1" ht="39.950000000000003" customHeight="1">
      <c r="A855" s="9">
        <v>96</v>
      </c>
      <c r="B855" s="223">
        <v>6027</v>
      </c>
      <c r="C855" s="50" t="s">
        <v>1667</v>
      </c>
      <c r="D855" s="53" t="s">
        <v>1668</v>
      </c>
      <c r="E855" s="54" t="s">
        <v>306</v>
      </c>
      <c r="F855" s="30">
        <v>7.5</v>
      </c>
      <c r="G855" s="30">
        <v>2.5</v>
      </c>
      <c r="H855" s="30">
        <f t="shared" ref="H855" si="336">IF(G855&gt;0,(G855*1.5)+F855,"YOK")</f>
        <v>11.25</v>
      </c>
      <c r="I855" s="49" t="s">
        <v>802</v>
      </c>
      <c r="J855" s="31"/>
      <c r="K855" s="32">
        <v>1</v>
      </c>
      <c r="L855" s="32"/>
      <c r="M855" s="33"/>
      <c r="N855" s="33"/>
      <c r="O855" s="21"/>
      <c r="P855" s="21"/>
      <c r="Q855" s="21"/>
      <c r="R855" s="21"/>
    </row>
    <row r="856" spans="1:23" s="52" customFormat="1" ht="39.950000000000003" customHeight="1">
      <c r="A856" s="9">
        <v>97</v>
      </c>
      <c r="B856" s="223">
        <v>6028</v>
      </c>
      <c r="C856" s="50" t="s">
        <v>1669</v>
      </c>
      <c r="D856" s="53" t="s">
        <v>1670</v>
      </c>
      <c r="E856" s="54" t="s">
        <v>306</v>
      </c>
      <c r="F856" s="30">
        <v>7.5</v>
      </c>
      <c r="G856" s="30">
        <v>2.5</v>
      </c>
      <c r="H856" s="30">
        <f t="shared" ref="H856" si="337">IF(G856&gt;0,(G856*1.5)+F856,"YOK")</f>
        <v>11.25</v>
      </c>
      <c r="I856" s="49" t="s">
        <v>802</v>
      </c>
      <c r="J856" s="31"/>
      <c r="K856" s="32">
        <v>1</v>
      </c>
      <c r="L856" s="32"/>
      <c r="M856" s="33"/>
      <c r="N856" s="33"/>
      <c r="O856" s="21"/>
      <c r="P856" s="21"/>
      <c r="Q856" s="21"/>
      <c r="R856" s="21"/>
    </row>
    <row r="857" spans="1:23" s="52" customFormat="1" ht="39.950000000000003" customHeight="1">
      <c r="A857" s="9">
        <v>98</v>
      </c>
      <c r="B857" s="223">
        <v>5956</v>
      </c>
      <c r="C857" s="50" t="s">
        <v>1531</v>
      </c>
      <c r="D857" s="53" t="s">
        <v>1538</v>
      </c>
      <c r="E857" s="54" t="s">
        <v>306</v>
      </c>
      <c r="F857" s="30">
        <v>7.5</v>
      </c>
      <c r="G857" s="30">
        <v>2.5</v>
      </c>
      <c r="H857" s="30">
        <f t="shared" ref="H857" si="338">IF(G857&gt;0,(G857*1.5)+F857,"YOK")</f>
        <v>11.25</v>
      </c>
      <c r="I857" s="49" t="s">
        <v>802</v>
      </c>
      <c r="J857" s="31"/>
      <c r="K857" s="32">
        <v>1</v>
      </c>
      <c r="L857" s="32"/>
      <c r="M857" s="33"/>
      <c r="N857" s="33"/>
      <c r="O857" s="21"/>
      <c r="P857" s="21"/>
      <c r="Q857" s="21"/>
      <c r="R857" s="21"/>
    </row>
    <row r="858" spans="1:23" s="52" customFormat="1" ht="39.950000000000003" customHeight="1">
      <c r="A858" s="9">
        <v>99</v>
      </c>
      <c r="B858" s="223">
        <v>5957</v>
      </c>
      <c r="C858" s="50" t="s">
        <v>1536</v>
      </c>
      <c r="D858" s="53" t="s">
        <v>1537</v>
      </c>
      <c r="E858" s="54" t="s">
        <v>306</v>
      </c>
      <c r="F858" s="30">
        <v>7.5</v>
      </c>
      <c r="G858" s="30">
        <v>2.5</v>
      </c>
      <c r="H858" s="30">
        <f t="shared" ref="H858" si="339">IF(G858&gt;0,(G858*1.5)+F858,"YOK")</f>
        <v>11.25</v>
      </c>
      <c r="I858" s="49" t="s">
        <v>802</v>
      </c>
      <c r="J858" s="31"/>
      <c r="K858" s="32">
        <v>1</v>
      </c>
      <c r="L858" s="32"/>
      <c r="M858" s="33"/>
      <c r="N858" s="33"/>
      <c r="O858" s="21"/>
      <c r="P858" s="21"/>
      <c r="Q858" s="21"/>
      <c r="R858" s="21"/>
    </row>
    <row r="859" spans="1:23" s="52" customFormat="1" ht="39.950000000000003" customHeight="1">
      <c r="A859" s="9">
        <v>100</v>
      </c>
      <c r="B859" s="223">
        <v>5954</v>
      </c>
      <c r="C859" s="50" t="s">
        <v>1540</v>
      </c>
      <c r="D859" s="53" t="s">
        <v>1541</v>
      </c>
      <c r="E859" s="54" t="s">
        <v>306</v>
      </c>
      <c r="F859" s="30">
        <v>7.5</v>
      </c>
      <c r="G859" s="30">
        <v>2.5</v>
      </c>
      <c r="H859" s="30">
        <f>IF(G859&gt;0,(G859*1.5)+F859,"YOK")</f>
        <v>11.25</v>
      </c>
      <c r="I859" s="49" t="s">
        <v>802</v>
      </c>
      <c r="J859" s="31"/>
      <c r="K859" s="32">
        <v>1</v>
      </c>
      <c r="L859" s="32"/>
      <c r="M859" s="33"/>
      <c r="N859" s="33"/>
      <c r="O859" s="21"/>
      <c r="P859" s="21"/>
      <c r="Q859" s="21"/>
      <c r="R859" s="21"/>
    </row>
    <row r="860" spans="1:23" s="52" customFormat="1" ht="39.950000000000003" customHeight="1">
      <c r="A860" s="9">
        <v>101</v>
      </c>
      <c r="B860" s="223">
        <v>5955</v>
      </c>
      <c r="C860" s="50" t="s">
        <v>1530</v>
      </c>
      <c r="D860" s="53" t="s">
        <v>1539</v>
      </c>
      <c r="E860" s="54" t="s">
        <v>306</v>
      </c>
      <c r="F860" s="30">
        <v>7.5</v>
      </c>
      <c r="G860" s="30">
        <v>2.5</v>
      </c>
      <c r="H860" s="30">
        <f>IF(G860&gt;0,(G860*1.5)+F860,"YOK")</f>
        <v>11.25</v>
      </c>
      <c r="I860" s="49" t="s">
        <v>802</v>
      </c>
      <c r="J860" s="31"/>
      <c r="K860" s="32">
        <v>1</v>
      </c>
      <c r="L860" s="32"/>
      <c r="M860" s="33"/>
      <c r="N860" s="33"/>
      <c r="O860" s="21"/>
      <c r="P860" s="21"/>
      <c r="Q860" s="21"/>
      <c r="R860" s="21"/>
    </row>
    <row r="861" spans="1:23" s="52" customFormat="1" ht="39.950000000000003" customHeight="1">
      <c r="A861" s="9">
        <v>102</v>
      </c>
      <c r="B861" s="223">
        <v>5960</v>
      </c>
      <c r="C861" s="50" t="s">
        <v>1532</v>
      </c>
      <c r="D861" s="53" t="s">
        <v>1535</v>
      </c>
      <c r="E861" s="54" t="s">
        <v>306</v>
      </c>
      <c r="F861" s="30">
        <v>7.5</v>
      </c>
      <c r="G861" s="30">
        <v>2.5</v>
      </c>
      <c r="H861" s="30">
        <f>IF(G861&gt;0,(G861*1.5)+F861,"YOK")</f>
        <v>11.25</v>
      </c>
      <c r="I861" s="49" t="s">
        <v>802</v>
      </c>
      <c r="J861" s="31"/>
      <c r="K861" s="32">
        <v>1</v>
      </c>
      <c r="L861" s="32"/>
      <c r="M861" s="33"/>
      <c r="N861" s="33"/>
      <c r="O861" s="21"/>
      <c r="P861" s="21"/>
      <c r="Q861" s="21"/>
      <c r="R861" s="21"/>
    </row>
    <row r="862" spans="1:23" s="52" customFormat="1" ht="39.950000000000003" customHeight="1">
      <c r="A862" s="9">
        <v>103</v>
      </c>
      <c r="B862" s="223">
        <v>5386</v>
      </c>
      <c r="C862" s="50" t="s">
        <v>774</v>
      </c>
      <c r="D862" s="53" t="s">
        <v>775</v>
      </c>
      <c r="E862" s="192" t="s">
        <v>306</v>
      </c>
      <c r="F862" s="30">
        <v>7.5</v>
      </c>
      <c r="G862" s="30">
        <v>2.5</v>
      </c>
      <c r="H862" s="30">
        <f t="shared" ref="H862:H866" si="340">IF(G862&gt;0,(G862*1.5)+F862,"YOK")</f>
        <v>11.25</v>
      </c>
      <c r="I862" s="49" t="s">
        <v>802</v>
      </c>
      <c r="J862" s="31"/>
      <c r="K862" s="32">
        <v>1</v>
      </c>
      <c r="L862" s="32"/>
      <c r="M862" s="33"/>
      <c r="N862" s="33"/>
      <c r="O862" s="21"/>
      <c r="P862" s="21"/>
      <c r="W862" s="55"/>
    </row>
    <row r="863" spans="1:23" s="52" customFormat="1" ht="39.950000000000003" customHeight="1">
      <c r="A863" s="9">
        <v>104</v>
      </c>
      <c r="B863" s="223">
        <v>6184</v>
      </c>
      <c r="C863" s="50" t="s">
        <v>2056</v>
      </c>
      <c r="D863" s="53" t="s">
        <v>2057</v>
      </c>
      <c r="E863" s="192" t="s">
        <v>306</v>
      </c>
      <c r="F863" s="30">
        <v>7.5</v>
      </c>
      <c r="G863" s="30">
        <v>2.5</v>
      </c>
      <c r="H863" s="30">
        <f t="shared" ref="H863" si="341">IF(G863&gt;0,(G863*1.5)+F863,"YOK")</f>
        <v>11.25</v>
      </c>
      <c r="I863" s="49" t="s">
        <v>802</v>
      </c>
      <c r="J863" s="31"/>
      <c r="K863" s="32">
        <v>1</v>
      </c>
      <c r="L863" s="32"/>
      <c r="M863" s="33"/>
      <c r="N863" s="33"/>
      <c r="O863" s="21"/>
      <c r="P863" s="21"/>
      <c r="W863" s="55"/>
    </row>
    <row r="864" spans="1:23" s="52" customFormat="1" ht="39.950000000000003" customHeight="1">
      <c r="A864" s="9">
        <v>105</v>
      </c>
      <c r="B864" s="223">
        <v>5388</v>
      </c>
      <c r="C864" s="50" t="s">
        <v>776</v>
      </c>
      <c r="D864" s="53" t="s">
        <v>777</v>
      </c>
      <c r="E864" s="192" t="s">
        <v>306</v>
      </c>
      <c r="F864" s="30">
        <v>7.5</v>
      </c>
      <c r="G864" s="30">
        <v>2.5</v>
      </c>
      <c r="H864" s="30">
        <f t="shared" si="340"/>
        <v>11.25</v>
      </c>
      <c r="I864" s="49" t="s">
        <v>802</v>
      </c>
      <c r="J864" s="31"/>
      <c r="K864" s="32">
        <v>1</v>
      </c>
      <c r="L864" s="32"/>
      <c r="M864" s="33"/>
      <c r="N864" s="33"/>
      <c r="O864" s="21"/>
      <c r="P864" s="21"/>
      <c r="Q864" s="21"/>
      <c r="R864" s="21"/>
    </row>
    <row r="865" spans="1:23" s="52" customFormat="1" ht="39.950000000000003" customHeight="1">
      <c r="A865" s="9">
        <v>106</v>
      </c>
      <c r="B865" s="223">
        <v>6375</v>
      </c>
      <c r="C865" s="50" t="s">
        <v>2454</v>
      </c>
      <c r="D865" s="53" t="s">
        <v>2455</v>
      </c>
      <c r="E865" s="192" t="s">
        <v>306</v>
      </c>
      <c r="F865" s="30">
        <v>7.5</v>
      </c>
      <c r="G865" s="30">
        <v>2.5</v>
      </c>
      <c r="H865" s="30">
        <f t="shared" si="340"/>
        <v>11.25</v>
      </c>
      <c r="I865" s="49" t="s">
        <v>802</v>
      </c>
      <c r="J865" s="31"/>
      <c r="K865" s="32">
        <v>1</v>
      </c>
      <c r="L865" s="32"/>
      <c r="M865" s="33"/>
      <c r="N865" s="33"/>
      <c r="O865" s="21"/>
      <c r="P865" s="21"/>
      <c r="Q865" s="21"/>
      <c r="R865" s="21"/>
    </row>
    <row r="866" spans="1:23" s="52" customFormat="1" ht="39.950000000000003" customHeight="1">
      <c r="A866" s="9">
        <v>107</v>
      </c>
      <c r="B866" s="222">
        <v>6468</v>
      </c>
      <c r="C866" s="185" t="s">
        <v>2548</v>
      </c>
      <c r="D866" s="238" t="s">
        <v>2549</v>
      </c>
      <c r="E866" s="54" t="s">
        <v>306</v>
      </c>
      <c r="F866" s="30">
        <v>7.5</v>
      </c>
      <c r="G866" s="30">
        <v>2.5</v>
      </c>
      <c r="H866" s="30">
        <f t="shared" si="340"/>
        <v>11.25</v>
      </c>
      <c r="I866" s="49" t="s">
        <v>802</v>
      </c>
      <c r="J866" s="31"/>
      <c r="K866" s="32">
        <v>1</v>
      </c>
      <c r="L866" s="32"/>
      <c r="M866" s="33"/>
      <c r="N866" s="33"/>
      <c r="O866" s="21"/>
      <c r="P866" s="21"/>
      <c r="Q866" s="21"/>
      <c r="R866" s="21"/>
    </row>
    <row r="867" spans="1:23" s="52" customFormat="1" ht="39.950000000000003" customHeight="1">
      <c r="A867" s="9">
        <v>108</v>
      </c>
      <c r="B867" s="223">
        <v>6024</v>
      </c>
      <c r="C867" s="50" t="s">
        <v>1662</v>
      </c>
      <c r="D867" s="53" t="s">
        <v>1663</v>
      </c>
      <c r="E867" s="54" t="s">
        <v>306</v>
      </c>
      <c r="F867" s="30">
        <v>0</v>
      </c>
      <c r="G867" s="30">
        <v>0</v>
      </c>
      <c r="H867" s="30" t="str">
        <f t="shared" ref="H867" si="342">IF(G867&gt;0,(G867*1.5)+F867,"YOK")</f>
        <v>YOK</v>
      </c>
      <c r="I867" s="49" t="s">
        <v>1185</v>
      </c>
      <c r="J867" s="31">
        <v>1</v>
      </c>
      <c r="K867" s="32">
        <v>0</v>
      </c>
      <c r="L867" s="32"/>
      <c r="M867" s="33"/>
      <c r="N867" s="33"/>
      <c r="O867" s="21"/>
      <c r="P867" s="21"/>
      <c r="Q867" s="21"/>
      <c r="R867" s="21"/>
    </row>
    <row r="868" spans="1:23" s="52" customFormat="1" ht="39.950000000000003" customHeight="1">
      <c r="A868" s="9">
        <v>109</v>
      </c>
      <c r="B868" s="223">
        <v>6023</v>
      </c>
      <c r="C868" s="50" t="s">
        <v>1660</v>
      </c>
      <c r="D868" s="53" t="s">
        <v>1661</v>
      </c>
      <c r="E868" s="54" t="s">
        <v>306</v>
      </c>
      <c r="F868" s="30">
        <v>7.5</v>
      </c>
      <c r="G868" s="30">
        <v>2.5</v>
      </c>
      <c r="H868" s="30">
        <f t="shared" ref="H868" si="343">IF(G868&gt;0,(G868*1.5)+F868,"YOK")</f>
        <v>11.25</v>
      </c>
      <c r="I868" s="49" t="s">
        <v>802</v>
      </c>
      <c r="J868" s="31"/>
      <c r="K868" s="32">
        <v>1</v>
      </c>
      <c r="L868" s="32"/>
      <c r="M868" s="33"/>
      <c r="N868" s="33"/>
      <c r="O868" s="21"/>
      <c r="P868" s="21"/>
      <c r="Q868" s="21"/>
      <c r="R868" s="21"/>
    </row>
    <row r="869" spans="1:23" s="52" customFormat="1" ht="39.950000000000003" customHeight="1">
      <c r="A869" s="9">
        <v>110</v>
      </c>
      <c r="B869" s="223">
        <v>6715</v>
      </c>
      <c r="C869" s="185" t="s">
        <v>3185</v>
      </c>
      <c r="D869" s="53" t="s">
        <v>3186</v>
      </c>
      <c r="E869" s="54" t="s">
        <v>306</v>
      </c>
      <c r="F869" s="30">
        <v>7.5</v>
      </c>
      <c r="G869" s="30">
        <v>2.5</v>
      </c>
      <c r="H869" s="30">
        <f t="shared" ref="H869" si="344">IF(G869&gt;0,(G869*1.5)+F869,"YOK")</f>
        <v>11.25</v>
      </c>
      <c r="I869" s="49" t="s">
        <v>802</v>
      </c>
      <c r="J869" s="31"/>
      <c r="K869" s="32">
        <v>1</v>
      </c>
      <c r="L869" s="32"/>
      <c r="M869" s="33"/>
      <c r="N869" s="33"/>
      <c r="O869" s="21"/>
      <c r="P869" s="21"/>
      <c r="Q869" s="21"/>
      <c r="R869" s="21"/>
    </row>
    <row r="870" spans="1:23" s="52" customFormat="1" ht="39.950000000000003" customHeight="1">
      <c r="A870" s="9">
        <v>111</v>
      </c>
      <c r="B870" s="223">
        <v>6029</v>
      </c>
      <c r="C870" s="50" t="s">
        <v>1671</v>
      </c>
      <c r="D870" s="53" t="s">
        <v>1672</v>
      </c>
      <c r="E870" s="54" t="s">
        <v>1621</v>
      </c>
      <c r="F870" s="30">
        <v>0</v>
      </c>
      <c r="G870" s="30">
        <v>0</v>
      </c>
      <c r="H870" s="30" t="str">
        <f t="shared" ref="H870" si="345">IF(G870&gt;0,(G870*1.5)+F870,"YOK")</f>
        <v>YOK</v>
      </c>
      <c r="I870" s="49" t="s">
        <v>1185</v>
      </c>
      <c r="J870" s="31">
        <v>1</v>
      </c>
      <c r="K870" s="32">
        <v>0</v>
      </c>
      <c r="L870" s="32"/>
      <c r="M870" s="33"/>
      <c r="N870"/>
      <c r="O870" s="21"/>
      <c r="P870" s="21"/>
      <c r="Q870" s="21"/>
      <c r="R870" s="21"/>
    </row>
    <row r="871" spans="1:23" s="52" customFormat="1" ht="39.950000000000003" customHeight="1">
      <c r="A871" s="9">
        <v>112</v>
      </c>
      <c r="B871" s="223" t="s">
        <v>979</v>
      </c>
      <c r="C871" s="50" t="s">
        <v>1330</v>
      </c>
      <c r="D871" s="53" t="s">
        <v>1331</v>
      </c>
      <c r="E871" s="192" t="s">
        <v>454</v>
      </c>
      <c r="F871" s="30">
        <v>7.5</v>
      </c>
      <c r="G871" s="30">
        <v>2.5</v>
      </c>
      <c r="H871" s="30">
        <f>IF(G871&gt;0,(G871*1.5)+F871,"YOK")</f>
        <v>11.25</v>
      </c>
      <c r="I871" s="22" t="s">
        <v>1100</v>
      </c>
      <c r="J871" s="31"/>
      <c r="K871" s="32">
        <v>1</v>
      </c>
      <c r="L871" s="32"/>
      <c r="M871" s="33"/>
      <c r="N871" s="33"/>
      <c r="O871" s="21"/>
      <c r="P871" s="21"/>
      <c r="R871" s="21"/>
    </row>
    <row r="872" spans="1:23" s="52" customFormat="1" ht="39.950000000000003" customHeight="1">
      <c r="A872" s="9">
        <v>113</v>
      </c>
      <c r="B872" s="223">
        <v>4992</v>
      </c>
      <c r="C872" s="185" t="s">
        <v>442</v>
      </c>
      <c r="D872" s="53" t="s">
        <v>951</v>
      </c>
      <c r="E872" s="192" t="s">
        <v>348</v>
      </c>
      <c r="F872" s="30">
        <v>7.5</v>
      </c>
      <c r="G872" s="30">
        <v>2.5</v>
      </c>
      <c r="H872" s="30">
        <f t="shared" ref="H872" si="346">IF(G872&gt;0,(G872*1.5)+F872,"YOK")</f>
        <v>11.25</v>
      </c>
      <c r="I872" s="22" t="s">
        <v>118</v>
      </c>
      <c r="J872" s="31"/>
      <c r="K872" s="32">
        <v>0</v>
      </c>
      <c r="L872" s="32"/>
      <c r="M872" s="33">
        <v>1</v>
      </c>
      <c r="N872" s="33"/>
      <c r="O872" s="21"/>
      <c r="P872" s="21"/>
      <c r="R872" s="21"/>
    </row>
    <row r="873" spans="1:23" s="52" customFormat="1" ht="39.950000000000003" customHeight="1">
      <c r="A873" s="9">
        <v>114</v>
      </c>
      <c r="B873" s="222">
        <v>5474</v>
      </c>
      <c r="C873" s="50" t="s">
        <v>857</v>
      </c>
      <c r="D873" s="50" t="s">
        <v>858</v>
      </c>
      <c r="E873" s="51" t="s">
        <v>259</v>
      </c>
      <c r="F873" s="30">
        <v>7.5</v>
      </c>
      <c r="G873" s="30">
        <v>2.5</v>
      </c>
      <c r="H873" s="30">
        <f t="shared" ref="H873" si="347">IF(G873&gt;0,(G873*1.5)+F873,"YOK")</f>
        <v>11.25</v>
      </c>
      <c r="I873" s="22" t="s">
        <v>70</v>
      </c>
      <c r="J873" s="31"/>
      <c r="K873" s="32">
        <v>0</v>
      </c>
      <c r="L873" s="32"/>
      <c r="M873" s="33">
        <v>1</v>
      </c>
      <c r="N873" s="33"/>
      <c r="O873" s="21"/>
      <c r="P873" s="21"/>
      <c r="R873" s="21"/>
    </row>
    <row r="874" spans="1:23" s="52" customFormat="1" ht="39.950000000000003" customHeight="1">
      <c r="A874" s="9">
        <v>115</v>
      </c>
      <c r="B874" s="223">
        <v>5633</v>
      </c>
      <c r="C874" s="185" t="s">
        <v>1049</v>
      </c>
      <c r="D874" s="53" t="s">
        <v>1050</v>
      </c>
      <c r="E874" s="54" t="s">
        <v>259</v>
      </c>
      <c r="F874" s="30">
        <v>7.5</v>
      </c>
      <c r="G874" s="30">
        <v>2.5</v>
      </c>
      <c r="H874" s="30">
        <f t="shared" ref="H874" si="348">IF(G874&gt;0,(G874*1.5)+F874,"YOK")</f>
        <v>11.25</v>
      </c>
      <c r="I874" s="22" t="s">
        <v>70</v>
      </c>
      <c r="J874" s="31"/>
      <c r="K874" s="32">
        <v>0</v>
      </c>
      <c r="L874" s="32"/>
      <c r="M874" s="33">
        <v>1</v>
      </c>
      <c r="N874" s="33"/>
      <c r="O874" s="21"/>
      <c r="P874" s="21"/>
      <c r="Q874" s="21"/>
      <c r="R874" s="21"/>
    </row>
    <row r="875" spans="1:23" s="52" customFormat="1" ht="39.950000000000003" customHeight="1">
      <c r="A875" s="9">
        <v>116</v>
      </c>
      <c r="B875" s="223">
        <v>4737</v>
      </c>
      <c r="C875" s="50" t="s">
        <v>499</v>
      </c>
      <c r="D875" s="53" t="s">
        <v>500</v>
      </c>
      <c r="E875" s="54" t="s">
        <v>259</v>
      </c>
      <c r="F875" s="30">
        <v>0</v>
      </c>
      <c r="G875" s="30"/>
      <c r="H875" s="30"/>
      <c r="I875" s="22" t="s">
        <v>34</v>
      </c>
      <c r="J875" s="31"/>
      <c r="K875" s="32">
        <v>0</v>
      </c>
      <c r="L875" s="32"/>
      <c r="M875" s="33">
        <v>1</v>
      </c>
      <c r="N875" s="33"/>
      <c r="O875" s="21"/>
      <c r="P875" s="21"/>
      <c r="R875" s="21"/>
      <c r="S875" s="21"/>
    </row>
    <row r="876" spans="1:23" s="52" customFormat="1" ht="39.950000000000003" customHeight="1">
      <c r="A876" s="9">
        <v>117</v>
      </c>
      <c r="B876" s="223">
        <v>4434</v>
      </c>
      <c r="C876" s="50" t="s">
        <v>451</v>
      </c>
      <c r="D876" s="53" t="s">
        <v>452</v>
      </c>
      <c r="E876" s="192" t="s">
        <v>260</v>
      </c>
      <c r="F876" s="30">
        <v>0</v>
      </c>
      <c r="G876" s="30"/>
      <c r="H876" s="30"/>
      <c r="I876" s="22" t="s">
        <v>34</v>
      </c>
      <c r="J876" s="31"/>
      <c r="K876" s="32">
        <v>0</v>
      </c>
      <c r="L876" s="32"/>
      <c r="M876" s="33">
        <v>1</v>
      </c>
      <c r="N876" s="33"/>
      <c r="O876" s="21"/>
      <c r="P876" s="21"/>
      <c r="Q876" s="21"/>
      <c r="R876" s="21"/>
    </row>
    <row r="877" spans="1:23" s="52" customFormat="1" ht="39.950000000000003" customHeight="1">
      <c r="A877" s="9">
        <v>118</v>
      </c>
      <c r="B877" s="223">
        <v>6062</v>
      </c>
      <c r="C877" s="50" t="s">
        <v>1756</v>
      </c>
      <c r="D877" s="53" t="s">
        <v>1757</v>
      </c>
      <c r="E877" s="54" t="s">
        <v>306</v>
      </c>
      <c r="F877" s="30">
        <v>7.5</v>
      </c>
      <c r="G877" s="30">
        <v>2.5</v>
      </c>
      <c r="H877" s="30">
        <f t="shared" ref="H877:H879" si="349">IF(G877&gt;0,(G877*1.5)+F877,"YOK")</f>
        <v>11.25</v>
      </c>
      <c r="I877" s="47" t="s">
        <v>132</v>
      </c>
      <c r="J877" s="31"/>
      <c r="K877" s="32">
        <v>1</v>
      </c>
      <c r="L877" s="32">
        <v>1</v>
      </c>
      <c r="M877" s="33"/>
      <c r="N877" s="33"/>
      <c r="O877" s="21"/>
      <c r="P877" s="21"/>
      <c r="Q877" s="21"/>
      <c r="R877" s="21"/>
    </row>
    <row r="878" spans="1:23" s="52" customFormat="1" ht="39.950000000000003" customHeight="1">
      <c r="A878" s="9">
        <v>119</v>
      </c>
      <c r="B878" s="223">
        <v>6245</v>
      </c>
      <c r="C878" s="50" t="s">
        <v>2167</v>
      </c>
      <c r="D878" s="53" t="s">
        <v>2166</v>
      </c>
      <c r="E878" s="192" t="s">
        <v>306</v>
      </c>
      <c r="F878" s="30">
        <v>7.5</v>
      </c>
      <c r="G878" s="30">
        <v>2.5</v>
      </c>
      <c r="H878" s="30">
        <f t="shared" si="349"/>
        <v>11.25</v>
      </c>
      <c r="I878" s="49" t="s">
        <v>802</v>
      </c>
      <c r="J878" s="31"/>
      <c r="K878" s="32">
        <v>1</v>
      </c>
      <c r="L878" s="32"/>
      <c r="M878" s="33"/>
      <c r="N878" s="33"/>
      <c r="O878" s="21"/>
      <c r="P878" s="21"/>
      <c r="W878" s="55"/>
    </row>
    <row r="879" spans="1:23" s="52" customFormat="1" ht="39.950000000000003" customHeight="1">
      <c r="A879" s="9">
        <v>120</v>
      </c>
      <c r="B879" s="222">
        <v>6150</v>
      </c>
      <c r="C879" s="50" t="s">
        <v>1905</v>
      </c>
      <c r="D879" s="50" t="s">
        <v>1906</v>
      </c>
      <c r="E879" s="51" t="s">
        <v>316</v>
      </c>
      <c r="F879" s="30">
        <v>7.5</v>
      </c>
      <c r="G879" s="30">
        <v>2.5</v>
      </c>
      <c r="H879" s="30">
        <f t="shared" si="349"/>
        <v>11.25</v>
      </c>
      <c r="I879" s="49" t="s">
        <v>802</v>
      </c>
      <c r="J879" s="31"/>
      <c r="K879" s="32">
        <v>1</v>
      </c>
      <c r="L879" s="32"/>
      <c r="M879" s="33"/>
      <c r="N879" s="33"/>
      <c r="O879" s="21"/>
      <c r="P879" s="21"/>
      <c r="W879" s="55"/>
    </row>
    <row r="880" spans="1:23" ht="39.950000000000003" customHeight="1">
      <c r="A880" s="40"/>
      <c r="B880" s="262" t="s">
        <v>453</v>
      </c>
      <c r="C880" s="263"/>
      <c r="D880" s="264"/>
      <c r="E880" s="46"/>
      <c r="F880" s="41"/>
      <c r="G880" s="41"/>
      <c r="H880" s="41"/>
      <c r="I880" s="41"/>
      <c r="J880" s="43">
        <f>SUM(J760:J879)</f>
        <v>6</v>
      </c>
      <c r="K880" s="43">
        <f>SUM(K760:K879)</f>
        <v>108</v>
      </c>
      <c r="L880" s="43">
        <f>SUM(L760:L879)</f>
        <v>1</v>
      </c>
      <c r="M880" s="43">
        <f>SUM(M760:M879)</f>
        <v>6</v>
      </c>
      <c r="N880" s="33"/>
      <c r="O880" s="21"/>
      <c r="P880" s="21"/>
    </row>
    <row r="881" spans="1:23" s="52" customFormat="1" ht="39.950000000000003" customHeight="1">
      <c r="A881" s="9">
        <v>1</v>
      </c>
      <c r="B881" s="222">
        <v>5860</v>
      </c>
      <c r="C881" s="50" t="s">
        <v>1368</v>
      </c>
      <c r="D881" s="53" t="s">
        <v>1369</v>
      </c>
      <c r="E881" s="54" t="s">
        <v>256</v>
      </c>
      <c r="F881" s="30" t="s">
        <v>17</v>
      </c>
      <c r="G881" s="30"/>
      <c r="H881" s="30"/>
      <c r="I881" s="49" t="s">
        <v>255</v>
      </c>
      <c r="J881" s="31"/>
      <c r="K881" s="32">
        <v>1</v>
      </c>
      <c r="L881" s="32"/>
      <c r="M881" s="33"/>
      <c r="N881" s="33"/>
      <c r="O881" s="21"/>
      <c r="W881" s="55"/>
    </row>
    <row r="882" spans="1:23" s="52" customFormat="1" ht="39.950000000000003" customHeight="1">
      <c r="A882" s="9">
        <v>2</v>
      </c>
      <c r="B882" s="222">
        <v>6299</v>
      </c>
      <c r="C882" s="185" t="s">
        <v>2317</v>
      </c>
      <c r="D882" s="50" t="s">
        <v>2316</v>
      </c>
      <c r="E882" s="51" t="s">
        <v>162</v>
      </c>
      <c r="F882" s="30">
        <v>0</v>
      </c>
      <c r="G882" s="30">
        <v>0</v>
      </c>
      <c r="H882" s="30" t="str">
        <f t="shared" ref="H882" si="350">IF(G882&gt;0,(G882*1.5)+F882,"YOK")</f>
        <v>YOK</v>
      </c>
      <c r="I882" s="49" t="s">
        <v>1185</v>
      </c>
      <c r="J882" s="31">
        <v>1</v>
      </c>
      <c r="K882" s="32">
        <v>0</v>
      </c>
      <c r="L882" s="32"/>
      <c r="M882" s="33"/>
      <c r="N882" s="33"/>
      <c r="O882" s="21"/>
      <c r="P882" s="21"/>
      <c r="Q882" s="21"/>
      <c r="R882" s="21"/>
    </row>
    <row r="883" spans="1:23" s="52" customFormat="1" ht="39.950000000000003" customHeight="1">
      <c r="A883" s="9">
        <v>3</v>
      </c>
      <c r="B883" s="222">
        <v>6276</v>
      </c>
      <c r="C883" s="185" t="s">
        <v>2318</v>
      </c>
      <c r="D883" s="53" t="s">
        <v>2319</v>
      </c>
      <c r="E883" s="51" t="s">
        <v>316</v>
      </c>
      <c r="F883" s="30">
        <v>7.5</v>
      </c>
      <c r="G883" s="30">
        <v>2.5</v>
      </c>
      <c r="H883" s="30">
        <f t="shared" ref="H883" si="351">IF(G883&gt;0,(G883*1.5)+F883,"YOK")</f>
        <v>11.25</v>
      </c>
      <c r="I883" s="49" t="s">
        <v>803</v>
      </c>
      <c r="J883" s="31"/>
      <c r="K883" s="32">
        <v>1</v>
      </c>
      <c r="L883" s="32"/>
      <c r="M883" s="33"/>
      <c r="N883" s="33"/>
      <c r="O883" s="21"/>
      <c r="W883" s="55"/>
    </row>
    <row r="884" spans="1:23" s="52" customFormat="1" ht="39.950000000000003" customHeight="1">
      <c r="A884" s="9">
        <v>4</v>
      </c>
      <c r="B884" s="222">
        <v>6277</v>
      </c>
      <c r="C884" s="185" t="s">
        <v>2320</v>
      </c>
      <c r="D884" s="53" t="s">
        <v>2321</v>
      </c>
      <c r="E884" s="51" t="s">
        <v>316</v>
      </c>
      <c r="F884" s="30">
        <v>7.5</v>
      </c>
      <c r="G884" s="30">
        <v>2.5</v>
      </c>
      <c r="H884" s="30">
        <f t="shared" ref="H884" si="352">IF(G884&gt;0,(G884*1.5)+F884,"YOK")</f>
        <v>11.25</v>
      </c>
      <c r="I884" s="49" t="s">
        <v>803</v>
      </c>
      <c r="J884" s="31"/>
      <c r="K884" s="32">
        <v>1</v>
      </c>
      <c r="L884" s="32"/>
      <c r="M884" s="33"/>
      <c r="N884" s="33"/>
      <c r="O884" s="21"/>
      <c r="W884" s="55"/>
    </row>
    <row r="885" spans="1:23" s="52" customFormat="1" ht="39.950000000000003" customHeight="1">
      <c r="A885" s="9">
        <v>5</v>
      </c>
      <c r="B885" s="222">
        <v>5862</v>
      </c>
      <c r="C885" s="185" t="s">
        <v>1372</v>
      </c>
      <c r="D885" s="53" t="s">
        <v>1373</v>
      </c>
      <c r="E885" s="54" t="s">
        <v>1874</v>
      </c>
      <c r="F885" s="30">
        <v>7.5</v>
      </c>
      <c r="G885" s="30">
        <v>2.5</v>
      </c>
      <c r="H885" s="30">
        <f t="shared" ref="H885" si="353">IF(G885&gt;0,(G885*1.5)+F885,"YOK")</f>
        <v>11.25</v>
      </c>
      <c r="I885" s="49" t="s">
        <v>803</v>
      </c>
      <c r="J885" s="31"/>
      <c r="K885" s="32">
        <v>1</v>
      </c>
      <c r="L885" s="32"/>
      <c r="M885" s="33"/>
      <c r="N885" s="33"/>
      <c r="O885" s="21"/>
      <c r="W885" s="55"/>
    </row>
    <row r="886" spans="1:23" s="52" customFormat="1" ht="39.950000000000003" customHeight="1">
      <c r="A886" s="9">
        <v>6</v>
      </c>
      <c r="B886" s="222">
        <v>5863</v>
      </c>
      <c r="C886" s="185" t="s">
        <v>1374</v>
      </c>
      <c r="D886" s="53" t="s">
        <v>1375</v>
      </c>
      <c r="E886" s="54" t="s">
        <v>1874</v>
      </c>
      <c r="F886" s="30">
        <v>7.5</v>
      </c>
      <c r="G886" s="30">
        <v>2.5</v>
      </c>
      <c r="H886" s="30">
        <f t="shared" ref="H886" si="354">IF(G886&gt;0,(G886*1.5)+F886,"YOK")</f>
        <v>11.25</v>
      </c>
      <c r="I886" s="49" t="s">
        <v>803</v>
      </c>
      <c r="J886" s="31"/>
      <c r="K886" s="32">
        <v>1</v>
      </c>
      <c r="L886" s="32"/>
      <c r="M886" s="33"/>
      <c r="N886" s="33"/>
      <c r="O886" s="21"/>
      <c r="W886" s="55"/>
    </row>
    <row r="887" spans="1:23" s="52" customFormat="1" ht="39.950000000000003" customHeight="1">
      <c r="A887" s="9">
        <v>7</v>
      </c>
      <c r="B887" s="222">
        <v>6126</v>
      </c>
      <c r="C887" s="185" t="s">
        <v>1868</v>
      </c>
      <c r="D887" s="53" t="s">
        <v>1869</v>
      </c>
      <c r="E887" s="54" t="s">
        <v>1874</v>
      </c>
      <c r="F887" s="30">
        <v>7.5</v>
      </c>
      <c r="G887" s="30">
        <v>2.5</v>
      </c>
      <c r="H887" s="30">
        <f t="shared" ref="H887:H888" si="355">IF(G887&gt;0,(G887*1.5)+F887,"YOK")</f>
        <v>11.25</v>
      </c>
      <c r="I887" s="49" t="s">
        <v>803</v>
      </c>
      <c r="J887" s="31"/>
      <c r="K887" s="32">
        <v>1</v>
      </c>
      <c r="L887" s="32"/>
      <c r="M887" s="33"/>
      <c r="N887" s="33"/>
      <c r="O887" s="21"/>
      <c r="W887" s="55"/>
    </row>
    <row r="888" spans="1:23" s="52" customFormat="1" ht="39.950000000000003" customHeight="1">
      <c r="A888" s="9">
        <v>8</v>
      </c>
      <c r="B888" s="222">
        <v>6125</v>
      </c>
      <c r="C888" s="185" t="s">
        <v>1871</v>
      </c>
      <c r="D888" s="53" t="s">
        <v>1870</v>
      </c>
      <c r="E888" s="54" t="s">
        <v>1874</v>
      </c>
      <c r="F888" s="30">
        <v>0</v>
      </c>
      <c r="G888" s="30">
        <v>0</v>
      </c>
      <c r="H888" s="30" t="str">
        <f t="shared" si="355"/>
        <v>YOK</v>
      </c>
      <c r="I888" s="49" t="s">
        <v>1185</v>
      </c>
      <c r="J888" s="31">
        <v>1</v>
      </c>
      <c r="K888" s="32">
        <v>0</v>
      </c>
      <c r="L888" s="32"/>
      <c r="M888" s="33"/>
      <c r="N888" s="33"/>
      <c r="O888" s="21"/>
      <c r="W888" s="55"/>
    </row>
    <row r="889" spans="1:23" s="52" customFormat="1" ht="39.950000000000003" customHeight="1">
      <c r="A889" s="9">
        <v>9</v>
      </c>
      <c r="B889" s="222">
        <v>6124</v>
      </c>
      <c r="C889" s="50" t="s">
        <v>1872</v>
      </c>
      <c r="D889" s="53" t="s">
        <v>1873</v>
      </c>
      <c r="E889" s="54" t="s">
        <v>1874</v>
      </c>
      <c r="F889" s="30">
        <v>7.5</v>
      </c>
      <c r="G889" s="30">
        <v>2.5</v>
      </c>
      <c r="H889" s="30">
        <f t="shared" ref="H889" si="356">IF(G889&gt;0,(G889*1.5)+F889,"YOK")</f>
        <v>11.25</v>
      </c>
      <c r="I889" s="49" t="s">
        <v>803</v>
      </c>
      <c r="J889" s="31"/>
      <c r="K889" s="32">
        <v>1</v>
      </c>
      <c r="L889" s="32"/>
      <c r="M889" s="33"/>
      <c r="N889" s="33"/>
      <c r="O889" s="21"/>
      <c r="W889" s="55"/>
    </row>
    <row r="890" spans="1:23" s="21" customFormat="1" ht="39.950000000000003" customHeight="1">
      <c r="A890" s="9">
        <v>10</v>
      </c>
      <c r="B890" s="222">
        <v>6132</v>
      </c>
      <c r="C890" s="11" t="s">
        <v>1886</v>
      </c>
      <c r="D890" s="11" t="s">
        <v>1887</v>
      </c>
      <c r="E890" s="54" t="s">
        <v>1874</v>
      </c>
      <c r="F890" s="30">
        <v>7.5</v>
      </c>
      <c r="G890" s="30">
        <v>2.5</v>
      </c>
      <c r="H890" s="30">
        <f t="shared" ref="H890" si="357">IF(G890&gt;0,(G890*1.5)+F890,"YOK")</f>
        <v>11.25</v>
      </c>
      <c r="I890" s="49" t="s">
        <v>803</v>
      </c>
      <c r="J890" s="31"/>
      <c r="K890" s="32">
        <v>1</v>
      </c>
      <c r="L890" s="32"/>
      <c r="M890" s="33"/>
      <c r="N890" s="33"/>
    </row>
    <row r="891" spans="1:23" s="52" customFormat="1" ht="39.950000000000003" customHeight="1">
      <c r="A891" s="9">
        <v>11</v>
      </c>
      <c r="B891" s="222">
        <v>6363</v>
      </c>
      <c r="C891" s="50" t="s">
        <v>2434</v>
      </c>
      <c r="D891" s="53" t="s">
        <v>2440</v>
      </c>
      <c r="E891" s="54" t="s">
        <v>1874</v>
      </c>
      <c r="F891" s="30">
        <v>7.5</v>
      </c>
      <c r="G891" s="30">
        <v>2.5</v>
      </c>
      <c r="H891" s="30">
        <f t="shared" ref="H891" si="358">IF(G891&gt;0,(G891*1.5)+F891,"YOK")</f>
        <v>11.25</v>
      </c>
      <c r="I891" s="49" t="s">
        <v>803</v>
      </c>
      <c r="J891" s="31"/>
      <c r="K891" s="32">
        <v>1</v>
      </c>
      <c r="L891" s="32"/>
      <c r="M891" s="33"/>
      <c r="N891" s="33"/>
      <c r="O891" s="21"/>
      <c r="W891" s="55"/>
    </row>
    <row r="892" spans="1:23" s="52" customFormat="1" ht="39.950000000000003" customHeight="1">
      <c r="A892" s="9">
        <v>12</v>
      </c>
      <c r="B892" s="207">
        <v>6364</v>
      </c>
      <c r="C892" s="50" t="s">
        <v>2435</v>
      </c>
      <c r="D892" s="53" t="s">
        <v>2439</v>
      </c>
      <c r="E892" s="54" t="s">
        <v>1874</v>
      </c>
      <c r="F892" s="30">
        <v>7.5</v>
      </c>
      <c r="G892" s="30">
        <v>2.5</v>
      </c>
      <c r="H892" s="30">
        <f t="shared" ref="H892" si="359">IF(G892&gt;0,(G892*1.5)+F892,"YOK")</f>
        <v>11.25</v>
      </c>
      <c r="I892" s="49" t="s">
        <v>803</v>
      </c>
      <c r="J892" s="31"/>
      <c r="K892" s="32">
        <v>1</v>
      </c>
      <c r="L892" s="32"/>
      <c r="M892" s="33"/>
      <c r="N892" s="33"/>
      <c r="O892" s="21"/>
      <c r="W892" s="55"/>
    </row>
    <row r="893" spans="1:23" s="52" customFormat="1" ht="39.950000000000003" customHeight="1">
      <c r="A893" s="9">
        <v>13</v>
      </c>
      <c r="B893" s="207">
        <v>6366</v>
      </c>
      <c r="C893" s="50" t="s">
        <v>2437</v>
      </c>
      <c r="D893" s="53" t="s">
        <v>2441</v>
      </c>
      <c r="E893" s="54" t="s">
        <v>1874</v>
      </c>
      <c r="F893" s="30">
        <v>7.5</v>
      </c>
      <c r="G893" s="30">
        <v>2.5</v>
      </c>
      <c r="H893" s="30">
        <f t="shared" ref="H893" si="360">IF(G893&gt;0,(G893*1.5)+F893,"YOK")</f>
        <v>11.25</v>
      </c>
      <c r="I893" s="49" t="s">
        <v>803</v>
      </c>
      <c r="J893" s="31"/>
      <c r="K893" s="32">
        <v>1</v>
      </c>
      <c r="L893" s="32"/>
      <c r="M893" s="33"/>
      <c r="N893" s="33"/>
      <c r="O893" s="21"/>
      <c r="W893" s="55"/>
    </row>
    <row r="894" spans="1:23" s="52" customFormat="1" ht="39.950000000000003" customHeight="1">
      <c r="A894" s="9">
        <v>14</v>
      </c>
      <c r="B894" s="222">
        <v>6467</v>
      </c>
      <c r="C894" s="185" t="s">
        <v>2546</v>
      </c>
      <c r="D894" s="238" t="s">
        <v>2547</v>
      </c>
      <c r="E894" s="54" t="s">
        <v>1874</v>
      </c>
      <c r="F894" s="30">
        <v>7.5</v>
      </c>
      <c r="G894" s="30">
        <v>2.5</v>
      </c>
      <c r="H894" s="30">
        <f t="shared" ref="H894" si="361">IF(G894&gt;0,(G894*1.5)+F894,"YOK")</f>
        <v>11.25</v>
      </c>
      <c r="I894" s="49" t="s">
        <v>803</v>
      </c>
      <c r="J894" s="31"/>
      <c r="K894" s="32">
        <v>1</v>
      </c>
      <c r="L894" s="32"/>
      <c r="M894" s="33"/>
      <c r="N894" s="33"/>
      <c r="O894" s="21"/>
      <c r="W894" s="55"/>
    </row>
    <row r="895" spans="1:23" s="52" customFormat="1" ht="39.950000000000003" customHeight="1">
      <c r="A895" s="9">
        <v>15</v>
      </c>
      <c r="B895" s="222">
        <v>6520</v>
      </c>
      <c r="C895" s="185" t="s">
        <v>2652</v>
      </c>
      <c r="D895" s="238" t="s">
        <v>2653</v>
      </c>
      <c r="E895" s="54" t="s">
        <v>1874</v>
      </c>
      <c r="F895" s="30">
        <v>7.5</v>
      </c>
      <c r="G895" s="30">
        <v>2.5</v>
      </c>
      <c r="H895" s="30">
        <f t="shared" ref="H895" si="362">IF(G895&gt;0,(G895*1.5)+F895,"YOK")</f>
        <v>11.25</v>
      </c>
      <c r="I895" s="49" t="s">
        <v>803</v>
      </c>
      <c r="J895" s="31"/>
      <c r="K895" s="32">
        <v>1</v>
      </c>
      <c r="L895" s="32"/>
      <c r="M895" s="33"/>
      <c r="N895" s="33"/>
      <c r="O895" s="21"/>
      <c r="W895" s="55"/>
    </row>
    <row r="896" spans="1:23" s="52" customFormat="1" ht="39.950000000000003" customHeight="1">
      <c r="A896" s="9">
        <v>16</v>
      </c>
      <c r="B896" s="222">
        <v>6600</v>
      </c>
      <c r="C896" s="185" t="s">
        <v>2861</v>
      </c>
      <c r="D896" s="238" t="s">
        <v>2862</v>
      </c>
      <c r="E896" s="54" t="s">
        <v>1874</v>
      </c>
      <c r="F896" s="30">
        <v>7.5</v>
      </c>
      <c r="G896" s="30">
        <v>2.5</v>
      </c>
      <c r="H896" s="30">
        <f t="shared" ref="H896" si="363">IF(G896&gt;0,(G896*1.5)+F896,"YOK")</f>
        <v>11.25</v>
      </c>
      <c r="I896" s="49" t="s">
        <v>803</v>
      </c>
      <c r="J896" s="31"/>
      <c r="K896" s="32">
        <v>1</v>
      </c>
      <c r="L896" s="32"/>
      <c r="M896" s="33"/>
      <c r="N896" s="33"/>
      <c r="O896" s="21"/>
      <c r="W896" s="55"/>
    </row>
    <row r="897" spans="1:23" s="52" customFormat="1" ht="39.950000000000003" customHeight="1">
      <c r="A897" s="9">
        <v>17</v>
      </c>
      <c r="B897" s="222">
        <v>6651</v>
      </c>
      <c r="C897" s="185" t="s">
        <v>2936</v>
      </c>
      <c r="D897" s="238" t="s">
        <v>2937</v>
      </c>
      <c r="E897" s="54" t="s">
        <v>1874</v>
      </c>
      <c r="F897" s="30">
        <v>7.5</v>
      </c>
      <c r="G897" s="30">
        <v>2.5</v>
      </c>
      <c r="H897" s="30">
        <f t="shared" ref="H897:H898" si="364">IF(G897&gt;0,(G897*1.5)+F897,"YOK")</f>
        <v>11.25</v>
      </c>
      <c r="I897" s="49" t="s">
        <v>803</v>
      </c>
      <c r="J897" s="31"/>
      <c r="K897" s="32">
        <v>1</v>
      </c>
      <c r="L897" s="32"/>
      <c r="M897" s="33"/>
      <c r="N897" s="33"/>
      <c r="O897" s="21"/>
      <c r="W897" s="55"/>
    </row>
    <row r="898" spans="1:23" s="52" customFormat="1" ht="39.950000000000003" customHeight="1">
      <c r="A898" s="9">
        <v>18</v>
      </c>
      <c r="B898" s="222">
        <v>6690</v>
      </c>
      <c r="C898" s="185" t="s">
        <v>3026</v>
      </c>
      <c r="D898" s="238" t="s">
        <v>3027</v>
      </c>
      <c r="E898" s="54" t="s">
        <v>1874</v>
      </c>
      <c r="F898" s="30">
        <v>0</v>
      </c>
      <c r="G898" s="30">
        <v>0</v>
      </c>
      <c r="H898" s="30" t="str">
        <f t="shared" si="364"/>
        <v>YOK</v>
      </c>
      <c r="I898" s="49" t="s">
        <v>1185</v>
      </c>
      <c r="J898" s="31">
        <v>1</v>
      </c>
      <c r="K898" s="32">
        <v>0</v>
      </c>
      <c r="L898" s="32"/>
      <c r="M898" s="33"/>
      <c r="N898" s="33"/>
      <c r="O898" s="21"/>
      <c r="W898" s="55"/>
    </row>
    <row r="899" spans="1:23" s="52" customFormat="1" ht="39.950000000000003" customHeight="1">
      <c r="A899" s="9">
        <v>19</v>
      </c>
      <c r="B899" s="222">
        <v>6768</v>
      </c>
      <c r="C899" s="185" t="s">
        <v>3307</v>
      </c>
      <c r="D899" s="238" t="s">
        <v>3308</v>
      </c>
      <c r="E899" s="54" t="s">
        <v>1874</v>
      </c>
      <c r="F899" s="30">
        <v>7.5</v>
      </c>
      <c r="G899" s="30">
        <v>2.5</v>
      </c>
      <c r="H899" s="30">
        <f t="shared" ref="H899:H900" si="365">IF(G899&gt;0,(G899*1.5)+F899,"YOK")</f>
        <v>11.25</v>
      </c>
      <c r="I899" s="49" t="s">
        <v>803</v>
      </c>
      <c r="J899" s="31"/>
      <c r="K899" s="32">
        <v>1</v>
      </c>
      <c r="L899" s="32"/>
      <c r="M899" s="33"/>
      <c r="N899" s="33"/>
      <c r="O899" s="21"/>
      <c r="W899" s="55"/>
    </row>
    <row r="900" spans="1:23" s="52" customFormat="1" ht="39.950000000000003" customHeight="1">
      <c r="A900" s="9">
        <v>20</v>
      </c>
      <c r="B900" s="222">
        <v>5865</v>
      </c>
      <c r="C900" s="185" t="s">
        <v>1376</v>
      </c>
      <c r="D900" s="53" t="s">
        <v>1377</v>
      </c>
      <c r="E900" s="54" t="s">
        <v>306</v>
      </c>
      <c r="F900" s="30">
        <v>0</v>
      </c>
      <c r="G900" s="30">
        <v>0</v>
      </c>
      <c r="H900" s="30" t="str">
        <f t="shared" si="365"/>
        <v>YOK</v>
      </c>
      <c r="I900" s="49" t="s">
        <v>1185</v>
      </c>
      <c r="J900" s="31">
        <v>1</v>
      </c>
      <c r="K900" s="32">
        <v>0</v>
      </c>
      <c r="L900" s="32"/>
      <c r="M900" s="33"/>
      <c r="N900" s="33"/>
      <c r="O900" s="21"/>
      <c r="W900" s="55"/>
    </row>
    <row r="901" spans="1:23" s="52" customFormat="1" ht="39.950000000000003" customHeight="1">
      <c r="A901" s="9">
        <v>21</v>
      </c>
      <c r="B901" s="207">
        <v>6092</v>
      </c>
      <c r="C901" s="185" t="s">
        <v>1798</v>
      </c>
      <c r="D901" s="53" t="s">
        <v>1801</v>
      </c>
      <c r="E901" s="54" t="s">
        <v>306</v>
      </c>
      <c r="F901" s="30">
        <v>7.5</v>
      </c>
      <c r="G901" s="30">
        <v>2.5</v>
      </c>
      <c r="H901" s="30">
        <f t="shared" ref="H901" si="366">IF(G901&gt;0,(G901*1.5)+F901,"YOK")</f>
        <v>11.25</v>
      </c>
      <c r="I901" s="49" t="s">
        <v>803</v>
      </c>
      <c r="J901" s="31"/>
      <c r="K901" s="32">
        <v>1</v>
      </c>
      <c r="L901" s="32"/>
      <c r="M901" s="33"/>
      <c r="N901" s="33"/>
      <c r="O901" s="21"/>
      <c r="W901" s="55"/>
    </row>
    <row r="902" spans="1:23" s="52" customFormat="1" ht="39.950000000000003" customHeight="1">
      <c r="A902" s="9">
        <v>22</v>
      </c>
      <c r="B902" s="207">
        <v>6718</v>
      </c>
      <c r="C902" s="185" t="s">
        <v>3193</v>
      </c>
      <c r="D902" s="53" t="s">
        <v>3194</v>
      </c>
      <c r="E902" s="54" t="s">
        <v>306</v>
      </c>
      <c r="F902" s="30">
        <v>7.5</v>
      </c>
      <c r="G902" s="30">
        <v>2.5</v>
      </c>
      <c r="H902" s="30">
        <f t="shared" ref="H902" si="367">IF(G902&gt;0,(G902*1.5)+F902,"YOK")</f>
        <v>11.25</v>
      </c>
      <c r="I902" s="49" t="s">
        <v>803</v>
      </c>
      <c r="J902" s="31"/>
      <c r="K902" s="32">
        <v>1</v>
      </c>
      <c r="L902" s="32"/>
      <c r="M902" s="33"/>
      <c r="N902" s="33"/>
      <c r="O902" s="21"/>
      <c r="W902" s="55"/>
    </row>
    <row r="903" spans="1:23" s="52" customFormat="1" ht="39.950000000000003" customHeight="1">
      <c r="A903" s="9">
        <v>23</v>
      </c>
      <c r="B903" s="207">
        <v>5861</v>
      </c>
      <c r="C903" s="185" t="s">
        <v>1370</v>
      </c>
      <c r="D903" s="53" t="s">
        <v>1371</v>
      </c>
      <c r="E903" s="54" t="s">
        <v>1874</v>
      </c>
      <c r="F903" s="30">
        <v>7.5</v>
      </c>
      <c r="G903" s="30">
        <v>2.5</v>
      </c>
      <c r="H903" s="30">
        <f t="shared" ref="H903:H909" si="368">IF(G903&gt;0,(G903*1.5)+F903,"YOK")</f>
        <v>11.25</v>
      </c>
      <c r="I903" s="47" t="s">
        <v>132</v>
      </c>
      <c r="J903" s="31"/>
      <c r="K903" s="32">
        <v>1</v>
      </c>
      <c r="L903" s="32">
        <v>1</v>
      </c>
      <c r="M903" s="33"/>
      <c r="N903" s="33"/>
      <c r="O903" s="21"/>
      <c r="W903" s="55"/>
    </row>
    <row r="904" spans="1:23" s="52" customFormat="1" ht="39.950000000000003" customHeight="1">
      <c r="A904" s="9">
        <v>24</v>
      </c>
      <c r="B904" s="207">
        <v>5899</v>
      </c>
      <c r="C904" s="185" t="s">
        <v>1457</v>
      </c>
      <c r="D904" s="53" t="s">
        <v>1456</v>
      </c>
      <c r="E904" s="54" t="s">
        <v>1874</v>
      </c>
      <c r="F904" s="30">
        <v>7.5</v>
      </c>
      <c r="G904" s="30">
        <v>2.5</v>
      </c>
      <c r="H904" s="30">
        <f t="shared" si="368"/>
        <v>11.25</v>
      </c>
      <c r="I904" s="47" t="s">
        <v>132</v>
      </c>
      <c r="J904" s="31"/>
      <c r="K904" s="32">
        <v>1</v>
      </c>
      <c r="L904" s="32">
        <v>1</v>
      </c>
      <c r="M904" s="33"/>
      <c r="N904" s="33"/>
      <c r="O904" s="21"/>
      <c r="W904" s="55"/>
    </row>
    <row r="905" spans="1:23" s="52" customFormat="1" ht="39.950000000000003" customHeight="1">
      <c r="A905" s="9">
        <v>25</v>
      </c>
      <c r="B905" s="207">
        <v>5900</v>
      </c>
      <c r="C905" s="185" t="s">
        <v>1458</v>
      </c>
      <c r="D905" s="53" t="s">
        <v>1459</v>
      </c>
      <c r="E905" s="54" t="s">
        <v>1874</v>
      </c>
      <c r="F905" s="30">
        <v>7.5</v>
      </c>
      <c r="G905" s="30">
        <v>2.5</v>
      </c>
      <c r="H905" s="30">
        <f t="shared" si="368"/>
        <v>11.25</v>
      </c>
      <c r="I905" s="47" t="s">
        <v>132</v>
      </c>
      <c r="J905" s="31"/>
      <c r="K905" s="32">
        <v>1</v>
      </c>
      <c r="L905" s="32">
        <v>1</v>
      </c>
      <c r="M905" s="33"/>
      <c r="N905" s="33"/>
      <c r="O905" s="21"/>
      <c r="W905" s="55"/>
    </row>
    <row r="906" spans="1:23" s="21" customFormat="1" ht="39.950000000000003" customHeight="1">
      <c r="A906" s="9">
        <v>26</v>
      </c>
      <c r="B906" s="207">
        <v>6229</v>
      </c>
      <c r="C906" s="11" t="s">
        <v>2176</v>
      </c>
      <c r="D906" s="229" t="s">
        <v>2177</v>
      </c>
      <c r="E906" s="54" t="s">
        <v>1874</v>
      </c>
      <c r="F906" s="30">
        <v>7.5</v>
      </c>
      <c r="G906" s="30">
        <v>2.5</v>
      </c>
      <c r="H906" s="30">
        <f t="shared" si="368"/>
        <v>11.25</v>
      </c>
      <c r="I906" s="47" t="s">
        <v>132</v>
      </c>
      <c r="J906" s="31"/>
      <c r="K906" s="32">
        <v>1</v>
      </c>
      <c r="L906" s="32">
        <v>1</v>
      </c>
      <c r="M906" s="33"/>
      <c r="N906" s="33"/>
    </row>
    <row r="907" spans="1:23" s="52" customFormat="1" ht="39.950000000000003" customHeight="1">
      <c r="A907" s="9">
        <v>27</v>
      </c>
      <c r="B907" s="207">
        <v>6365</v>
      </c>
      <c r="C907" s="50" t="s">
        <v>2436</v>
      </c>
      <c r="D907" s="53" t="s">
        <v>2438</v>
      </c>
      <c r="E907" s="54" t="s">
        <v>1874</v>
      </c>
      <c r="F907" s="30">
        <v>7.5</v>
      </c>
      <c r="G907" s="30">
        <v>2.5</v>
      </c>
      <c r="H907" s="30">
        <f t="shared" ref="H907" si="369">IF(G907&gt;0,(G907*1.5)+F907,"YOK")</f>
        <v>11.25</v>
      </c>
      <c r="I907" s="47" t="s">
        <v>132</v>
      </c>
      <c r="J907" s="31"/>
      <c r="K907" s="32">
        <v>1</v>
      </c>
      <c r="L907" s="32">
        <v>1</v>
      </c>
      <c r="M907" s="33"/>
      <c r="N907" s="33"/>
      <c r="O907" s="21"/>
      <c r="W907" s="55"/>
    </row>
    <row r="908" spans="1:23" s="52" customFormat="1" ht="39.950000000000003" customHeight="1">
      <c r="A908" s="9">
        <v>28</v>
      </c>
      <c r="B908" s="222">
        <v>6482</v>
      </c>
      <c r="C908" s="185" t="s">
        <v>2624</v>
      </c>
      <c r="D908" s="238" t="s">
        <v>2625</v>
      </c>
      <c r="E908" s="54" t="s">
        <v>1874</v>
      </c>
      <c r="F908" s="30">
        <v>7.5</v>
      </c>
      <c r="G908" s="30">
        <v>2.5</v>
      </c>
      <c r="H908" s="30">
        <f t="shared" si="368"/>
        <v>11.25</v>
      </c>
      <c r="I908" s="47" t="s">
        <v>132</v>
      </c>
      <c r="J908" s="31"/>
      <c r="K908" s="32">
        <v>1</v>
      </c>
      <c r="L908" s="32">
        <v>1</v>
      </c>
      <c r="M908" s="33"/>
      <c r="N908" s="33"/>
      <c r="O908" s="21"/>
      <c r="W908" s="55"/>
    </row>
    <row r="909" spans="1:23" s="52" customFormat="1" ht="39.950000000000003" customHeight="1">
      <c r="A909" s="9">
        <v>29</v>
      </c>
      <c r="B909" s="207">
        <v>6091</v>
      </c>
      <c r="C909" s="185" t="s">
        <v>1799</v>
      </c>
      <c r="D909" s="53" t="s">
        <v>1800</v>
      </c>
      <c r="E909" s="54" t="s">
        <v>306</v>
      </c>
      <c r="F909" s="30">
        <v>7.5</v>
      </c>
      <c r="G909" s="30">
        <v>2.5</v>
      </c>
      <c r="H909" s="30">
        <f t="shared" si="368"/>
        <v>11.25</v>
      </c>
      <c r="I909" s="47" t="s">
        <v>132</v>
      </c>
      <c r="J909" s="31"/>
      <c r="K909" s="32">
        <v>1</v>
      </c>
      <c r="L909" s="32">
        <v>1</v>
      </c>
      <c r="M909" s="33"/>
      <c r="N909" s="33"/>
      <c r="O909" s="21"/>
      <c r="W909" s="55"/>
    </row>
    <row r="910" spans="1:23" s="52" customFormat="1" ht="39.950000000000003" customHeight="1">
      <c r="A910" s="9">
        <v>30</v>
      </c>
      <c r="B910" s="207">
        <v>5866</v>
      </c>
      <c r="C910" s="185" t="s">
        <v>1378</v>
      </c>
      <c r="D910" s="53" t="s">
        <v>1379</v>
      </c>
      <c r="E910" s="54" t="s">
        <v>306</v>
      </c>
      <c r="F910" s="30">
        <v>7.5</v>
      </c>
      <c r="G910" s="30">
        <v>2.5</v>
      </c>
      <c r="H910" s="30">
        <f t="shared" ref="H910" si="370">IF(G910&gt;0,(G910*1.5)+F910,"YOK")</f>
        <v>11.25</v>
      </c>
      <c r="I910" s="47" t="s">
        <v>132</v>
      </c>
      <c r="J910" s="31"/>
      <c r="K910" s="32">
        <v>1</v>
      </c>
      <c r="L910" s="32">
        <v>1</v>
      </c>
      <c r="M910" s="33"/>
      <c r="N910" s="33"/>
      <c r="O910" s="21"/>
      <c r="W910" s="55"/>
    </row>
    <row r="911" spans="1:23" ht="39.950000000000003" customHeight="1">
      <c r="A911" s="40"/>
      <c r="B911" s="262" t="s">
        <v>455</v>
      </c>
      <c r="C911" s="263"/>
      <c r="D911" s="264"/>
      <c r="E911" s="46"/>
      <c r="F911" s="41"/>
      <c r="G911" s="41"/>
      <c r="H911" s="41"/>
      <c r="I911" s="42"/>
      <c r="J911" s="43">
        <f>SUM(J881:J910)</f>
        <v>4</v>
      </c>
      <c r="K911" s="43">
        <f>SUM(K881:K910)</f>
        <v>26</v>
      </c>
      <c r="L911" s="43">
        <f>SUM(L881:L910)</f>
        <v>8</v>
      </c>
      <c r="M911" s="43">
        <f>SUM(M881:M910)</f>
        <v>0</v>
      </c>
      <c r="N911" s="33"/>
      <c r="O911" s="21"/>
      <c r="P911" s="21"/>
    </row>
    <row r="912" spans="1:23" s="52" customFormat="1" ht="39.950000000000003" customHeight="1">
      <c r="A912" s="9">
        <v>1</v>
      </c>
      <c r="B912" s="207">
        <v>5341</v>
      </c>
      <c r="C912" s="50" t="s">
        <v>456</v>
      </c>
      <c r="D912" s="50" t="s">
        <v>457</v>
      </c>
      <c r="E912" s="51" t="s">
        <v>256</v>
      </c>
      <c r="F912" s="30" t="s">
        <v>17</v>
      </c>
      <c r="G912" s="30"/>
      <c r="H912" s="30"/>
      <c r="I912" s="49" t="s">
        <v>255</v>
      </c>
      <c r="J912" s="31"/>
      <c r="K912" s="32">
        <v>1</v>
      </c>
      <c r="L912" s="32"/>
      <c r="M912" s="33"/>
      <c r="N912" s="33"/>
      <c r="O912" s="21"/>
      <c r="P912" s="21"/>
      <c r="Q912" s="21"/>
      <c r="R912" s="21"/>
      <c r="S912" s="21"/>
    </row>
    <row r="913" spans="1:18" s="52" customFormat="1" ht="39.950000000000003" customHeight="1">
      <c r="A913" s="9">
        <v>2</v>
      </c>
      <c r="B913" s="207">
        <v>5417</v>
      </c>
      <c r="C913" s="50" t="s">
        <v>818</v>
      </c>
      <c r="D913" s="50" t="s">
        <v>819</v>
      </c>
      <c r="E913" s="51" t="s">
        <v>261</v>
      </c>
      <c r="F913" s="30">
        <v>7.5</v>
      </c>
      <c r="G913" s="30">
        <v>2.5</v>
      </c>
      <c r="H913" s="30">
        <f t="shared" ref="H913" si="371">IF(G913&gt;0,(G913*1.5)+F913,"YOK")</f>
        <v>11.25</v>
      </c>
      <c r="I913" s="49" t="s">
        <v>804</v>
      </c>
      <c r="J913" s="31"/>
      <c r="K913" s="32">
        <v>1</v>
      </c>
      <c r="L913" s="32"/>
      <c r="M913" s="33"/>
      <c r="N913" s="33"/>
      <c r="O913" s="21"/>
      <c r="P913" s="21"/>
      <c r="Q913" s="21"/>
      <c r="R913" s="21"/>
    </row>
    <row r="914" spans="1:18" s="52" customFormat="1" ht="39.950000000000003" customHeight="1">
      <c r="A914" s="9">
        <v>3</v>
      </c>
      <c r="B914" s="207">
        <v>5127</v>
      </c>
      <c r="C914" s="50" t="s">
        <v>460</v>
      </c>
      <c r="D914" s="50" t="s">
        <v>461</v>
      </c>
      <c r="E914" s="51" t="s">
        <v>261</v>
      </c>
      <c r="F914" s="30">
        <v>7.5</v>
      </c>
      <c r="G914" s="30">
        <v>2.5</v>
      </c>
      <c r="H914" s="30">
        <f t="shared" ref="H914:H953" si="372">IF(G914&gt;0,(G914*1.5)+F914,"YOK")</f>
        <v>11.25</v>
      </c>
      <c r="I914" s="49" t="s">
        <v>804</v>
      </c>
      <c r="J914" s="31"/>
      <c r="K914" s="32">
        <v>1</v>
      </c>
      <c r="L914" s="32"/>
      <c r="M914" s="33"/>
      <c r="N914" s="33"/>
      <c r="O914" s="21"/>
      <c r="P914" s="21"/>
      <c r="Q914" s="21"/>
      <c r="R914" s="21"/>
    </row>
    <row r="915" spans="1:18" s="52" customFormat="1" ht="39.950000000000003" customHeight="1">
      <c r="A915" s="9">
        <v>4</v>
      </c>
      <c r="B915" s="207">
        <v>4697</v>
      </c>
      <c r="C915" s="50" t="s">
        <v>458</v>
      </c>
      <c r="D915" s="50" t="s">
        <v>459</v>
      </c>
      <c r="E915" s="51" t="s">
        <v>261</v>
      </c>
      <c r="F915" s="30">
        <v>7.5</v>
      </c>
      <c r="G915" s="30">
        <v>2.5</v>
      </c>
      <c r="H915" s="30">
        <f t="shared" ref="H915" si="373">IF(G915&gt;0,(G915*1.5)+F915,"YOK")</f>
        <v>11.25</v>
      </c>
      <c r="I915" s="49" t="s">
        <v>804</v>
      </c>
      <c r="J915" s="31"/>
      <c r="K915" s="32">
        <v>1</v>
      </c>
      <c r="L915" s="32"/>
      <c r="M915" s="33"/>
      <c r="N915" s="33"/>
      <c r="O915" s="21"/>
      <c r="P915" s="21"/>
      <c r="Q915" s="21"/>
      <c r="R915" s="21"/>
    </row>
    <row r="916" spans="1:18" s="52" customFormat="1" ht="39.950000000000003" customHeight="1">
      <c r="A916" s="9">
        <v>5</v>
      </c>
      <c r="B916" s="207">
        <v>6128</v>
      </c>
      <c r="C916" s="50" t="s">
        <v>1107</v>
      </c>
      <c r="D916" s="50" t="s">
        <v>1108</v>
      </c>
      <c r="E916" s="51" t="s">
        <v>261</v>
      </c>
      <c r="F916" s="30">
        <v>7.5</v>
      </c>
      <c r="G916" s="30">
        <v>2.5</v>
      </c>
      <c r="H916" s="30">
        <f t="shared" ref="H916" si="374">IF(G916&gt;0,(G916*1.5)+F916,"YOK")</f>
        <v>11.25</v>
      </c>
      <c r="I916" s="49" t="s">
        <v>804</v>
      </c>
      <c r="J916" s="31"/>
      <c r="K916" s="32">
        <v>1</v>
      </c>
      <c r="L916" s="32"/>
      <c r="M916" s="33"/>
      <c r="N916" s="33"/>
      <c r="O916" s="21"/>
      <c r="P916" s="21"/>
      <c r="Q916" s="21"/>
      <c r="R916" s="21"/>
    </row>
    <row r="917" spans="1:18" s="52" customFormat="1" ht="39.950000000000003" customHeight="1">
      <c r="A917" s="9">
        <v>6</v>
      </c>
      <c r="B917" s="207">
        <v>5827</v>
      </c>
      <c r="C917" s="50" t="s">
        <v>1139</v>
      </c>
      <c r="D917" s="50" t="s">
        <v>1138</v>
      </c>
      <c r="E917" s="51" t="s">
        <v>261</v>
      </c>
      <c r="F917" s="30">
        <v>7.5</v>
      </c>
      <c r="G917" s="30">
        <v>2.5</v>
      </c>
      <c r="H917" s="30">
        <f t="shared" ref="H917" si="375">IF(G917&gt;0,(G917*1.5)+F917,"YOK")</f>
        <v>11.25</v>
      </c>
      <c r="I917" s="49" t="s">
        <v>804</v>
      </c>
      <c r="J917" s="31"/>
      <c r="K917" s="32">
        <v>1</v>
      </c>
      <c r="L917" s="32"/>
      <c r="M917" s="33"/>
      <c r="N917"/>
      <c r="O917"/>
      <c r="P917" s="21"/>
      <c r="Q917" s="21"/>
      <c r="R917" s="21"/>
    </row>
    <row r="918" spans="1:18" s="52" customFormat="1" ht="39.950000000000003" customHeight="1">
      <c r="A918" s="9">
        <v>7</v>
      </c>
      <c r="B918" s="207">
        <v>5753</v>
      </c>
      <c r="C918" s="50" t="s">
        <v>1218</v>
      </c>
      <c r="D918" s="50" t="s">
        <v>1217</v>
      </c>
      <c r="E918" s="51" t="s">
        <v>261</v>
      </c>
      <c r="F918" s="30">
        <v>7.5</v>
      </c>
      <c r="G918" s="30">
        <v>2.5</v>
      </c>
      <c r="H918" s="30">
        <f t="shared" ref="H918" si="376">IF(G918&gt;0,(G918*1.5)+F918,"YOK")</f>
        <v>11.25</v>
      </c>
      <c r="I918" s="49" t="s">
        <v>804</v>
      </c>
      <c r="J918" s="31"/>
      <c r="K918" s="32">
        <v>1</v>
      </c>
      <c r="L918" s="32"/>
      <c r="M918" s="28"/>
      <c r="N918"/>
      <c r="O918" s="21"/>
      <c r="P918" s="21"/>
      <c r="Q918" s="21"/>
      <c r="R918" s="21"/>
    </row>
    <row r="919" spans="1:18" s="52" customFormat="1" ht="39.950000000000003" customHeight="1">
      <c r="A919" s="9">
        <v>8</v>
      </c>
      <c r="B919" s="207">
        <v>5802</v>
      </c>
      <c r="C919" s="50" t="s">
        <v>1258</v>
      </c>
      <c r="D919" s="50" t="s">
        <v>1353</v>
      </c>
      <c r="E919" s="51" t="s">
        <v>261</v>
      </c>
      <c r="F919" s="30">
        <v>7.5</v>
      </c>
      <c r="G919" s="30">
        <v>2.5</v>
      </c>
      <c r="H919" s="30">
        <f t="shared" ref="H919" si="377">IF(G919&gt;0,(G919*1.5)+F919,"YOK")</f>
        <v>11.25</v>
      </c>
      <c r="I919" s="49" t="s">
        <v>805</v>
      </c>
      <c r="J919" s="31"/>
      <c r="K919" s="32">
        <v>1</v>
      </c>
      <c r="L919" s="32"/>
      <c r="M919" s="33"/>
      <c r="N919" s="33"/>
      <c r="O919" s="21"/>
      <c r="P919" s="21"/>
      <c r="Q919" s="21"/>
      <c r="R919" s="21"/>
    </row>
    <row r="920" spans="1:18" s="52" customFormat="1" ht="39.950000000000003" customHeight="1">
      <c r="A920" s="9">
        <v>9</v>
      </c>
      <c r="B920" s="207">
        <v>5803</v>
      </c>
      <c r="C920" s="50" t="s">
        <v>1257</v>
      </c>
      <c r="D920" s="50" t="s">
        <v>1254</v>
      </c>
      <c r="E920" s="51" t="s">
        <v>261</v>
      </c>
      <c r="F920" s="30">
        <v>7.5</v>
      </c>
      <c r="G920" s="30">
        <v>2.5</v>
      </c>
      <c r="H920" s="30">
        <f t="shared" ref="H920" si="378">IF(G920&gt;0,(G920*1.5)+F920,"YOK")</f>
        <v>11.25</v>
      </c>
      <c r="I920" s="49" t="s">
        <v>805</v>
      </c>
      <c r="J920" s="31"/>
      <c r="K920" s="32">
        <v>1</v>
      </c>
      <c r="L920" s="32"/>
      <c r="M920" s="33"/>
      <c r="N920" s="33"/>
      <c r="O920" s="21"/>
      <c r="P920" s="21"/>
      <c r="Q920" s="21"/>
      <c r="R920" s="21"/>
    </row>
    <row r="921" spans="1:18" s="52" customFormat="1" ht="39.950000000000003" customHeight="1">
      <c r="A921" s="9">
        <v>10</v>
      </c>
      <c r="B921" s="207">
        <v>5842</v>
      </c>
      <c r="C921" s="50" t="s">
        <v>1326</v>
      </c>
      <c r="D921" s="50" t="s">
        <v>1327</v>
      </c>
      <c r="E921" s="51" t="s">
        <v>261</v>
      </c>
      <c r="F921" s="30">
        <v>7.5</v>
      </c>
      <c r="G921" s="30">
        <v>2.5</v>
      </c>
      <c r="H921" s="30">
        <f t="shared" ref="H921" si="379">IF(G921&gt;0,(G921*1.5)+F921,"YOK")</f>
        <v>11.25</v>
      </c>
      <c r="I921" s="49" t="s">
        <v>805</v>
      </c>
      <c r="J921" s="31"/>
      <c r="K921" s="32">
        <v>1</v>
      </c>
      <c r="L921" s="32"/>
      <c r="M921" s="33"/>
      <c r="N921" s="33"/>
      <c r="O921" s="21"/>
      <c r="P921" s="21"/>
      <c r="Q921" s="21"/>
      <c r="R921" s="21"/>
    </row>
    <row r="922" spans="1:18" s="52" customFormat="1" ht="39.950000000000003" customHeight="1">
      <c r="A922" s="9">
        <v>11</v>
      </c>
      <c r="B922" s="207">
        <v>5884</v>
      </c>
      <c r="C922" s="50" t="s">
        <v>1409</v>
      </c>
      <c r="D922" s="50" t="s">
        <v>1410</v>
      </c>
      <c r="E922" s="51" t="s">
        <v>261</v>
      </c>
      <c r="F922" s="30">
        <v>7.5</v>
      </c>
      <c r="G922" s="30">
        <v>2.5</v>
      </c>
      <c r="H922" s="30">
        <f t="shared" ref="H922:H951" si="380">IF(G922&gt;0,(G922*1.5)+F922,"YOK")</f>
        <v>11.25</v>
      </c>
      <c r="I922" s="49" t="s">
        <v>805</v>
      </c>
      <c r="J922" s="31"/>
      <c r="K922" s="32">
        <v>1</v>
      </c>
      <c r="L922" s="32"/>
      <c r="M922" s="33"/>
      <c r="N922" s="33"/>
      <c r="O922" s="21"/>
      <c r="P922" s="21"/>
      <c r="Q922" s="21"/>
      <c r="R922" s="21"/>
    </row>
    <row r="923" spans="1:18" s="52" customFormat="1" ht="39.950000000000003" customHeight="1">
      <c r="A923" s="9">
        <v>12</v>
      </c>
      <c r="B923" s="207">
        <v>5883</v>
      </c>
      <c r="C923" s="50" t="s">
        <v>1407</v>
      </c>
      <c r="D923" s="50" t="s">
        <v>1408</v>
      </c>
      <c r="E923" s="51" t="s">
        <v>261</v>
      </c>
      <c r="F923" s="30">
        <v>7.5</v>
      </c>
      <c r="G923" s="30">
        <v>2.5</v>
      </c>
      <c r="H923" s="30">
        <f t="shared" ref="H923" si="381">IF(G923&gt;0,(G923*1.5)+F923,"YOK")</f>
        <v>11.25</v>
      </c>
      <c r="I923" s="49" t="s">
        <v>805</v>
      </c>
      <c r="J923" s="31"/>
      <c r="K923" s="32">
        <v>1</v>
      </c>
      <c r="L923" s="32"/>
      <c r="M923" s="33"/>
      <c r="N923" s="33"/>
      <c r="O923" s="21"/>
      <c r="P923" s="21"/>
      <c r="Q923" s="21"/>
      <c r="R923" s="21"/>
    </row>
    <row r="924" spans="1:18" s="52" customFormat="1" ht="39.950000000000003" customHeight="1">
      <c r="A924" s="9">
        <v>13</v>
      </c>
      <c r="B924" s="207">
        <v>5948</v>
      </c>
      <c r="C924" s="50" t="s">
        <v>1524</v>
      </c>
      <c r="D924" s="50" t="s">
        <v>1523</v>
      </c>
      <c r="E924" s="51" t="s">
        <v>261</v>
      </c>
      <c r="F924" s="30">
        <v>7.5</v>
      </c>
      <c r="G924" s="30">
        <v>2.5</v>
      </c>
      <c r="H924" s="30">
        <f t="shared" ref="H924" si="382">IF(G924&gt;0,(G924*1.5)+F924,"YOK")</f>
        <v>11.25</v>
      </c>
      <c r="I924" s="49" t="s">
        <v>805</v>
      </c>
      <c r="J924" s="31"/>
      <c r="K924" s="32">
        <v>1</v>
      </c>
      <c r="L924" s="32"/>
      <c r="M924" s="33"/>
      <c r="N924" s="33"/>
      <c r="O924" s="21"/>
      <c r="P924" s="21"/>
      <c r="Q924" s="21"/>
      <c r="R924" s="21"/>
    </row>
    <row r="925" spans="1:18" s="52" customFormat="1" ht="39.950000000000003" customHeight="1">
      <c r="A925" s="9">
        <v>14</v>
      </c>
      <c r="B925" s="207">
        <v>5945</v>
      </c>
      <c r="C925" s="50" t="s">
        <v>1525</v>
      </c>
      <c r="D925" s="50" t="s">
        <v>1526</v>
      </c>
      <c r="E925" s="51" t="s">
        <v>261</v>
      </c>
      <c r="F925" s="30">
        <v>7.5</v>
      </c>
      <c r="G925" s="30">
        <v>2.5</v>
      </c>
      <c r="H925" s="30">
        <f t="shared" ref="H925" si="383">IF(G925&gt;0,(G925*1.5)+F925,"YOK")</f>
        <v>11.25</v>
      </c>
      <c r="I925" s="49" t="s">
        <v>805</v>
      </c>
      <c r="J925" s="31"/>
      <c r="K925" s="32">
        <v>1</v>
      </c>
      <c r="L925" s="32"/>
      <c r="M925" s="33"/>
      <c r="N925" s="33"/>
      <c r="O925" s="21"/>
      <c r="P925" s="21"/>
      <c r="Q925" s="21"/>
      <c r="R925" s="21"/>
    </row>
    <row r="926" spans="1:18" s="52" customFormat="1" ht="39.950000000000003" customHeight="1">
      <c r="A926" s="9">
        <v>15</v>
      </c>
      <c r="B926" s="207">
        <v>5991</v>
      </c>
      <c r="C926" s="50" t="s">
        <v>1580</v>
      </c>
      <c r="D926" s="50" t="s">
        <v>1581</v>
      </c>
      <c r="E926" s="51" t="s">
        <v>261</v>
      </c>
      <c r="F926" s="30">
        <v>7.5</v>
      </c>
      <c r="G926" s="30">
        <v>2.5</v>
      </c>
      <c r="H926" s="30">
        <f t="shared" ref="H926" si="384">IF(G926&gt;0,(G926*1.5)+F926,"YOK")</f>
        <v>11.25</v>
      </c>
      <c r="I926" s="49" t="s">
        <v>805</v>
      </c>
      <c r="J926" s="31"/>
      <c r="K926" s="32">
        <v>1</v>
      </c>
      <c r="L926" s="32"/>
      <c r="M926" s="33"/>
      <c r="N926" s="33"/>
      <c r="O926" s="21"/>
      <c r="P926" s="21"/>
      <c r="Q926" s="21"/>
      <c r="R926" s="21"/>
    </row>
    <row r="927" spans="1:18" s="52" customFormat="1" ht="39.950000000000003" customHeight="1">
      <c r="A927" s="9">
        <v>16</v>
      </c>
      <c r="B927" s="222">
        <v>5076</v>
      </c>
      <c r="C927" s="50" t="s">
        <v>467</v>
      </c>
      <c r="D927" s="50" t="s">
        <v>468</v>
      </c>
      <c r="E927" s="51" t="s">
        <v>1621</v>
      </c>
      <c r="F927" s="30">
        <v>0</v>
      </c>
      <c r="G927" s="30">
        <v>0</v>
      </c>
      <c r="H927" s="30" t="str">
        <f t="shared" ref="H927" si="385">IF(G927&gt;0,(G927*1.5)+F927,"YOK")</f>
        <v>YOK</v>
      </c>
      <c r="I927" s="49" t="s">
        <v>1185</v>
      </c>
      <c r="J927" s="31">
        <v>1</v>
      </c>
      <c r="K927" s="32">
        <v>0</v>
      </c>
      <c r="L927" s="32"/>
      <c r="M927" s="33"/>
      <c r="N927" s="33"/>
      <c r="O927" s="21"/>
      <c r="P927" s="21"/>
      <c r="Q927" s="21"/>
      <c r="R927" s="21"/>
    </row>
    <row r="928" spans="1:18" s="52" customFormat="1" ht="39.950000000000003" customHeight="1">
      <c r="A928" s="9">
        <v>17</v>
      </c>
      <c r="B928" s="207">
        <v>6004</v>
      </c>
      <c r="C928" s="50" t="s">
        <v>1646</v>
      </c>
      <c r="D928" s="50" t="s">
        <v>1647</v>
      </c>
      <c r="E928" s="51" t="s">
        <v>1621</v>
      </c>
      <c r="F928" s="30">
        <v>7.5</v>
      </c>
      <c r="G928" s="30">
        <v>2.5</v>
      </c>
      <c r="H928" s="30">
        <f>IF(G928&gt;0,(G928*1.5)+F928,"YOK")</f>
        <v>11.25</v>
      </c>
      <c r="I928" s="49" t="s">
        <v>805</v>
      </c>
      <c r="J928" s="31"/>
      <c r="K928" s="32">
        <v>1</v>
      </c>
      <c r="L928" s="32"/>
      <c r="M928" s="33"/>
      <c r="N928" s="33"/>
      <c r="O928" s="21"/>
      <c r="P928" s="21"/>
      <c r="Q928" s="21"/>
      <c r="R928" s="21"/>
    </row>
    <row r="929" spans="1:18" s="52" customFormat="1" ht="39.950000000000003" customHeight="1">
      <c r="A929" s="9">
        <v>18</v>
      </c>
      <c r="B929" s="222">
        <v>6005</v>
      </c>
      <c r="C929" s="50" t="s">
        <v>1648</v>
      </c>
      <c r="D929" s="50" t="s">
        <v>1649</v>
      </c>
      <c r="E929" s="51" t="s">
        <v>1621</v>
      </c>
      <c r="F929" s="30">
        <v>0</v>
      </c>
      <c r="G929" s="30">
        <v>0</v>
      </c>
      <c r="H929" s="30" t="str">
        <f t="shared" ref="H929:H931" si="386">IF(G929&gt;0,(G929*1.5)+F929,"YOK")</f>
        <v>YOK</v>
      </c>
      <c r="I929" s="49" t="s">
        <v>1185</v>
      </c>
      <c r="J929" s="31">
        <v>1</v>
      </c>
      <c r="K929" s="32">
        <v>0</v>
      </c>
      <c r="L929" s="32"/>
      <c r="M929" s="33"/>
      <c r="N929" s="33"/>
      <c r="O929" s="21"/>
      <c r="P929" s="21"/>
      <c r="Q929" s="21"/>
      <c r="R929" s="21"/>
    </row>
    <row r="930" spans="1:18" s="52" customFormat="1" ht="39.950000000000003" customHeight="1">
      <c r="A930" s="9">
        <v>19</v>
      </c>
      <c r="B930" s="222">
        <v>6006</v>
      </c>
      <c r="C930" s="50" t="s">
        <v>1650</v>
      </c>
      <c r="D930" s="50" t="s">
        <v>1651</v>
      </c>
      <c r="E930" s="51" t="s">
        <v>1621</v>
      </c>
      <c r="F930" s="30">
        <v>0</v>
      </c>
      <c r="G930" s="30">
        <v>0</v>
      </c>
      <c r="H930" s="30" t="str">
        <f t="shared" si="386"/>
        <v>YOK</v>
      </c>
      <c r="I930" s="49" t="s">
        <v>1185</v>
      </c>
      <c r="J930" s="31">
        <v>1</v>
      </c>
      <c r="K930" s="32">
        <v>0</v>
      </c>
      <c r="L930" s="32"/>
      <c r="M930" s="33"/>
      <c r="N930"/>
      <c r="O930" s="21"/>
      <c r="P930" s="21"/>
      <c r="Q930" s="21"/>
      <c r="R930" s="21"/>
    </row>
    <row r="931" spans="1:18" s="52" customFormat="1" ht="39.950000000000003" customHeight="1">
      <c r="A931" s="9">
        <v>20</v>
      </c>
      <c r="B931" s="222">
        <v>6007</v>
      </c>
      <c r="C931" s="50" t="s">
        <v>1652</v>
      </c>
      <c r="D931" s="50" t="s">
        <v>1653</v>
      </c>
      <c r="E931" s="51" t="s">
        <v>1621</v>
      </c>
      <c r="F931" s="30">
        <v>0</v>
      </c>
      <c r="G931" s="30">
        <v>0</v>
      </c>
      <c r="H931" s="30" t="str">
        <f t="shared" si="386"/>
        <v>YOK</v>
      </c>
      <c r="I931" s="49" t="s">
        <v>1185</v>
      </c>
      <c r="J931" s="31">
        <v>1</v>
      </c>
      <c r="K931" s="32">
        <v>0</v>
      </c>
      <c r="L931" s="32"/>
      <c r="M931" s="33"/>
      <c r="N931" s="33"/>
      <c r="O931" s="21"/>
      <c r="P931" s="21"/>
      <c r="Q931" s="21"/>
      <c r="R931" s="21"/>
    </row>
    <row r="932" spans="1:18" s="52" customFormat="1" ht="39.950000000000003" customHeight="1">
      <c r="A932" s="9">
        <v>21</v>
      </c>
      <c r="B932" s="207">
        <v>6008</v>
      </c>
      <c r="C932" s="50" t="s">
        <v>1654</v>
      </c>
      <c r="D932" s="50" t="s">
        <v>1655</v>
      </c>
      <c r="E932" s="51" t="s">
        <v>1621</v>
      </c>
      <c r="F932" s="30">
        <v>7.5</v>
      </c>
      <c r="G932" s="30">
        <v>2.5</v>
      </c>
      <c r="H932" s="30">
        <f>IF(G932&gt;0,(G932*1.5)+F932,"YOK")</f>
        <v>11.25</v>
      </c>
      <c r="I932" s="49" t="s">
        <v>805</v>
      </c>
      <c r="J932" s="31"/>
      <c r="K932" s="32">
        <v>1</v>
      </c>
      <c r="L932" s="32"/>
      <c r="M932" s="33"/>
      <c r="N932" s="33"/>
      <c r="O932" s="21"/>
      <c r="P932" s="21"/>
      <c r="Q932" s="21"/>
      <c r="R932" s="21"/>
    </row>
    <row r="933" spans="1:18" s="52" customFormat="1" ht="39.950000000000003" customHeight="1">
      <c r="A933" s="9">
        <v>22</v>
      </c>
      <c r="B933" s="207">
        <v>6035</v>
      </c>
      <c r="C933" s="50" t="s">
        <v>1697</v>
      </c>
      <c r="D933" s="50" t="s">
        <v>1698</v>
      </c>
      <c r="E933" s="51" t="s">
        <v>1621</v>
      </c>
      <c r="F933" s="30">
        <v>7.5</v>
      </c>
      <c r="G933" s="30">
        <v>2.5</v>
      </c>
      <c r="H933" s="30">
        <f>IF(G933&gt;0,(G933*1.5)+F933,"YOK")</f>
        <v>11.25</v>
      </c>
      <c r="I933" s="49" t="s">
        <v>805</v>
      </c>
      <c r="J933" s="31"/>
      <c r="K933" s="32">
        <v>1</v>
      </c>
      <c r="L933" s="32"/>
      <c r="M933" s="33"/>
      <c r="N933" s="33"/>
      <c r="O933" s="21"/>
      <c r="P933" s="21"/>
      <c r="Q933" s="21"/>
      <c r="R933" s="21"/>
    </row>
    <row r="934" spans="1:18" s="52" customFormat="1" ht="39.950000000000003" customHeight="1">
      <c r="A934" s="9">
        <v>23</v>
      </c>
      <c r="B934" s="207">
        <v>6163</v>
      </c>
      <c r="C934" s="50" t="s">
        <v>2011</v>
      </c>
      <c r="D934" s="50" t="s">
        <v>2012</v>
      </c>
      <c r="E934" s="51" t="s">
        <v>1621</v>
      </c>
      <c r="F934" s="30">
        <v>7.5</v>
      </c>
      <c r="G934" s="30">
        <v>2.5</v>
      </c>
      <c r="H934" s="30">
        <f t="shared" ref="H934" si="387">IF(G934&gt;0,(G934*1.5)+F934,"YOK")</f>
        <v>11.25</v>
      </c>
      <c r="I934" s="49" t="s">
        <v>805</v>
      </c>
      <c r="J934" s="31"/>
      <c r="K934" s="32">
        <v>1</v>
      </c>
      <c r="L934" s="32"/>
      <c r="M934" s="33"/>
      <c r="N934" s="33"/>
      <c r="O934" s="21"/>
      <c r="P934" s="21"/>
      <c r="Q934" s="21"/>
      <c r="R934" s="21"/>
    </row>
    <row r="935" spans="1:18" s="52" customFormat="1" ht="39.950000000000003" customHeight="1">
      <c r="A935" s="9">
        <v>24</v>
      </c>
      <c r="B935" s="207">
        <v>6164</v>
      </c>
      <c r="C935" s="50" t="s">
        <v>2013</v>
      </c>
      <c r="D935" s="50" t="s">
        <v>2014</v>
      </c>
      <c r="E935" s="51" t="s">
        <v>1621</v>
      </c>
      <c r="F935" s="30">
        <v>7.5</v>
      </c>
      <c r="G935" s="30">
        <v>2.5</v>
      </c>
      <c r="H935" s="30">
        <f t="shared" ref="H935" si="388">IF(G935&gt;0,(G935*1.5)+F935,"YOK")</f>
        <v>11.25</v>
      </c>
      <c r="I935" s="49" t="s">
        <v>805</v>
      </c>
      <c r="J935" s="31"/>
      <c r="K935" s="32">
        <v>1</v>
      </c>
      <c r="L935" s="32"/>
      <c r="M935" s="33"/>
      <c r="N935" s="33"/>
      <c r="O935" s="21"/>
      <c r="P935" s="21"/>
      <c r="Q935" s="21"/>
      <c r="R935" s="21"/>
    </row>
    <row r="936" spans="1:18" s="52" customFormat="1" ht="39.950000000000003" customHeight="1">
      <c r="A936" s="9">
        <v>25</v>
      </c>
      <c r="B936" s="207">
        <v>6162</v>
      </c>
      <c r="C936" s="50" t="s">
        <v>2031</v>
      </c>
      <c r="D936" s="50" t="s">
        <v>2032</v>
      </c>
      <c r="E936" s="51" t="s">
        <v>1621</v>
      </c>
      <c r="F936" s="30">
        <v>7.5</v>
      </c>
      <c r="G936" s="30">
        <v>2.5</v>
      </c>
      <c r="H936" s="30">
        <f t="shared" ref="H936" si="389">IF(G936&gt;0,(G936*1.5)+F936,"YOK")</f>
        <v>11.25</v>
      </c>
      <c r="I936" s="49" t="s">
        <v>805</v>
      </c>
      <c r="J936" s="31"/>
      <c r="K936" s="32">
        <v>1</v>
      </c>
      <c r="L936" s="32"/>
      <c r="M936" s="33"/>
      <c r="N936" s="33"/>
      <c r="O936" s="21"/>
      <c r="P936" s="21"/>
      <c r="Q936" s="21"/>
      <c r="R936" s="21"/>
    </row>
    <row r="937" spans="1:18" s="52" customFormat="1" ht="39.950000000000003" customHeight="1">
      <c r="A937" s="9">
        <v>26</v>
      </c>
      <c r="B937" s="207">
        <v>6186</v>
      </c>
      <c r="C937" s="50" t="s">
        <v>2062</v>
      </c>
      <c r="D937" s="50" t="s">
        <v>2063</v>
      </c>
      <c r="E937" s="51" t="s">
        <v>1621</v>
      </c>
      <c r="F937" s="30">
        <v>7.5</v>
      </c>
      <c r="G937" s="30">
        <v>2.5</v>
      </c>
      <c r="H937" s="30">
        <f t="shared" ref="H937" si="390">IF(G937&gt;0,(G937*1.5)+F937,"YOK")</f>
        <v>11.25</v>
      </c>
      <c r="I937" s="49" t="s">
        <v>805</v>
      </c>
      <c r="J937" s="31"/>
      <c r="K937" s="32">
        <v>1</v>
      </c>
      <c r="L937" s="32"/>
      <c r="M937" s="33"/>
      <c r="N937" s="33"/>
      <c r="O937" s="21"/>
      <c r="P937" s="21"/>
      <c r="Q937" s="21"/>
      <c r="R937" s="21"/>
    </row>
    <row r="938" spans="1:18" s="52" customFormat="1" ht="39.950000000000003" customHeight="1">
      <c r="A938" s="9">
        <v>27</v>
      </c>
      <c r="B938" s="207">
        <v>6053</v>
      </c>
      <c r="C938" s="50" t="s">
        <v>1729</v>
      </c>
      <c r="D938" s="50" t="s">
        <v>1730</v>
      </c>
      <c r="E938" s="51" t="s">
        <v>1621</v>
      </c>
      <c r="F938" s="30">
        <v>7.5</v>
      </c>
      <c r="G938" s="30">
        <v>2.5</v>
      </c>
      <c r="H938" s="30">
        <f t="shared" ref="H938" si="391">IF(G938&gt;0,(G938*1.5)+F938,"YOK")</f>
        <v>11.25</v>
      </c>
      <c r="I938" s="49" t="s">
        <v>805</v>
      </c>
      <c r="J938" s="31"/>
      <c r="K938" s="32">
        <v>1</v>
      </c>
      <c r="L938" s="32"/>
      <c r="M938" s="33"/>
      <c r="N938" s="33"/>
      <c r="O938" s="21"/>
      <c r="P938" s="21"/>
      <c r="Q938" s="21"/>
      <c r="R938" s="21"/>
    </row>
    <row r="939" spans="1:18" s="52" customFormat="1" ht="39.950000000000003" customHeight="1">
      <c r="A939" s="9">
        <v>28</v>
      </c>
      <c r="B939" s="207">
        <v>6054</v>
      </c>
      <c r="C939" s="50" t="s">
        <v>1731</v>
      </c>
      <c r="D939" s="50" t="s">
        <v>1732</v>
      </c>
      <c r="E939" s="51" t="s">
        <v>1621</v>
      </c>
      <c r="F939" s="30">
        <v>7.5</v>
      </c>
      <c r="G939" s="30">
        <v>2.5</v>
      </c>
      <c r="H939" s="30">
        <f t="shared" ref="H939" si="392">IF(G939&gt;0,(G939*1.5)+F939,"YOK")</f>
        <v>11.25</v>
      </c>
      <c r="I939" s="49" t="s">
        <v>805</v>
      </c>
      <c r="J939" s="31"/>
      <c r="K939" s="32">
        <v>1</v>
      </c>
      <c r="L939" s="32"/>
      <c r="M939" s="33"/>
      <c r="N939" s="33"/>
      <c r="O939" s="21"/>
      <c r="P939" s="21"/>
      <c r="Q939" s="21"/>
      <c r="R939" s="21"/>
    </row>
    <row r="940" spans="1:18" s="52" customFormat="1" ht="39.950000000000003" customHeight="1">
      <c r="A940" s="9">
        <v>29</v>
      </c>
      <c r="B940" s="207">
        <v>6081</v>
      </c>
      <c r="C940" s="50" t="s">
        <v>1782</v>
      </c>
      <c r="D940" s="50" t="s">
        <v>1781</v>
      </c>
      <c r="E940" s="51" t="s">
        <v>1621</v>
      </c>
      <c r="F940" s="30">
        <v>7.5</v>
      </c>
      <c r="G940" s="30">
        <v>2.5</v>
      </c>
      <c r="H940" s="30">
        <f t="shared" ref="H940" si="393">IF(G940&gt;0,(G940*1.5)+F940,"YOK")</f>
        <v>11.25</v>
      </c>
      <c r="I940" s="49" t="s">
        <v>805</v>
      </c>
      <c r="J940" s="31"/>
      <c r="K940" s="32">
        <v>1</v>
      </c>
      <c r="L940" s="32"/>
      <c r="M940" s="33"/>
      <c r="N940" s="33"/>
      <c r="O940" s="21"/>
      <c r="P940" s="21"/>
      <c r="Q940" s="21"/>
      <c r="R940" s="21"/>
    </row>
    <row r="941" spans="1:18" s="52" customFormat="1" ht="39.950000000000003" customHeight="1">
      <c r="A941" s="9">
        <v>30</v>
      </c>
      <c r="B941" s="207">
        <v>6089</v>
      </c>
      <c r="C941" s="50" t="s">
        <v>1803</v>
      </c>
      <c r="D941" s="50" t="s">
        <v>1802</v>
      </c>
      <c r="E941" s="51" t="s">
        <v>1621</v>
      </c>
      <c r="F941" s="30">
        <v>7.5</v>
      </c>
      <c r="G941" s="30">
        <v>2.5</v>
      </c>
      <c r="H941" s="30">
        <f t="shared" ref="H941" si="394">IF(G941&gt;0,(G941*1.5)+F941,"YOK")</f>
        <v>11.25</v>
      </c>
      <c r="I941" s="49" t="s">
        <v>805</v>
      </c>
      <c r="J941" s="31"/>
      <c r="K941" s="32">
        <v>1</v>
      </c>
      <c r="L941" s="32"/>
      <c r="M941" s="33"/>
      <c r="N941" s="33"/>
      <c r="O941" s="21"/>
      <c r="P941" s="21"/>
      <c r="Q941" s="21"/>
      <c r="R941" s="21"/>
    </row>
    <row r="942" spans="1:18" s="52" customFormat="1" ht="39.950000000000003" customHeight="1">
      <c r="A942" s="9">
        <v>31</v>
      </c>
      <c r="B942" s="207">
        <v>6142</v>
      </c>
      <c r="C942" s="50" t="s">
        <v>1902</v>
      </c>
      <c r="D942" s="50" t="s">
        <v>1901</v>
      </c>
      <c r="E942" s="51" t="s">
        <v>1621</v>
      </c>
      <c r="F942" s="30">
        <v>7.5</v>
      </c>
      <c r="G942" s="30">
        <v>2.5</v>
      </c>
      <c r="H942" s="30">
        <f t="shared" ref="H942:H943" si="395">IF(G942&gt;0,(G942*1.5)+F942,"YOK")</f>
        <v>11.25</v>
      </c>
      <c r="I942" s="49" t="s">
        <v>805</v>
      </c>
      <c r="J942" s="31"/>
      <c r="K942" s="32">
        <v>1</v>
      </c>
      <c r="L942" s="32"/>
      <c r="M942" s="33"/>
      <c r="N942" s="33"/>
      <c r="O942" s="21"/>
      <c r="P942" s="21"/>
      <c r="Q942" s="21"/>
      <c r="R942" s="21"/>
    </row>
    <row r="943" spans="1:18" s="52" customFormat="1" ht="39.950000000000003" customHeight="1">
      <c r="A943" s="9">
        <v>32</v>
      </c>
      <c r="B943" s="207">
        <v>6157</v>
      </c>
      <c r="C943" s="50" t="s">
        <v>1997</v>
      </c>
      <c r="D943" s="50" t="s">
        <v>2000</v>
      </c>
      <c r="E943" s="51" t="s">
        <v>1621</v>
      </c>
      <c r="F943" s="30">
        <v>7.5</v>
      </c>
      <c r="G943" s="30">
        <v>2.5</v>
      </c>
      <c r="H943" s="30">
        <f t="shared" si="395"/>
        <v>11.25</v>
      </c>
      <c r="I943" s="47" t="s">
        <v>132</v>
      </c>
      <c r="J943" s="31"/>
      <c r="K943" s="32">
        <v>1</v>
      </c>
      <c r="L943" s="32">
        <v>1</v>
      </c>
      <c r="M943" s="33"/>
      <c r="N943" s="33"/>
      <c r="O943" s="21"/>
      <c r="P943" s="21"/>
      <c r="Q943" s="21"/>
      <c r="R943" s="21"/>
    </row>
    <row r="944" spans="1:18" s="52" customFormat="1" ht="39.950000000000003" customHeight="1">
      <c r="A944" s="9">
        <v>33</v>
      </c>
      <c r="B944" s="207">
        <v>6192</v>
      </c>
      <c r="C944" s="50" t="s">
        <v>2070</v>
      </c>
      <c r="D944" s="50" t="s">
        <v>2069</v>
      </c>
      <c r="E944" s="51" t="s">
        <v>1621</v>
      </c>
      <c r="F944" s="30">
        <v>7.5</v>
      </c>
      <c r="G944" s="30">
        <v>2.5</v>
      </c>
      <c r="H944" s="30">
        <f t="shared" ref="H944:H945" si="396">IF(G944&gt;0,(G944*1.5)+F944,"YOK")</f>
        <v>11.25</v>
      </c>
      <c r="I944" s="49" t="s">
        <v>805</v>
      </c>
      <c r="J944" s="31"/>
      <c r="K944" s="32">
        <v>1</v>
      </c>
      <c r="L944" s="32"/>
      <c r="M944" s="33"/>
      <c r="N944" s="33"/>
      <c r="O944" s="21"/>
      <c r="P944" s="21"/>
      <c r="Q944" s="21"/>
      <c r="R944" s="21"/>
    </row>
    <row r="945" spans="1:18" s="52" customFormat="1" ht="39.950000000000003" customHeight="1">
      <c r="A945" s="9">
        <v>34</v>
      </c>
      <c r="B945" s="222">
        <v>6193</v>
      </c>
      <c r="C945" s="50" t="s">
        <v>2071</v>
      </c>
      <c r="D945" s="50" t="s">
        <v>2072</v>
      </c>
      <c r="E945" s="51" t="s">
        <v>1621</v>
      </c>
      <c r="F945" s="30">
        <v>0</v>
      </c>
      <c r="G945" s="30">
        <v>0</v>
      </c>
      <c r="H945" s="30" t="str">
        <f t="shared" si="396"/>
        <v>YOK</v>
      </c>
      <c r="I945" s="49" t="s">
        <v>1185</v>
      </c>
      <c r="J945" s="31">
        <v>1</v>
      </c>
      <c r="K945" s="32">
        <v>0</v>
      </c>
      <c r="L945" s="32"/>
      <c r="M945" s="33"/>
      <c r="N945" s="33"/>
      <c r="O945" s="21"/>
      <c r="P945" s="21"/>
      <c r="Q945" s="21"/>
      <c r="R945" s="21"/>
    </row>
    <row r="946" spans="1:18" s="52" customFormat="1" ht="39.950000000000003" customHeight="1">
      <c r="A946" s="9">
        <v>35</v>
      </c>
      <c r="B946" s="207">
        <v>6670</v>
      </c>
      <c r="C946" s="185" t="s">
        <v>2944</v>
      </c>
      <c r="D946" s="50" t="s">
        <v>2945</v>
      </c>
      <c r="E946" s="51" t="s">
        <v>1621</v>
      </c>
      <c r="F946" s="30">
        <v>7.5</v>
      </c>
      <c r="G946" s="30">
        <v>2.5</v>
      </c>
      <c r="H946" s="30">
        <f t="shared" ref="H946" si="397">IF(G946&gt;0,(G946*1.5)+F946,"YOK")</f>
        <v>11.25</v>
      </c>
      <c r="I946" s="49" t="s">
        <v>805</v>
      </c>
      <c r="J946" s="31"/>
      <c r="K946" s="32">
        <v>1</v>
      </c>
      <c r="L946" s="32"/>
      <c r="M946" s="33"/>
      <c r="N946" s="33"/>
      <c r="O946" s="21"/>
      <c r="P946" s="21"/>
      <c r="Q946" s="21"/>
      <c r="R946" s="21"/>
    </row>
    <row r="947" spans="1:18" s="52" customFormat="1" ht="39.950000000000003" customHeight="1">
      <c r="A947" s="9">
        <v>36</v>
      </c>
      <c r="B947" s="207">
        <v>6688</v>
      </c>
      <c r="C947" s="185" t="s">
        <v>3022</v>
      </c>
      <c r="D947" s="50" t="s">
        <v>3023</v>
      </c>
      <c r="E947" s="51" t="s">
        <v>1621</v>
      </c>
      <c r="F947" s="30">
        <v>7.5</v>
      </c>
      <c r="G947" s="30">
        <v>2.5</v>
      </c>
      <c r="H947" s="30">
        <f t="shared" ref="H947" si="398">IF(G947&gt;0,(G947*1.5)+F947,"YOK")</f>
        <v>11.25</v>
      </c>
      <c r="I947" s="49" t="s">
        <v>805</v>
      </c>
      <c r="J947" s="31"/>
      <c r="K947" s="32">
        <v>1</v>
      </c>
      <c r="L947" s="32"/>
      <c r="M947" s="33"/>
      <c r="N947" s="33"/>
      <c r="O947" s="21"/>
      <c r="P947" s="21"/>
      <c r="Q947" s="21"/>
      <c r="R947" s="21"/>
    </row>
    <row r="948" spans="1:18" s="52" customFormat="1" ht="39.950000000000003" customHeight="1">
      <c r="A948" s="9">
        <v>37</v>
      </c>
      <c r="B948" s="207">
        <v>6689</v>
      </c>
      <c r="C948" s="185" t="s">
        <v>3024</v>
      </c>
      <c r="D948" s="50" t="s">
        <v>3025</v>
      </c>
      <c r="E948" s="51" t="s">
        <v>1621</v>
      </c>
      <c r="F948" s="30">
        <v>7.5</v>
      </c>
      <c r="G948" s="30">
        <v>2.5</v>
      </c>
      <c r="H948" s="30">
        <f t="shared" ref="H948" si="399">IF(G948&gt;0,(G948*1.5)+F948,"YOK")</f>
        <v>11.25</v>
      </c>
      <c r="I948" s="49" t="s">
        <v>805</v>
      </c>
      <c r="J948" s="31"/>
      <c r="K948" s="32">
        <v>1</v>
      </c>
      <c r="L948" s="32"/>
      <c r="M948" s="33"/>
      <c r="N948" s="33"/>
      <c r="O948" s="21"/>
      <c r="P948" s="21"/>
      <c r="Q948" s="21"/>
      <c r="R948" s="21"/>
    </row>
    <row r="949" spans="1:18" s="52" customFormat="1" ht="39.950000000000003" customHeight="1">
      <c r="A949" s="9">
        <v>38</v>
      </c>
      <c r="B949" s="207">
        <v>6158</v>
      </c>
      <c r="C949" s="50" t="s">
        <v>1998</v>
      </c>
      <c r="D949" s="50" t="s">
        <v>1999</v>
      </c>
      <c r="E949" s="51" t="s">
        <v>162</v>
      </c>
      <c r="F949" s="30">
        <v>7.5</v>
      </c>
      <c r="G949" s="30">
        <v>2.5</v>
      </c>
      <c r="H949" s="30">
        <f t="shared" ref="H949" si="400">IF(G949&gt;0,(G949*1.5)+F949,"YOK")</f>
        <v>11.25</v>
      </c>
      <c r="I949" s="49" t="s">
        <v>805</v>
      </c>
      <c r="J949" s="31"/>
      <c r="K949" s="32">
        <v>1</v>
      </c>
      <c r="L949" s="32"/>
      <c r="M949" s="33"/>
      <c r="N949" s="33"/>
      <c r="O949" s="21"/>
      <c r="P949" s="21"/>
      <c r="Q949" s="21"/>
      <c r="R949" s="21"/>
    </row>
    <row r="950" spans="1:18" s="52" customFormat="1" ht="39.950000000000003" customHeight="1">
      <c r="A950" s="9">
        <v>39</v>
      </c>
      <c r="B950" s="207">
        <v>5881</v>
      </c>
      <c r="C950" s="50" t="s">
        <v>1405</v>
      </c>
      <c r="D950" s="50" t="s">
        <v>1406</v>
      </c>
      <c r="E950" s="51" t="s">
        <v>162</v>
      </c>
      <c r="F950" s="30">
        <v>7.5</v>
      </c>
      <c r="G950" s="30">
        <v>2.5</v>
      </c>
      <c r="H950" s="30">
        <f t="shared" si="380"/>
        <v>11.25</v>
      </c>
      <c r="I950" s="49" t="s">
        <v>805</v>
      </c>
      <c r="J950" s="31"/>
      <c r="K950" s="32">
        <v>1</v>
      </c>
      <c r="L950" s="32"/>
      <c r="M950" s="33"/>
      <c r="N950" s="33"/>
      <c r="O950" s="21"/>
      <c r="P950" s="21"/>
      <c r="Q950" s="21"/>
      <c r="R950" s="21"/>
    </row>
    <row r="951" spans="1:18" s="52" customFormat="1" ht="39.950000000000003" customHeight="1">
      <c r="A951" s="9">
        <v>40</v>
      </c>
      <c r="B951" s="222">
        <v>5801</v>
      </c>
      <c r="C951" s="50" t="s">
        <v>1256</v>
      </c>
      <c r="D951" s="50" t="s">
        <v>1255</v>
      </c>
      <c r="E951" s="51" t="s">
        <v>162</v>
      </c>
      <c r="F951" s="30">
        <v>0</v>
      </c>
      <c r="G951" s="30">
        <v>0</v>
      </c>
      <c r="H951" s="30" t="str">
        <f t="shared" si="380"/>
        <v>YOK</v>
      </c>
      <c r="I951" s="49" t="s">
        <v>1185</v>
      </c>
      <c r="J951" s="31">
        <v>1</v>
      </c>
      <c r="K951" s="32">
        <v>0</v>
      </c>
      <c r="L951" s="32"/>
      <c r="M951" s="33"/>
      <c r="N951" s="33"/>
      <c r="O951" s="21"/>
      <c r="P951" s="21"/>
      <c r="Q951" s="21"/>
      <c r="R951" s="21"/>
    </row>
    <row r="952" spans="1:18" s="52" customFormat="1" ht="39.950000000000003" customHeight="1">
      <c r="A952" s="9">
        <v>41</v>
      </c>
      <c r="B952" s="207">
        <v>5596</v>
      </c>
      <c r="C952" s="50" t="s">
        <v>996</v>
      </c>
      <c r="D952" s="50" t="s">
        <v>997</v>
      </c>
      <c r="E952" s="51" t="s">
        <v>162</v>
      </c>
      <c r="F952" s="30">
        <v>7.5</v>
      </c>
      <c r="G952" s="30">
        <v>2.5</v>
      </c>
      <c r="H952" s="30">
        <f t="shared" ref="H952" si="401">IF(G952&gt;0,(G952*1.5)+F952,"YOK")</f>
        <v>11.25</v>
      </c>
      <c r="I952" s="49" t="s">
        <v>805</v>
      </c>
      <c r="J952" s="31"/>
      <c r="K952" s="32">
        <v>1</v>
      </c>
      <c r="L952" s="32"/>
      <c r="M952" s="33"/>
      <c r="N952" s="33"/>
      <c r="O952" s="21"/>
      <c r="P952" s="21"/>
      <c r="Q952" s="21"/>
      <c r="R952" s="21"/>
    </row>
    <row r="953" spans="1:18" s="52" customFormat="1" ht="39.950000000000003" customHeight="1">
      <c r="A953" s="9">
        <v>42</v>
      </c>
      <c r="B953" s="207">
        <v>4913</v>
      </c>
      <c r="C953" s="50" t="s">
        <v>462</v>
      </c>
      <c r="D953" s="50" t="s">
        <v>463</v>
      </c>
      <c r="E953" s="51" t="s">
        <v>162</v>
      </c>
      <c r="F953" s="30">
        <v>7.5</v>
      </c>
      <c r="G953" s="30">
        <v>2.5</v>
      </c>
      <c r="H953" s="30">
        <f t="shared" si="372"/>
        <v>11.25</v>
      </c>
      <c r="I953" s="49" t="s">
        <v>805</v>
      </c>
      <c r="J953" s="31"/>
      <c r="K953" s="32">
        <v>1</v>
      </c>
      <c r="L953" s="32"/>
      <c r="M953" s="33"/>
      <c r="N953" s="33"/>
      <c r="O953" s="21"/>
      <c r="P953" s="21"/>
      <c r="Q953" s="21"/>
      <c r="R953" s="21"/>
    </row>
    <row r="954" spans="1:18" s="52" customFormat="1" ht="39.950000000000003" customHeight="1">
      <c r="A954" s="9">
        <v>43</v>
      </c>
      <c r="B954" s="207">
        <v>5999</v>
      </c>
      <c r="C954" s="50" t="s">
        <v>1636</v>
      </c>
      <c r="D954" s="50" t="s">
        <v>1637</v>
      </c>
      <c r="E954" s="51" t="s">
        <v>162</v>
      </c>
      <c r="F954" s="30">
        <v>7.5</v>
      </c>
      <c r="G954" s="30">
        <v>2.5</v>
      </c>
      <c r="H954" s="30">
        <f t="shared" ref="H954:H962" si="402">IF(G954&gt;0,(G954*1.5)+F954,"YOK")</f>
        <v>11.25</v>
      </c>
      <c r="I954" s="49" t="s">
        <v>805</v>
      </c>
      <c r="J954" s="31"/>
      <c r="K954" s="32">
        <v>1</v>
      </c>
      <c r="L954" s="32"/>
      <c r="M954" s="33"/>
      <c r="N954" s="33"/>
      <c r="O954" s="21"/>
      <c r="P954" s="21"/>
      <c r="Q954" s="21"/>
      <c r="R954" s="21"/>
    </row>
    <row r="955" spans="1:18" s="52" customFormat="1" ht="39.950000000000003" customHeight="1">
      <c r="A955" s="9">
        <v>44</v>
      </c>
      <c r="B955" s="207">
        <v>4672</v>
      </c>
      <c r="C955" s="50" t="s">
        <v>466</v>
      </c>
      <c r="D955" s="50" t="s">
        <v>959</v>
      </c>
      <c r="E955" s="51" t="s">
        <v>306</v>
      </c>
      <c r="F955" s="30">
        <v>7.5</v>
      </c>
      <c r="G955" s="30">
        <v>2.5</v>
      </c>
      <c r="H955" s="30">
        <f t="shared" ref="H955" si="403">IF(G955&gt;0,(G955*1.5)+F955,"YOK")</f>
        <v>11.25</v>
      </c>
      <c r="I955" s="49" t="s">
        <v>805</v>
      </c>
      <c r="J955" s="31"/>
      <c r="K955" s="32">
        <v>1</v>
      </c>
      <c r="L955" s="32"/>
      <c r="M955" s="33"/>
      <c r="N955" s="33"/>
      <c r="O955" s="21"/>
      <c r="P955" s="21"/>
      <c r="Q955" s="21"/>
      <c r="R955" s="21"/>
    </row>
    <row r="956" spans="1:18" s="52" customFormat="1" ht="39.950000000000003" customHeight="1">
      <c r="A956" s="9">
        <v>45</v>
      </c>
      <c r="B956" s="207">
        <v>5053</v>
      </c>
      <c r="C956" s="50" t="s">
        <v>469</v>
      </c>
      <c r="D956" s="50" t="s">
        <v>470</v>
      </c>
      <c r="E956" s="51" t="s">
        <v>306</v>
      </c>
      <c r="F956" s="30">
        <v>7.5</v>
      </c>
      <c r="G956" s="30">
        <v>2.5</v>
      </c>
      <c r="H956" s="30">
        <f t="shared" ref="H956" si="404">IF(G956&gt;0,(G956*1.5)+F956,"YOK")</f>
        <v>11.25</v>
      </c>
      <c r="I956" s="49" t="s">
        <v>805</v>
      </c>
      <c r="J956" s="31"/>
      <c r="K956" s="32">
        <v>1</v>
      </c>
      <c r="L956" s="32"/>
      <c r="M956" s="33"/>
      <c r="N956" s="33"/>
      <c r="O956" s="21"/>
      <c r="P956" s="21"/>
      <c r="Q956" s="21"/>
      <c r="R956" s="21"/>
    </row>
    <row r="957" spans="1:18" s="52" customFormat="1" ht="39.950000000000003" customHeight="1">
      <c r="A957" s="9">
        <v>46</v>
      </c>
      <c r="B957" s="207">
        <v>5886</v>
      </c>
      <c r="C957" s="50" t="s">
        <v>1411</v>
      </c>
      <c r="D957" s="50" t="s">
        <v>1412</v>
      </c>
      <c r="E957" s="51" t="s">
        <v>306</v>
      </c>
      <c r="F957" s="30">
        <v>7.5</v>
      </c>
      <c r="G957" s="30">
        <v>2.5</v>
      </c>
      <c r="H957" s="30">
        <f t="shared" ref="H957" si="405">IF(G957&gt;0,(G957*1.5)+F957,"YOK")</f>
        <v>11.25</v>
      </c>
      <c r="I957" s="49" t="s">
        <v>805</v>
      </c>
      <c r="J957" s="31"/>
      <c r="K957" s="32">
        <v>1</v>
      </c>
      <c r="L957" s="32"/>
      <c r="M957" s="33"/>
      <c r="N957" s="33"/>
      <c r="O957" s="21"/>
      <c r="P957" s="21"/>
      <c r="Q957" s="21"/>
      <c r="R957" s="21"/>
    </row>
    <row r="958" spans="1:18" s="52" customFormat="1" ht="39.950000000000003" customHeight="1">
      <c r="A958" s="9">
        <v>47</v>
      </c>
      <c r="B958" s="207">
        <v>5887</v>
      </c>
      <c r="C958" s="50" t="s">
        <v>1413</v>
      </c>
      <c r="D958" s="50" t="s">
        <v>1414</v>
      </c>
      <c r="E958" s="51" t="s">
        <v>306</v>
      </c>
      <c r="F958" s="30">
        <v>7.5</v>
      </c>
      <c r="G958" s="30">
        <v>2.5</v>
      </c>
      <c r="H958" s="30">
        <f t="shared" ref="H958" si="406">IF(G958&gt;0,(G958*1.5)+F958,"YOK")</f>
        <v>11.25</v>
      </c>
      <c r="I958" s="49" t="s">
        <v>805</v>
      </c>
      <c r="J958" s="31"/>
      <c r="K958" s="32">
        <v>1</v>
      </c>
      <c r="L958" s="32"/>
      <c r="M958" s="33"/>
      <c r="N958" s="33"/>
      <c r="O958" s="21"/>
      <c r="P958" s="21"/>
      <c r="Q958" s="21"/>
      <c r="R958" s="21"/>
    </row>
    <row r="959" spans="1:18" s="52" customFormat="1" ht="39.950000000000003" customHeight="1">
      <c r="A959" s="9">
        <v>48</v>
      </c>
      <c r="B959" s="207">
        <v>6000</v>
      </c>
      <c r="C959" s="185" t="s">
        <v>1638</v>
      </c>
      <c r="D959" s="50" t="s">
        <v>1639</v>
      </c>
      <c r="E959" s="51" t="s">
        <v>306</v>
      </c>
      <c r="F959" s="30">
        <v>7.5</v>
      </c>
      <c r="G959" s="30">
        <v>2.5</v>
      </c>
      <c r="H959" s="30">
        <f t="shared" ref="H959" si="407">IF(G959&gt;0,(G959*1.5)+F959,"YOK")</f>
        <v>11.25</v>
      </c>
      <c r="I959" s="49" t="s">
        <v>805</v>
      </c>
      <c r="J959" s="31"/>
      <c r="K959" s="32">
        <v>1</v>
      </c>
      <c r="L959" s="32"/>
      <c r="M959" s="33"/>
      <c r="N959" s="33"/>
      <c r="O959" s="21"/>
      <c r="P959" s="21"/>
      <c r="Q959" s="21"/>
      <c r="R959" s="21"/>
    </row>
    <row r="960" spans="1:18" s="52" customFormat="1" ht="39.950000000000003" customHeight="1">
      <c r="A960" s="9">
        <v>49</v>
      </c>
      <c r="B960" s="207">
        <v>6001</v>
      </c>
      <c r="C960" s="50" t="s">
        <v>1640</v>
      </c>
      <c r="D960" s="50" t="s">
        <v>1641</v>
      </c>
      <c r="E960" s="51" t="s">
        <v>306</v>
      </c>
      <c r="F960" s="30">
        <v>7.5</v>
      </c>
      <c r="G960" s="30">
        <v>2.5</v>
      </c>
      <c r="H960" s="30">
        <f>IF(G960&gt;0,(G960*1.5)+F960,"YOK")</f>
        <v>11.25</v>
      </c>
      <c r="I960" s="49" t="s">
        <v>805</v>
      </c>
      <c r="J960" s="31"/>
      <c r="K960" s="32">
        <v>1</v>
      </c>
      <c r="L960" s="32"/>
      <c r="M960" s="33"/>
      <c r="N960" s="33"/>
      <c r="O960" s="21"/>
      <c r="P960" s="21"/>
      <c r="Q960" s="21"/>
      <c r="R960" s="21"/>
    </row>
    <row r="961" spans="1:18" s="52" customFormat="1" ht="39.950000000000003" customHeight="1">
      <c r="A961" s="9">
        <v>50</v>
      </c>
      <c r="B961" s="207">
        <v>6002</v>
      </c>
      <c r="C961" s="50" t="s">
        <v>1642</v>
      </c>
      <c r="D961" s="50" t="s">
        <v>1643</v>
      </c>
      <c r="E961" s="51" t="s">
        <v>306</v>
      </c>
      <c r="F961" s="30">
        <v>7.5</v>
      </c>
      <c r="G961" s="30">
        <v>2.5</v>
      </c>
      <c r="H961" s="30">
        <f>IF(G961&gt;0,(G961*1.5)+F961,"YOK")</f>
        <v>11.25</v>
      </c>
      <c r="I961" s="49" t="s">
        <v>805</v>
      </c>
      <c r="J961" s="31"/>
      <c r="K961" s="32">
        <v>1</v>
      </c>
      <c r="L961" s="32"/>
      <c r="M961" s="33"/>
      <c r="N961" s="33"/>
      <c r="O961" s="21"/>
      <c r="P961" s="21"/>
      <c r="Q961" s="21"/>
      <c r="R961" s="21"/>
    </row>
    <row r="962" spans="1:18" s="52" customFormat="1" ht="39.950000000000003" customHeight="1">
      <c r="A962" s="9">
        <v>51</v>
      </c>
      <c r="B962" s="207">
        <v>6003</v>
      </c>
      <c r="C962" s="50" t="s">
        <v>1644</v>
      </c>
      <c r="D962" s="50" t="s">
        <v>1645</v>
      </c>
      <c r="E962" s="51" t="s">
        <v>306</v>
      </c>
      <c r="F962" s="30">
        <v>7.5</v>
      </c>
      <c r="G962" s="30">
        <v>2.5</v>
      </c>
      <c r="H962" s="30">
        <f t="shared" si="402"/>
        <v>11.25</v>
      </c>
      <c r="I962" s="49" t="s">
        <v>805</v>
      </c>
      <c r="J962" s="31"/>
      <c r="K962" s="32">
        <v>1</v>
      </c>
      <c r="L962" s="32"/>
      <c r="M962" s="33"/>
      <c r="N962" s="33"/>
      <c r="O962" s="21"/>
      <c r="P962" s="21"/>
      <c r="Q962" s="21"/>
      <c r="R962" s="21"/>
    </row>
    <row r="963" spans="1:18" s="52" customFormat="1" ht="39.950000000000003" customHeight="1">
      <c r="A963" s="9">
        <v>52</v>
      </c>
      <c r="B963" s="207">
        <v>6815</v>
      </c>
      <c r="C963" s="185" t="s">
        <v>3594</v>
      </c>
      <c r="D963" s="50" t="s">
        <v>3595</v>
      </c>
      <c r="E963" s="51" t="s">
        <v>306</v>
      </c>
      <c r="F963" s="30">
        <v>7.5</v>
      </c>
      <c r="G963" s="30">
        <v>2.5</v>
      </c>
      <c r="H963" s="30">
        <f t="shared" ref="H963" si="408">IF(G963&gt;0,(G963*1.5)+F963,"YOK")</f>
        <v>11.25</v>
      </c>
      <c r="I963" s="49" t="s">
        <v>805</v>
      </c>
      <c r="J963" s="31"/>
      <c r="K963" s="32">
        <v>1</v>
      </c>
      <c r="L963" s="32"/>
      <c r="M963" s="33"/>
      <c r="N963" s="33"/>
      <c r="O963" s="21"/>
      <c r="P963" s="21"/>
      <c r="Q963" s="21"/>
      <c r="R963" s="21"/>
    </row>
    <row r="964" spans="1:18" s="52" customFormat="1" ht="39.950000000000003" customHeight="1">
      <c r="A964" s="9">
        <v>53</v>
      </c>
      <c r="B964" s="207">
        <v>6176</v>
      </c>
      <c r="C964" s="50" t="s">
        <v>2042</v>
      </c>
      <c r="D964" s="50" t="s">
        <v>2043</v>
      </c>
      <c r="E964" s="51" t="s">
        <v>260</v>
      </c>
      <c r="F964" s="30">
        <v>7.5</v>
      </c>
      <c r="G964" s="30">
        <v>2.5</v>
      </c>
      <c r="H964" s="30">
        <f t="shared" ref="H964" si="409">IF(G964&gt;0,(G964*1.5)+F964,"YOK")</f>
        <v>11.25</v>
      </c>
      <c r="I964" s="49" t="s">
        <v>805</v>
      </c>
      <c r="J964" s="31"/>
      <c r="K964" s="32">
        <v>1</v>
      </c>
      <c r="L964" s="32"/>
      <c r="M964" s="33"/>
      <c r="N964" s="33"/>
      <c r="O964" s="21"/>
      <c r="P964" s="21"/>
      <c r="Q964" s="21"/>
      <c r="R964" s="21"/>
    </row>
    <row r="965" spans="1:18" s="52" customFormat="1" ht="39.950000000000003" customHeight="1">
      <c r="A965" s="9">
        <v>54</v>
      </c>
      <c r="B965" s="207">
        <v>6217</v>
      </c>
      <c r="C965" s="50" t="s">
        <v>2121</v>
      </c>
      <c r="D965" s="50" t="s">
        <v>2122</v>
      </c>
      <c r="E965" s="51" t="s">
        <v>260</v>
      </c>
      <c r="F965" s="30">
        <v>7.5</v>
      </c>
      <c r="G965" s="30">
        <v>2.5</v>
      </c>
      <c r="H965" s="30">
        <f t="shared" ref="H965" si="410">IF(G965&gt;0,(G965*1.5)+F965,"YOK")</f>
        <v>11.25</v>
      </c>
      <c r="I965" s="49" t="s">
        <v>805</v>
      </c>
      <c r="J965" s="31"/>
      <c r="K965" s="32">
        <v>1</v>
      </c>
      <c r="L965" s="32"/>
      <c r="M965" s="33"/>
      <c r="N965" s="33"/>
      <c r="O965" s="21"/>
      <c r="P965" s="21"/>
      <c r="Q965" s="21"/>
      <c r="R965" s="21"/>
    </row>
    <row r="966" spans="1:18" s="52" customFormat="1" ht="39.950000000000003" customHeight="1">
      <c r="A966" s="9">
        <v>55</v>
      </c>
      <c r="B966" s="207">
        <v>6218</v>
      </c>
      <c r="C966" s="50" t="s">
        <v>2123</v>
      </c>
      <c r="D966" s="50" t="s">
        <v>2124</v>
      </c>
      <c r="E966" s="51" t="s">
        <v>260</v>
      </c>
      <c r="F966" s="30">
        <v>7.5</v>
      </c>
      <c r="G966" s="30">
        <v>2.5</v>
      </c>
      <c r="H966" s="30">
        <f t="shared" ref="H966" si="411">IF(G966&gt;0,(G966*1.5)+F966,"YOK")</f>
        <v>11.25</v>
      </c>
      <c r="I966" s="49" t="s">
        <v>805</v>
      </c>
      <c r="J966" s="31"/>
      <c r="K966" s="32">
        <v>1</v>
      </c>
      <c r="L966" s="32"/>
      <c r="M966" s="33"/>
      <c r="N966" s="33"/>
      <c r="O966" s="21"/>
      <c r="P966" s="21"/>
      <c r="Q966" s="21"/>
      <c r="R966" s="21"/>
    </row>
    <row r="967" spans="1:18" s="52" customFormat="1" ht="39.950000000000003" customHeight="1">
      <c r="A967" s="9">
        <v>56</v>
      </c>
      <c r="B967" s="207">
        <v>6219</v>
      </c>
      <c r="C967" s="50" t="s">
        <v>2125</v>
      </c>
      <c r="D967" s="50" t="s">
        <v>2126</v>
      </c>
      <c r="E967" s="51" t="s">
        <v>260</v>
      </c>
      <c r="F967" s="30">
        <v>7.5</v>
      </c>
      <c r="G967" s="30">
        <v>2.5</v>
      </c>
      <c r="H967" s="30">
        <f t="shared" ref="H967" si="412">IF(G967&gt;0,(G967*1.5)+F967,"YOK")</f>
        <v>11.25</v>
      </c>
      <c r="I967" s="49" t="s">
        <v>805</v>
      </c>
      <c r="J967" s="31"/>
      <c r="K967" s="32">
        <v>1</v>
      </c>
      <c r="L967" s="32"/>
      <c r="M967" s="33"/>
      <c r="N967" s="33"/>
      <c r="O967" s="21"/>
      <c r="P967" s="21"/>
      <c r="Q967" s="21"/>
      <c r="R967" s="21"/>
    </row>
    <row r="968" spans="1:18" s="52" customFormat="1" ht="39.950000000000003" customHeight="1">
      <c r="A968" s="9">
        <v>57</v>
      </c>
      <c r="B968" s="207">
        <v>6220</v>
      </c>
      <c r="C968" s="50" t="s">
        <v>2127</v>
      </c>
      <c r="D968" s="50" t="s">
        <v>2128</v>
      </c>
      <c r="E968" s="51" t="s">
        <v>260</v>
      </c>
      <c r="F968" s="30">
        <v>7.5</v>
      </c>
      <c r="G968" s="30">
        <v>2.5</v>
      </c>
      <c r="H968" s="30">
        <f t="shared" ref="H968" si="413">IF(G968&gt;0,(G968*1.5)+F968,"YOK")</f>
        <v>11.25</v>
      </c>
      <c r="I968" s="49" t="s">
        <v>805</v>
      </c>
      <c r="J968" s="31"/>
      <c r="K968" s="32">
        <v>1</v>
      </c>
      <c r="L968" s="32"/>
      <c r="M968" s="33"/>
      <c r="N968" s="33"/>
      <c r="O968" s="21"/>
      <c r="P968" s="21"/>
      <c r="Q968" s="21"/>
      <c r="R968" s="21"/>
    </row>
    <row r="969" spans="1:18" s="52" customFormat="1" ht="39.950000000000003" customHeight="1">
      <c r="A969" s="9">
        <v>58</v>
      </c>
      <c r="B969" s="207">
        <v>6221</v>
      </c>
      <c r="C969" s="50" t="s">
        <v>2129</v>
      </c>
      <c r="D969" s="50" t="s">
        <v>2130</v>
      </c>
      <c r="E969" s="51" t="s">
        <v>260</v>
      </c>
      <c r="F969" s="30">
        <v>7.5</v>
      </c>
      <c r="G969" s="30">
        <v>2.5</v>
      </c>
      <c r="H969" s="30">
        <f t="shared" ref="H969:H989" si="414">IF(G969&gt;0,(G969*1.5)+F969,"YOK")</f>
        <v>11.25</v>
      </c>
      <c r="I969" s="49" t="s">
        <v>805</v>
      </c>
      <c r="J969" s="31"/>
      <c r="K969" s="32">
        <v>1</v>
      </c>
      <c r="L969" s="32"/>
      <c r="M969" s="33"/>
      <c r="N969" s="33"/>
      <c r="O969" s="21"/>
      <c r="P969" s="21"/>
      <c r="Q969" s="21"/>
      <c r="R969" s="21"/>
    </row>
    <row r="970" spans="1:18" s="52" customFormat="1" ht="39.950000000000003" customHeight="1">
      <c r="A970" s="9">
        <v>59</v>
      </c>
      <c r="B970" s="207" t="s">
        <v>979</v>
      </c>
      <c r="C970" s="185" t="s">
        <v>3460</v>
      </c>
      <c r="D970" s="185" t="s">
        <v>3461</v>
      </c>
      <c r="E970" s="51" t="s">
        <v>316</v>
      </c>
      <c r="F970" s="30">
        <v>7.5</v>
      </c>
      <c r="G970" s="30">
        <v>2.5</v>
      </c>
      <c r="H970" s="30">
        <f t="shared" si="414"/>
        <v>11.25</v>
      </c>
      <c r="I970" s="22" t="s">
        <v>1100</v>
      </c>
      <c r="J970" s="32"/>
      <c r="K970" s="32">
        <v>1</v>
      </c>
      <c r="L970" s="32"/>
      <c r="M970" s="33"/>
      <c r="N970" s="33"/>
      <c r="O970" s="21"/>
      <c r="P970" s="21"/>
      <c r="Q970" s="21"/>
      <c r="R970" s="21"/>
    </row>
    <row r="971" spans="1:18" s="52" customFormat="1" ht="39.950000000000003" customHeight="1">
      <c r="A971" s="9">
        <v>60</v>
      </c>
      <c r="B971" s="207" t="s">
        <v>979</v>
      </c>
      <c r="C971" s="185" t="s">
        <v>3462</v>
      </c>
      <c r="D971" s="185" t="s">
        <v>3463</v>
      </c>
      <c r="E971" s="51" t="s">
        <v>316</v>
      </c>
      <c r="F971" s="30">
        <v>7.5</v>
      </c>
      <c r="G971" s="30">
        <v>2.5</v>
      </c>
      <c r="H971" s="30">
        <f t="shared" si="414"/>
        <v>11.25</v>
      </c>
      <c r="I971" s="22" t="s">
        <v>1100</v>
      </c>
      <c r="J971" s="32"/>
      <c r="K971" s="32">
        <v>1</v>
      </c>
      <c r="L971" s="32"/>
      <c r="M971" s="33"/>
      <c r="N971" s="33"/>
      <c r="O971" s="21"/>
      <c r="P971" s="21"/>
      <c r="Q971" s="21"/>
      <c r="R971" s="21"/>
    </row>
    <row r="972" spans="1:18" s="52" customFormat="1" ht="39.950000000000003" customHeight="1">
      <c r="A972" s="9">
        <v>61</v>
      </c>
      <c r="B972" s="207" t="s">
        <v>979</v>
      </c>
      <c r="C972" s="185" t="s">
        <v>3464</v>
      </c>
      <c r="D972" s="185" t="s">
        <v>3465</v>
      </c>
      <c r="E972" s="51" t="s">
        <v>316</v>
      </c>
      <c r="F972" s="30">
        <v>7.5</v>
      </c>
      <c r="G972" s="30">
        <v>2.5</v>
      </c>
      <c r="H972" s="30">
        <f t="shared" ref="H972:H977" si="415">IF(G972&gt;0,(G972*1.5)+F972,"YOK")</f>
        <v>11.25</v>
      </c>
      <c r="I972" s="22" t="s">
        <v>1100</v>
      </c>
      <c r="J972" s="32"/>
      <c r="K972" s="32">
        <v>1</v>
      </c>
      <c r="L972" s="32"/>
      <c r="M972" s="33"/>
      <c r="N972" s="33"/>
      <c r="O972" s="21"/>
      <c r="P972" s="21"/>
      <c r="Q972" s="21"/>
      <c r="R972" s="21"/>
    </row>
    <row r="973" spans="1:18" s="52" customFormat="1" ht="39.950000000000003" customHeight="1">
      <c r="A973" s="9">
        <v>62</v>
      </c>
      <c r="B973" s="207" t="s">
        <v>979</v>
      </c>
      <c r="C973" s="185" t="s">
        <v>3466</v>
      </c>
      <c r="D973" s="185" t="s">
        <v>3467</v>
      </c>
      <c r="E973" s="51" t="s">
        <v>316</v>
      </c>
      <c r="F973" s="30">
        <v>7.5</v>
      </c>
      <c r="G973" s="30">
        <v>2.5</v>
      </c>
      <c r="H973" s="30">
        <f t="shared" si="415"/>
        <v>11.25</v>
      </c>
      <c r="I973" s="22" t="s">
        <v>1100</v>
      </c>
      <c r="J973" s="32"/>
      <c r="K973" s="32">
        <v>1</v>
      </c>
      <c r="L973" s="32"/>
      <c r="M973" s="33"/>
      <c r="N973" s="33"/>
      <c r="O973" s="21"/>
      <c r="P973" s="21"/>
      <c r="Q973" s="21"/>
      <c r="R973" s="21"/>
    </row>
    <row r="974" spans="1:18" s="52" customFormat="1" ht="39.950000000000003" customHeight="1">
      <c r="A974" s="9">
        <v>63</v>
      </c>
      <c r="B974" s="207" t="s">
        <v>979</v>
      </c>
      <c r="C974" s="185" t="s">
        <v>3468</v>
      </c>
      <c r="D974" s="185" t="s">
        <v>3469</v>
      </c>
      <c r="E974" s="51" t="s">
        <v>316</v>
      </c>
      <c r="F974" s="30">
        <v>7.5</v>
      </c>
      <c r="G974" s="30">
        <v>2.5</v>
      </c>
      <c r="H974" s="30">
        <f t="shared" si="415"/>
        <v>11.25</v>
      </c>
      <c r="I974" s="22" t="s">
        <v>1100</v>
      </c>
      <c r="J974" s="32"/>
      <c r="K974" s="32">
        <v>1</v>
      </c>
      <c r="L974" s="32"/>
      <c r="M974" s="33"/>
      <c r="N974" s="33"/>
      <c r="O974" s="21"/>
      <c r="P974" s="21"/>
      <c r="Q974" s="21"/>
      <c r="R974" s="21"/>
    </row>
    <row r="975" spans="1:18" s="52" customFormat="1" ht="39.950000000000003" customHeight="1">
      <c r="A975" s="9">
        <v>64</v>
      </c>
      <c r="B975" s="207" t="s">
        <v>979</v>
      </c>
      <c r="C975" s="185" t="s">
        <v>3471</v>
      </c>
      <c r="D975" s="185" t="s">
        <v>3470</v>
      </c>
      <c r="E975" s="51" t="s">
        <v>316</v>
      </c>
      <c r="F975" s="30">
        <v>7.5</v>
      </c>
      <c r="G975" s="30">
        <v>2.5</v>
      </c>
      <c r="H975" s="30">
        <f t="shared" ref="H975:H976" si="416">IF(G975&gt;0,(G975*1.5)+F975,"YOK")</f>
        <v>11.25</v>
      </c>
      <c r="I975" s="22" t="s">
        <v>1100</v>
      </c>
      <c r="J975" s="32"/>
      <c r="K975" s="32">
        <v>1</v>
      </c>
      <c r="L975" s="32"/>
      <c r="M975" s="33"/>
      <c r="N975" s="33"/>
      <c r="O975" s="21"/>
      <c r="P975" s="21"/>
      <c r="Q975" s="21"/>
      <c r="R975" s="21"/>
    </row>
    <row r="976" spans="1:18" s="52" customFormat="1" ht="39.950000000000003" customHeight="1">
      <c r="A976" s="9">
        <v>65</v>
      </c>
      <c r="B976" s="207" t="s">
        <v>979</v>
      </c>
      <c r="C976" s="185" t="s">
        <v>3472</v>
      </c>
      <c r="D976" s="185" t="s">
        <v>3473</v>
      </c>
      <c r="E976" s="51" t="s">
        <v>316</v>
      </c>
      <c r="F976" s="30">
        <v>7.5</v>
      </c>
      <c r="G976" s="30">
        <v>2.5</v>
      </c>
      <c r="H976" s="30">
        <f t="shared" si="416"/>
        <v>11.25</v>
      </c>
      <c r="I976" s="22" t="s">
        <v>1100</v>
      </c>
      <c r="J976" s="32"/>
      <c r="K976" s="32">
        <v>1</v>
      </c>
      <c r="L976" s="32"/>
      <c r="M976" s="33"/>
      <c r="N976" s="33"/>
      <c r="O976" s="21"/>
      <c r="P976" s="21"/>
      <c r="Q976" s="21"/>
      <c r="R976" s="21"/>
    </row>
    <row r="977" spans="1:18" s="52" customFormat="1" ht="39.950000000000003" customHeight="1">
      <c r="A977" s="9">
        <v>66</v>
      </c>
      <c r="B977" s="207" t="s">
        <v>979</v>
      </c>
      <c r="C977" s="185" t="s">
        <v>3474</v>
      </c>
      <c r="D977" s="185" t="s">
        <v>3475</v>
      </c>
      <c r="E977" s="51" t="s">
        <v>316</v>
      </c>
      <c r="F977" s="30">
        <v>7.5</v>
      </c>
      <c r="G977" s="30">
        <v>2.5</v>
      </c>
      <c r="H977" s="30">
        <f t="shared" si="415"/>
        <v>11.25</v>
      </c>
      <c r="I977" s="22" t="s">
        <v>1100</v>
      </c>
      <c r="J977" s="32"/>
      <c r="K977" s="32">
        <v>1</v>
      </c>
      <c r="L977" s="32"/>
      <c r="M977" s="33"/>
      <c r="N977" s="33"/>
      <c r="O977" s="21"/>
      <c r="P977" s="21"/>
      <c r="Q977" s="21"/>
      <c r="R977" s="21"/>
    </row>
    <row r="978" spans="1:18" s="52" customFormat="1" ht="39.950000000000003" customHeight="1">
      <c r="A978" s="9">
        <v>67</v>
      </c>
      <c r="B978" s="207" t="s">
        <v>979</v>
      </c>
      <c r="C978" s="185" t="s">
        <v>3476</v>
      </c>
      <c r="D978" s="185" t="s">
        <v>3477</v>
      </c>
      <c r="E978" s="51" t="s">
        <v>316</v>
      </c>
      <c r="F978" s="30">
        <v>7.5</v>
      </c>
      <c r="G978" s="30">
        <v>2.5</v>
      </c>
      <c r="H978" s="30">
        <f t="shared" si="414"/>
        <v>11.25</v>
      </c>
      <c r="I978" s="22" t="s">
        <v>1100</v>
      </c>
      <c r="J978" s="32"/>
      <c r="K978" s="32">
        <v>1</v>
      </c>
      <c r="L978" s="32"/>
      <c r="M978" s="33"/>
      <c r="N978" s="33"/>
      <c r="O978" s="21"/>
      <c r="P978" s="21"/>
      <c r="Q978" s="21"/>
      <c r="R978" s="21"/>
    </row>
    <row r="979" spans="1:18" s="52" customFormat="1" ht="39.950000000000003" customHeight="1">
      <c r="A979" s="9">
        <v>68</v>
      </c>
      <c r="B979" s="207" t="s">
        <v>979</v>
      </c>
      <c r="C979" s="185" t="s">
        <v>3478</v>
      </c>
      <c r="D979" s="185" t="s">
        <v>3479</v>
      </c>
      <c r="E979" s="51" t="s">
        <v>316</v>
      </c>
      <c r="F979" s="30">
        <v>7.5</v>
      </c>
      <c r="G979" s="30">
        <v>2.5</v>
      </c>
      <c r="H979" s="30">
        <f t="shared" si="414"/>
        <v>11.25</v>
      </c>
      <c r="I979" s="22" t="s">
        <v>1100</v>
      </c>
      <c r="J979" s="32"/>
      <c r="K979" s="32">
        <v>1</v>
      </c>
      <c r="L979" s="32"/>
      <c r="M979" s="33"/>
      <c r="N979" s="33"/>
      <c r="O979" s="21"/>
      <c r="P979" s="21"/>
      <c r="Q979" s="21"/>
      <c r="R979" s="21"/>
    </row>
    <row r="980" spans="1:18" s="52" customFormat="1" ht="39.950000000000003" customHeight="1">
      <c r="A980" s="9">
        <v>69</v>
      </c>
      <c r="B980" s="207" t="s">
        <v>979</v>
      </c>
      <c r="C980" s="185" t="s">
        <v>3480</v>
      </c>
      <c r="D980" s="185" t="s">
        <v>3481</v>
      </c>
      <c r="E980" s="51" t="s">
        <v>316</v>
      </c>
      <c r="F980" s="30">
        <v>0</v>
      </c>
      <c r="G980" s="30">
        <v>0</v>
      </c>
      <c r="H980" s="30" t="str">
        <f t="shared" ref="H980" si="417">IF(G980&gt;0,(G980*1.5)+F980,"YOK")</f>
        <v>YOK</v>
      </c>
      <c r="I980" s="224" t="s">
        <v>3671</v>
      </c>
      <c r="J980" s="32">
        <v>1</v>
      </c>
      <c r="K980" s="32">
        <v>0</v>
      </c>
      <c r="L980" s="32"/>
      <c r="M980" s="33"/>
      <c r="N980" s="33"/>
      <c r="O980" s="21"/>
      <c r="P980" s="21"/>
      <c r="Q980" s="21"/>
      <c r="R980" s="21"/>
    </row>
    <row r="981" spans="1:18" s="52" customFormat="1" ht="39.950000000000003" customHeight="1">
      <c r="A981" s="9">
        <v>70</v>
      </c>
      <c r="B981" s="207" t="s">
        <v>979</v>
      </c>
      <c r="C981" s="185" t="s">
        <v>3482</v>
      </c>
      <c r="D981" s="185" t="s">
        <v>3483</v>
      </c>
      <c r="E981" s="51" t="s">
        <v>316</v>
      </c>
      <c r="F981" s="30">
        <v>7.5</v>
      </c>
      <c r="G981" s="30">
        <v>2.5</v>
      </c>
      <c r="H981" s="30">
        <f t="shared" si="414"/>
        <v>11.25</v>
      </c>
      <c r="I981" s="22" t="s">
        <v>1100</v>
      </c>
      <c r="J981" s="32"/>
      <c r="K981" s="32">
        <v>1</v>
      </c>
      <c r="L981" s="32"/>
      <c r="M981" s="33"/>
      <c r="N981" s="33"/>
      <c r="O981" s="21"/>
      <c r="P981" s="21"/>
      <c r="Q981" s="21"/>
      <c r="R981" s="21"/>
    </row>
    <row r="982" spans="1:18" s="52" customFormat="1" ht="39.950000000000003" customHeight="1">
      <c r="A982" s="9">
        <v>71</v>
      </c>
      <c r="B982" s="207" t="s">
        <v>979</v>
      </c>
      <c r="C982" s="185" t="s">
        <v>3484</v>
      </c>
      <c r="D982" s="185" t="s">
        <v>3485</v>
      </c>
      <c r="E982" s="51" t="s">
        <v>316</v>
      </c>
      <c r="F982" s="30">
        <v>7.5</v>
      </c>
      <c r="G982" s="30">
        <v>2.5</v>
      </c>
      <c r="H982" s="30">
        <f t="shared" ref="H982" si="418">IF(G982&gt;0,(G982*1.5)+F982,"YOK")</f>
        <v>11.25</v>
      </c>
      <c r="I982" s="22" t="s">
        <v>1100</v>
      </c>
      <c r="J982" s="32"/>
      <c r="K982" s="32">
        <v>1</v>
      </c>
      <c r="L982" s="32"/>
      <c r="M982" s="33"/>
      <c r="N982" s="33"/>
      <c r="O982" s="21"/>
      <c r="P982" s="21"/>
      <c r="Q982" s="21"/>
      <c r="R982" s="21"/>
    </row>
    <row r="983" spans="1:18" s="52" customFormat="1" ht="39.950000000000003" customHeight="1">
      <c r="A983" s="9">
        <v>72</v>
      </c>
      <c r="B983" s="207" t="s">
        <v>979</v>
      </c>
      <c r="C983" s="185" t="s">
        <v>3486</v>
      </c>
      <c r="D983" s="185" t="s">
        <v>3487</v>
      </c>
      <c r="E983" s="51" t="s">
        <v>316</v>
      </c>
      <c r="F983" s="30">
        <v>7.5</v>
      </c>
      <c r="G983" s="30">
        <v>2.5</v>
      </c>
      <c r="H983" s="30">
        <f t="shared" ref="H983:H986" si="419">IF(G983&gt;0,(G983*1.5)+F983,"YOK")</f>
        <v>11.25</v>
      </c>
      <c r="I983" s="22" t="s">
        <v>1100</v>
      </c>
      <c r="J983" s="32"/>
      <c r="K983" s="32">
        <v>1</v>
      </c>
      <c r="L983" s="32"/>
      <c r="M983" s="33"/>
      <c r="N983" s="33"/>
      <c r="O983" s="21"/>
      <c r="P983" s="21"/>
      <c r="Q983" s="21"/>
      <c r="R983" s="21"/>
    </row>
    <row r="984" spans="1:18" s="52" customFormat="1" ht="39.950000000000003" customHeight="1">
      <c r="A984" s="9">
        <v>73</v>
      </c>
      <c r="B984" s="207" t="s">
        <v>979</v>
      </c>
      <c r="C984" s="185" t="s">
        <v>3488</v>
      </c>
      <c r="D984" s="185" t="s">
        <v>3489</v>
      </c>
      <c r="E984" s="51" t="s">
        <v>316</v>
      </c>
      <c r="F984" s="30">
        <v>7.5</v>
      </c>
      <c r="G984" s="30">
        <v>2.5</v>
      </c>
      <c r="H984" s="30">
        <f t="shared" si="419"/>
        <v>11.25</v>
      </c>
      <c r="I984" s="22" t="s">
        <v>1100</v>
      </c>
      <c r="J984" s="32"/>
      <c r="K984" s="32">
        <v>1</v>
      </c>
      <c r="L984" s="32"/>
      <c r="M984" s="33"/>
      <c r="N984" s="33"/>
      <c r="O984" s="21"/>
      <c r="P984" s="21"/>
      <c r="Q984" s="21"/>
      <c r="R984" s="21"/>
    </row>
    <row r="985" spans="1:18" s="52" customFormat="1" ht="39.950000000000003" customHeight="1">
      <c r="A985" s="9">
        <v>74</v>
      </c>
      <c r="B985" s="207" t="s">
        <v>979</v>
      </c>
      <c r="C985" s="185" t="s">
        <v>3490</v>
      </c>
      <c r="D985" s="185" t="s">
        <v>3491</v>
      </c>
      <c r="E985" s="51" t="s">
        <v>1621</v>
      </c>
      <c r="F985" s="30">
        <v>0</v>
      </c>
      <c r="G985" s="30">
        <v>0</v>
      </c>
      <c r="H985" s="30" t="str">
        <f t="shared" si="419"/>
        <v>YOK</v>
      </c>
      <c r="I985" s="224" t="s">
        <v>3671</v>
      </c>
      <c r="J985" s="32">
        <v>1</v>
      </c>
      <c r="K985" s="32">
        <v>0</v>
      </c>
      <c r="L985" s="32"/>
      <c r="M985" s="33"/>
      <c r="N985" s="33"/>
      <c r="O985" s="21"/>
      <c r="P985" s="21"/>
      <c r="Q985" s="21"/>
      <c r="R985" s="21"/>
    </row>
    <row r="986" spans="1:18" s="52" customFormat="1" ht="39.950000000000003" customHeight="1">
      <c r="A986" s="9">
        <v>75</v>
      </c>
      <c r="B986" s="207" t="s">
        <v>979</v>
      </c>
      <c r="C986" s="185" t="s">
        <v>3492</v>
      </c>
      <c r="D986" s="185" t="s">
        <v>3493</v>
      </c>
      <c r="E986" s="51" t="s">
        <v>1621</v>
      </c>
      <c r="F986" s="30">
        <v>0</v>
      </c>
      <c r="G986" s="30">
        <v>0</v>
      </c>
      <c r="H986" s="30" t="str">
        <f t="shared" si="419"/>
        <v>YOK</v>
      </c>
      <c r="I986" s="224" t="s">
        <v>3671</v>
      </c>
      <c r="J986" s="32">
        <v>1</v>
      </c>
      <c r="K986" s="32">
        <v>0</v>
      </c>
      <c r="L986" s="32"/>
      <c r="M986" s="33"/>
      <c r="N986" s="33"/>
      <c r="O986" s="21"/>
      <c r="P986" s="21"/>
      <c r="Q986" s="21"/>
      <c r="R986" s="21"/>
    </row>
    <row r="987" spans="1:18" s="52" customFormat="1" ht="39.950000000000003" customHeight="1">
      <c r="A987" s="9">
        <v>76</v>
      </c>
      <c r="B987" s="207" t="s">
        <v>979</v>
      </c>
      <c r="C987" s="185" t="s">
        <v>3494</v>
      </c>
      <c r="D987" s="185" t="s">
        <v>3495</v>
      </c>
      <c r="E987" s="51" t="s">
        <v>1621</v>
      </c>
      <c r="F987" s="30">
        <v>7.5</v>
      </c>
      <c r="G987" s="30">
        <v>2.5</v>
      </c>
      <c r="H987" s="30">
        <f t="shared" si="414"/>
        <v>11.25</v>
      </c>
      <c r="I987" s="22" t="s">
        <v>1100</v>
      </c>
      <c r="J987" s="32"/>
      <c r="K987" s="32">
        <v>1</v>
      </c>
      <c r="L987" s="32"/>
      <c r="M987" s="33"/>
      <c r="N987" s="33"/>
      <c r="O987" s="21"/>
      <c r="P987" s="21"/>
      <c r="Q987" s="21"/>
      <c r="R987" s="21"/>
    </row>
    <row r="988" spans="1:18" s="52" customFormat="1" ht="39.950000000000003" customHeight="1">
      <c r="A988" s="9">
        <v>77</v>
      </c>
      <c r="B988" s="207" t="s">
        <v>979</v>
      </c>
      <c r="C988" s="185" t="s">
        <v>3499</v>
      </c>
      <c r="D988" s="185" t="s">
        <v>3498</v>
      </c>
      <c r="E988" s="51" t="s">
        <v>1621</v>
      </c>
      <c r="F988" s="30">
        <v>7.5</v>
      </c>
      <c r="G988" s="30">
        <v>2.5</v>
      </c>
      <c r="H988" s="30">
        <f t="shared" si="414"/>
        <v>11.25</v>
      </c>
      <c r="I988" s="22" t="s">
        <v>1100</v>
      </c>
      <c r="J988" s="32"/>
      <c r="K988" s="32">
        <v>1</v>
      </c>
      <c r="L988" s="32"/>
      <c r="M988" s="33"/>
      <c r="N988" s="33"/>
      <c r="O988" s="21"/>
      <c r="P988" s="21"/>
      <c r="Q988" s="21"/>
      <c r="R988" s="21"/>
    </row>
    <row r="989" spans="1:18" s="52" customFormat="1" ht="39.950000000000003" customHeight="1">
      <c r="A989" s="9">
        <v>78</v>
      </c>
      <c r="B989" s="207" t="s">
        <v>979</v>
      </c>
      <c r="C989" s="185" t="s">
        <v>3500</v>
      </c>
      <c r="D989" s="185" t="s">
        <v>3501</v>
      </c>
      <c r="E989" s="51" t="s">
        <v>1621</v>
      </c>
      <c r="F989" s="30">
        <v>7.5</v>
      </c>
      <c r="G989" s="30">
        <v>2.5</v>
      </c>
      <c r="H989" s="30">
        <f t="shared" si="414"/>
        <v>11.25</v>
      </c>
      <c r="I989" s="22" t="s">
        <v>1100</v>
      </c>
      <c r="J989" s="32"/>
      <c r="K989" s="32">
        <v>1</v>
      </c>
      <c r="L989" s="32"/>
      <c r="M989" s="33"/>
      <c r="N989" s="33"/>
      <c r="O989" s="21"/>
      <c r="P989" s="21"/>
      <c r="Q989" s="21"/>
      <c r="R989" s="21"/>
    </row>
    <row r="990" spans="1:18" s="52" customFormat="1" ht="39.950000000000003" customHeight="1">
      <c r="A990" s="9">
        <v>79</v>
      </c>
      <c r="B990" s="207" t="s">
        <v>979</v>
      </c>
      <c r="C990" s="185" t="s">
        <v>3496</v>
      </c>
      <c r="D990" s="185" t="s">
        <v>3497</v>
      </c>
      <c r="E990" s="51" t="s">
        <v>3274</v>
      </c>
      <c r="F990" s="30">
        <v>7.5</v>
      </c>
      <c r="G990" s="30">
        <v>2.5</v>
      </c>
      <c r="H990" s="30">
        <f t="shared" ref="H990:H991" si="420">IF(G990&gt;0,(G990*1.5)+F990,"YOK")</f>
        <v>11.25</v>
      </c>
      <c r="I990" s="22" t="s">
        <v>1100</v>
      </c>
      <c r="J990" s="32"/>
      <c r="K990" s="32">
        <v>1</v>
      </c>
      <c r="L990" s="32"/>
      <c r="M990" s="33"/>
      <c r="N990" s="33"/>
      <c r="O990" s="21"/>
      <c r="P990" s="21"/>
      <c r="Q990" s="21"/>
      <c r="R990" s="21"/>
    </row>
    <row r="991" spans="1:18" s="52" customFormat="1" ht="39.950000000000003" customHeight="1">
      <c r="A991" s="9">
        <v>80</v>
      </c>
      <c r="B991" s="207" t="s">
        <v>979</v>
      </c>
      <c r="C991" s="185" t="s">
        <v>3587</v>
      </c>
      <c r="D991" s="185" t="s">
        <v>3588</v>
      </c>
      <c r="E991" s="51" t="s">
        <v>306</v>
      </c>
      <c r="F991" s="30">
        <v>0</v>
      </c>
      <c r="G991" s="30">
        <v>0</v>
      </c>
      <c r="H991" s="30" t="str">
        <f t="shared" si="420"/>
        <v>YOK</v>
      </c>
      <c r="I991" s="224" t="s">
        <v>3671</v>
      </c>
      <c r="J991" s="32">
        <v>1</v>
      </c>
      <c r="K991" s="32">
        <v>0</v>
      </c>
      <c r="L991" s="32"/>
      <c r="M991" s="33"/>
      <c r="N991" s="33"/>
      <c r="O991" s="21"/>
      <c r="P991" s="21"/>
      <c r="Q991" s="21"/>
      <c r="R991" s="21"/>
    </row>
    <row r="992" spans="1:18" s="52" customFormat="1" ht="39.950000000000003" customHeight="1">
      <c r="A992" s="9">
        <v>81</v>
      </c>
      <c r="B992" s="207">
        <v>5508</v>
      </c>
      <c r="C992" s="50" t="s">
        <v>923</v>
      </c>
      <c r="D992" s="50" t="s">
        <v>924</v>
      </c>
      <c r="E992" s="51" t="s">
        <v>306</v>
      </c>
      <c r="F992" s="30">
        <v>0</v>
      </c>
      <c r="G992" s="30"/>
      <c r="H992" s="30"/>
      <c r="I992" s="22" t="s">
        <v>34</v>
      </c>
      <c r="J992" s="31"/>
      <c r="K992" s="32">
        <v>0</v>
      </c>
      <c r="L992" s="32"/>
      <c r="M992" s="32">
        <v>1</v>
      </c>
      <c r="N992" s="33"/>
      <c r="O992" s="21"/>
      <c r="P992" s="21"/>
      <c r="Q992" s="21"/>
      <c r="R992" s="21"/>
    </row>
    <row r="993" spans="1:19" ht="39.950000000000003" customHeight="1">
      <c r="A993" s="40"/>
      <c r="B993" s="46"/>
      <c r="C993" s="41"/>
      <c r="D993" s="213" t="s">
        <v>3040</v>
      </c>
      <c r="E993" s="46"/>
      <c r="F993" s="41"/>
      <c r="G993" s="41"/>
      <c r="H993" s="41"/>
      <c r="I993" s="42"/>
      <c r="J993" s="43">
        <f>SUM(J912:J992)</f>
        <v>10</v>
      </c>
      <c r="K993" s="43">
        <f>SUM(K912:K992)</f>
        <v>70</v>
      </c>
      <c r="L993" s="43">
        <f>SUM(L912:L992)</f>
        <v>1</v>
      </c>
      <c r="M993" s="43">
        <f>SUM(M912:M992)</f>
        <v>1</v>
      </c>
      <c r="N993" s="33"/>
      <c r="O993" s="21"/>
      <c r="P993" s="21"/>
    </row>
    <row r="994" spans="1:19" s="52" customFormat="1" ht="39.950000000000003" customHeight="1">
      <c r="A994" s="9">
        <v>1</v>
      </c>
      <c r="B994" s="207" t="s">
        <v>979</v>
      </c>
      <c r="C994" s="185" t="s">
        <v>2867</v>
      </c>
      <c r="D994" s="50" t="s">
        <v>2868</v>
      </c>
      <c r="E994" s="51" t="s">
        <v>254</v>
      </c>
      <c r="F994" s="30" t="s">
        <v>17</v>
      </c>
      <c r="G994" s="30"/>
      <c r="H994" s="30"/>
      <c r="I994" s="22" t="s">
        <v>1100</v>
      </c>
      <c r="J994" s="32"/>
      <c r="K994" s="32">
        <v>1</v>
      </c>
      <c r="L994" s="32"/>
      <c r="M994" s="32"/>
      <c r="N994" s="33"/>
      <c r="O994" s="21"/>
      <c r="P994" s="21"/>
      <c r="Q994" s="21"/>
      <c r="R994" s="21"/>
      <c r="S994" s="21"/>
    </row>
    <row r="995" spans="1:19" s="52" customFormat="1" ht="39.950000000000003" customHeight="1">
      <c r="A995" s="9">
        <v>2</v>
      </c>
      <c r="B995" s="207" t="s">
        <v>979</v>
      </c>
      <c r="C995" s="185" t="s">
        <v>3002</v>
      </c>
      <c r="D995" s="50" t="s">
        <v>3003</v>
      </c>
      <c r="E995" s="51" t="s">
        <v>256</v>
      </c>
      <c r="F995" s="30" t="s">
        <v>17</v>
      </c>
      <c r="G995" s="30"/>
      <c r="H995" s="30"/>
      <c r="I995" s="22" t="s">
        <v>1100</v>
      </c>
      <c r="J995" s="32"/>
      <c r="K995" s="32">
        <v>1</v>
      </c>
      <c r="L995" s="32"/>
      <c r="M995" s="32"/>
      <c r="N995" s="33"/>
      <c r="O995" s="21"/>
      <c r="P995" s="21"/>
      <c r="Q995" s="21"/>
      <c r="R995" s="21"/>
      <c r="S995" s="21"/>
    </row>
    <row r="996" spans="1:19" s="52" customFormat="1" ht="39.950000000000003" customHeight="1">
      <c r="A996" s="9">
        <v>3</v>
      </c>
      <c r="B996" s="207" t="s">
        <v>979</v>
      </c>
      <c r="C996" s="185" t="s">
        <v>3020</v>
      </c>
      <c r="D996" s="50" t="s">
        <v>3021</v>
      </c>
      <c r="E996" s="51" t="s">
        <v>162</v>
      </c>
      <c r="F996" s="30">
        <v>7.5</v>
      </c>
      <c r="G996" s="30">
        <v>2.5</v>
      </c>
      <c r="H996" s="30">
        <f t="shared" ref="H996" si="421">IF(G996&gt;0,(G996*1.5)+F996,"YOK")</f>
        <v>11.25</v>
      </c>
      <c r="I996" s="22" t="s">
        <v>1100</v>
      </c>
      <c r="J996" s="32"/>
      <c r="K996" s="32">
        <v>1</v>
      </c>
      <c r="L996" s="32"/>
      <c r="M996" s="32"/>
      <c r="N996" s="33"/>
      <c r="O996" s="21"/>
      <c r="P996" s="21"/>
      <c r="Q996" s="21"/>
      <c r="R996" s="21"/>
    </row>
    <row r="997" spans="1:19" s="52" customFormat="1" ht="39.950000000000003" customHeight="1">
      <c r="A997" s="9">
        <v>4</v>
      </c>
      <c r="B997" s="207" t="s">
        <v>979</v>
      </c>
      <c r="C997" s="185" t="s">
        <v>3004</v>
      </c>
      <c r="D997" s="50" t="s">
        <v>3005</v>
      </c>
      <c r="E997" s="51" t="s">
        <v>316</v>
      </c>
      <c r="F997" s="30">
        <v>7.5</v>
      </c>
      <c r="G997" s="30">
        <v>2.5</v>
      </c>
      <c r="H997" s="30">
        <f t="shared" ref="H997:H1001" si="422">IF(G997&gt;0,(G997*1.5)+F997,"YOK")</f>
        <v>11.25</v>
      </c>
      <c r="I997" s="22" t="s">
        <v>1100</v>
      </c>
      <c r="J997" s="32"/>
      <c r="K997" s="32">
        <v>1</v>
      </c>
      <c r="L997" s="32"/>
      <c r="M997" s="32"/>
      <c r="N997" s="33"/>
      <c r="O997" s="21"/>
      <c r="P997" s="21"/>
      <c r="Q997" s="21"/>
      <c r="R997" s="21"/>
    </row>
    <row r="998" spans="1:19" s="52" customFormat="1" ht="39.950000000000003" customHeight="1">
      <c r="A998" s="9">
        <v>5</v>
      </c>
      <c r="B998" s="207" t="s">
        <v>979</v>
      </c>
      <c r="C998" s="185" t="s">
        <v>3006</v>
      </c>
      <c r="D998" s="50" t="s">
        <v>3007</v>
      </c>
      <c r="E998" s="51" t="s">
        <v>316</v>
      </c>
      <c r="F998" s="30">
        <v>7.5</v>
      </c>
      <c r="G998" s="30">
        <v>2.5</v>
      </c>
      <c r="H998" s="30">
        <f t="shared" si="422"/>
        <v>11.25</v>
      </c>
      <c r="I998" s="22" t="s">
        <v>1100</v>
      </c>
      <c r="J998" s="32"/>
      <c r="K998" s="32">
        <v>1</v>
      </c>
      <c r="L998" s="32"/>
      <c r="M998" s="32"/>
      <c r="N998" s="33"/>
      <c r="O998" s="21"/>
      <c r="P998" s="21"/>
      <c r="Q998" s="21"/>
      <c r="R998" s="21"/>
    </row>
    <row r="999" spans="1:19" s="52" customFormat="1" ht="39.950000000000003" customHeight="1">
      <c r="A999" s="9">
        <v>6</v>
      </c>
      <c r="B999" s="207" t="s">
        <v>979</v>
      </c>
      <c r="C999" s="185" t="s">
        <v>3008</v>
      </c>
      <c r="D999" s="50" t="s">
        <v>3009</v>
      </c>
      <c r="E999" s="51" t="s">
        <v>316</v>
      </c>
      <c r="F999" s="30">
        <v>7.5</v>
      </c>
      <c r="G999" s="30">
        <v>2.5</v>
      </c>
      <c r="H999" s="30">
        <f t="shared" si="422"/>
        <v>11.25</v>
      </c>
      <c r="I999" s="22" t="s">
        <v>1100</v>
      </c>
      <c r="J999" s="32"/>
      <c r="K999" s="32">
        <v>1</v>
      </c>
      <c r="L999" s="32"/>
      <c r="M999" s="32"/>
      <c r="N999" s="33"/>
      <c r="O999" s="21"/>
      <c r="P999" s="21"/>
      <c r="Q999" s="21"/>
      <c r="R999" s="21"/>
    </row>
    <row r="1000" spans="1:19" s="52" customFormat="1" ht="39.950000000000003" customHeight="1">
      <c r="A1000" s="9">
        <v>7</v>
      </c>
      <c r="B1000" s="207" t="s">
        <v>979</v>
      </c>
      <c r="C1000" s="185" t="s">
        <v>3010</v>
      </c>
      <c r="D1000" s="50" t="s">
        <v>3011</v>
      </c>
      <c r="E1000" s="51" t="s">
        <v>316</v>
      </c>
      <c r="F1000" s="30">
        <v>7.5</v>
      </c>
      <c r="G1000" s="30">
        <v>2.5</v>
      </c>
      <c r="H1000" s="30">
        <f t="shared" si="422"/>
        <v>11.25</v>
      </c>
      <c r="I1000" s="22" t="s">
        <v>1100</v>
      </c>
      <c r="J1000" s="32"/>
      <c r="K1000" s="32">
        <v>1</v>
      </c>
      <c r="L1000" s="32"/>
      <c r="M1000" s="32"/>
      <c r="N1000" s="33"/>
      <c r="O1000" s="21"/>
      <c r="P1000" s="21"/>
      <c r="Q1000" s="21"/>
      <c r="R1000" s="21"/>
    </row>
    <row r="1001" spans="1:19" s="52" customFormat="1" ht="39.950000000000003" customHeight="1">
      <c r="A1001" s="9">
        <v>8</v>
      </c>
      <c r="B1001" s="207" t="s">
        <v>979</v>
      </c>
      <c r="C1001" s="185" t="s">
        <v>3012</v>
      </c>
      <c r="D1001" s="50" t="s">
        <v>3013</v>
      </c>
      <c r="E1001" s="51" t="s">
        <v>316</v>
      </c>
      <c r="F1001" s="30">
        <v>7.5</v>
      </c>
      <c r="G1001" s="30">
        <v>2.5</v>
      </c>
      <c r="H1001" s="30">
        <f t="shared" si="422"/>
        <v>11.25</v>
      </c>
      <c r="I1001" s="22" t="s">
        <v>1100</v>
      </c>
      <c r="J1001" s="32"/>
      <c r="K1001" s="32">
        <v>1</v>
      </c>
      <c r="L1001" s="32"/>
      <c r="M1001" s="32"/>
      <c r="N1001" s="33"/>
      <c r="O1001" s="21"/>
      <c r="P1001" s="21"/>
      <c r="Q1001" s="21"/>
      <c r="R1001" s="21"/>
    </row>
    <row r="1002" spans="1:19" s="52" customFormat="1" ht="39.950000000000003" customHeight="1">
      <c r="A1002" s="9">
        <v>9</v>
      </c>
      <c r="B1002" s="207" t="s">
        <v>979</v>
      </c>
      <c r="C1002" s="185" t="s">
        <v>3042</v>
      </c>
      <c r="D1002" s="50" t="s">
        <v>3043</v>
      </c>
      <c r="E1002" s="51" t="s">
        <v>316</v>
      </c>
      <c r="F1002" s="30">
        <v>7.5</v>
      </c>
      <c r="G1002" s="30">
        <v>2.5</v>
      </c>
      <c r="H1002" s="30">
        <f t="shared" ref="H1002:H1004" si="423">IF(G1002&gt;0,(G1002*1.5)+F1002,"YOK")</f>
        <v>11.25</v>
      </c>
      <c r="I1002" s="22" t="s">
        <v>1100</v>
      </c>
      <c r="J1002" s="32"/>
      <c r="K1002" s="32">
        <v>1</v>
      </c>
      <c r="L1002" s="32"/>
      <c r="M1002" s="32"/>
      <c r="N1002" s="33"/>
      <c r="O1002" s="21"/>
      <c r="P1002" s="21"/>
      <c r="Q1002" s="21"/>
      <c r="R1002" s="21"/>
    </row>
    <row r="1003" spans="1:19" s="52" customFormat="1" ht="39.950000000000003" customHeight="1">
      <c r="A1003" s="9">
        <v>10</v>
      </c>
      <c r="B1003" s="207" t="s">
        <v>979</v>
      </c>
      <c r="C1003" s="185" t="s">
        <v>3044</v>
      </c>
      <c r="D1003" s="50" t="s">
        <v>3045</v>
      </c>
      <c r="E1003" s="51" t="s">
        <v>316</v>
      </c>
      <c r="F1003" s="30">
        <v>7.5</v>
      </c>
      <c r="G1003" s="30">
        <v>2.5</v>
      </c>
      <c r="H1003" s="30">
        <f t="shared" ref="H1003" si="424">IF(G1003&gt;0,(G1003*1.5)+F1003,"YOK")</f>
        <v>11.25</v>
      </c>
      <c r="I1003" s="22" t="s">
        <v>1100</v>
      </c>
      <c r="J1003" s="32"/>
      <c r="K1003" s="32">
        <v>1</v>
      </c>
      <c r="L1003" s="32"/>
      <c r="M1003" s="32"/>
      <c r="N1003" s="33"/>
      <c r="O1003" s="21"/>
      <c r="P1003" s="21"/>
      <c r="Q1003" s="21"/>
      <c r="R1003" s="21"/>
    </row>
    <row r="1004" spans="1:19" s="52" customFormat="1" ht="39.950000000000003" customHeight="1">
      <c r="A1004" s="9">
        <v>11</v>
      </c>
      <c r="B1004" s="207" t="s">
        <v>979</v>
      </c>
      <c r="C1004" s="185" t="s">
        <v>3046</v>
      </c>
      <c r="D1004" s="50" t="s">
        <v>3047</v>
      </c>
      <c r="E1004" s="51" t="s">
        <v>316</v>
      </c>
      <c r="F1004" s="30">
        <v>7.5</v>
      </c>
      <c r="G1004" s="30">
        <v>2.5</v>
      </c>
      <c r="H1004" s="30">
        <f t="shared" si="423"/>
        <v>11.25</v>
      </c>
      <c r="I1004" s="22" t="s">
        <v>1100</v>
      </c>
      <c r="J1004" s="32"/>
      <c r="K1004" s="32">
        <v>1</v>
      </c>
      <c r="L1004" s="32"/>
      <c r="M1004" s="32"/>
      <c r="N1004" s="33"/>
      <c r="O1004" s="21"/>
      <c r="P1004" s="21"/>
      <c r="Q1004" s="21"/>
      <c r="R1004" s="21"/>
    </row>
    <row r="1005" spans="1:19" s="52" customFormat="1" ht="39.950000000000003" customHeight="1">
      <c r="A1005" s="9">
        <v>12</v>
      </c>
      <c r="B1005" s="207" t="s">
        <v>979</v>
      </c>
      <c r="C1005" s="185" t="s">
        <v>3014</v>
      </c>
      <c r="D1005" s="50" t="s">
        <v>3015</v>
      </c>
      <c r="E1005" s="51" t="s">
        <v>1621</v>
      </c>
      <c r="F1005" s="30">
        <v>7.5</v>
      </c>
      <c r="G1005" s="30">
        <v>2.5</v>
      </c>
      <c r="H1005" s="30">
        <f t="shared" ref="H1005" si="425">IF(G1005&gt;0,(G1005*1.5)+F1005,"YOK")</f>
        <v>11.25</v>
      </c>
      <c r="I1005" s="22" t="s">
        <v>1100</v>
      </c>
      <c r="J1005" s="32"/>
      <c r="K1005" s="32">
        <v>1</v>
      </c>
      <c r="L1005" s="32"/>
      <c r="M1005" s="32"/>
      <c r="N1005" s="33"/>
      <c r="O1005" s="21"/>
      <c r="P1005" s="21"/>
      <c r="Q1005" s="21"/>
      <c r="R1005" s="21"/>
    </row>
    <row r="1006" spans="1:19" s="52" customFormat="1" ht="39.950000000000003" customHeight="1">
      <c r="A1006" s="9">
        <v>13</v>
      </c>
      <c r="B1006" s="207" t="s">
        <v>979</v>
      </c>
      <c r="C1006" s="185" t="s">
        <v>3016</v>
      </c>
      <c r="D1006" s="50" t="s">
        <v>3017</v>
      </c>
      <c r="E1006" s="51" t="s">
        <v>1621</v>
      </c>
      <c r="F1006" s="30">
        <v>7.5</v>
      </c>
      <c r="G1006" s="30">
        <v>2.5</v>
      </c>
      <c r="H1006" s="30">
        <f>IF(G1006&gt;0,(G1006*1.5)+F1006,"YOK")</f>
        <v>11.25</v>
      </c>
      <c r="I1006" s="22" t="s">
        <v>1100</v>
      </c>
      <c r="J1006" s="32"/>
      <c r="K1006" s="32">
        <v>1</v>
      </c>
      <c r="L1006" s="32"/>
      <c r="M1006" s="32"/>
      <c r="N1006" s="33"/>
      <c r="O1006" s="21"/>
      <c r="P1006" s="21"/>
      <c r="Q1006" s="21"/>
      <c r="R1006" s="21"/>
    </row>
    <row r="1007" spans="1:19" s="52" customFormat="1" ht="39.950000000000003" customHeight="1">
      <c r="A1007" s="9">
        <v>14</v>
      </c>
      <c r="B1007" s="207" t="s">
        <v>979</v>
      </c>
      <c r="C1007" s="185" t="s">
        <v>3018</v>
      </c>
      <c r="D1007" s="50" t="s">
        <v>3019</v>
      </c>
      <c r="E1007" s="51" t="s">
        <v>1621</v>
      </c>
      <c r="F1007" s="30">
        <v>7.5</v>
      </c>
      <c r="G1007" s="30">
        <v>2.5</v>
      </c>
      <c r="H1007" s="30">
        <f>IF(G1007&gt;0,(G1007*1.5)+F1007,"YOK")</f>
        <v>11.25</v>
      </c>
      <c r="I1007" s="22" t="s">
        <v>1100</v>
      </c>
      <c r="J1007" s="32"/>
      <c r="K1007" s="32">
        <v>1</v>
      </c>
      <c r="L1007" s="32"/>
      <c r="M1007" s="32"/>
      <c r="N1007" s="33"/>
      <c r="O1007" s="21"/>
      <c r="P1007" s="21"/>
      <c r="Q1007" s="21"/>
      <c r="R1007" s="21"/>
    </row>
    <row r="1008" spans="1:19" s="52" customFormat="1" ht="39.950000000000003" customHeight="1">
      <c r="A1008" s="9">
        <v>15</v>
      </c>
      <c r="B1008" s="207">
        <v>6816</v>
      </c>
      <c r="C1008" s="185" t="s">
        <v>3596</v>
      </c>
      <c r="D1008" s="50" t="s">
        <v>3597</v>
      </c>
      <c r="E1008" s="51" t="s">
        <v>162</v>
      </c>
      <c r="F1008" s="30">
        <v>7.5</v>
      </c>
      <c r="G1008" s="30">
        <v>2.5</v>
      </c>
      <c r="H1008" s="30">
        <f t="shared" ref="H1008" si="426">IF(G1008&gt;0,(G1008*1.5)+F1008,"YOK")</f>
        <v>11.25</v>
      </c>
      <c r="I1008" s="49" t="s">
        <v>805</v>
      </c>
      <c r="J1008" s="32"/>
      <c r="K1008" s="32">
        <v>1</v>
      </c>
      <c r="L1008" s="32"/>
      <c r="M1008" s="32"/>
      <c r="N1008" s="33"/>
      <c r="O1008" s="21"/>
      <c r="P1008" s="21"/>
      <c r="Q1008" s="21"/>
      <c r="R1008" s="21"/>
    </row>
    <row r="1009" spans="1:18" s="52" customFormat="1" ht="39.950000000000003" customHeight="1">
      <c r="A1009" s="9">
        <v>16</v>
      </c>
      <c r="B1009" s="207">
        <v>6705</v>
      </c>
      <c r="C1009" s="185" t="s">
        <v>3063</v>
      </c>
      <c r="D1009" s="50" t="s">
        <v>3064</v>
      </c>
      <c r="E1009" s="51" t="s">
        <v>1621</v>
      </c>
      <c r="F1009" s="30">
        <v>7.5</v>
      </c>
      <c r="G1009" s="30">
        <v>2.5</v>
      </c>
      <c r="H1009" s="30">
        <f t="shared" ref="H1009" si="427">IF(G1009&gt;0,(G1009*1.5)+F1009,"YOK")</f>
        <v>11.25</v>
      </c>
      <c r="I1009" s="49" t="s">
        <v>805</v>
      </c>
      <c r="J1009" s="32"/>
      <c r="K1009" s="32">
        <v>1</v>
      </c>
      <c r="L1009" s="32"/>
      <c r="M1009" s="32"/>
      <c r="N1009" s="33"/>
      <c r="O1009" s="21"/>
      <c r="P1009" s="21"/>
      <c r="Q1009" s="21"/>
      <c r="R1009" s="21"/>
    </row>
    <row r="1010" spans="1:18" s="52" customFormat="1" ht="39.950000000000003" customHeight="1">
      <c r="A1010" s="9">
        <v>17</v>
      </c>
      <c r="B1010" s="207">
        <v>6712</v>
      </c>
      <c r="C1010" s="185" t="s">
        <v>3048</v>
      </c>
      <c r="D1010" s="50" t="s">
        <v>3049</v>
      </c>
      <c r="E1010" s="51" t="s">
        <v>1621</v>
      </c>
      <c r="F1010" s="30">
        <v>7.5</v>
      </c>
      <c r="G1010" s="30">
        <v>2.5</v>
      </c>
      <c r="H1010" s="30">
        <f t="shared" ref="H1010" si="428">IF(G1010&gt;0,(G1010*1.5)+F1010,"YOK")</f>
        <v>11.25</v>
      </c>
      <c r="I1010" s="49" t="s">
        <v>805</v>
      </c>
      <c r="J1010" s="32"/>
      <c r="K1010" s="32">
        <v>1</v>
      </c>
      <c r="L1010" s="32"/>
      <c r="M1010" s="32"/>
      <c r="N1010" s="33"/>
      <c r="O1010" s="21"/>
      <c r="P1010" s="21"/>
      <c r="Q1010" s="21"/>
      <c r="R1010" s="21"/>
    </row>
    <row r="1011" spans="1:18" s="52" customFormat="1" ht="39.950000000000003" customHeight="1">
      <c r="A1011" s="9">
        <v>18</v>
      </c>
      <c r="B1011" s="207">
        <v>6784</v>
      </c>
      <c r="C1011" s="185" t="s">
        <v>3330</v>
      </c>
      <c r="D1011" s="50" t="s">
        <v>3331</v>
      </c>
      <c r="E1011" s="51" t="s">
        <v>165</v>
      </c>
      <c r="F1011" s="30">
        <v>0</v>
      </c>
      <c r="G1011" s="30">
        <v>0</v>
      </c>
      <c r="H1011" s="30" t="str">
        <f t="shared" ref="H1011" si="429">IF(G1011&gt;0,(G1011*1.5)+F1011,"YOK")</f>
        <v>YOK</v>
      </c>
      <c r="I1011" s="49" t="s">
        <v>1185</v>
      </c>
      <c r="J1011" s="32">
        <v>1</v>
      </c>
      <c r="K1011" s="32">
        <v>0</v>
      </c>
      <c r="L1011" s="32"/>
      <c r="M1011" s="32"/>
      <c r="N1011" s="33"/>
      <c r="O1011" s="21"/>
      <c r="P1011" s="21"/>
      <c r="Q1011" s="21"/>
      <c r="R1011" s="21"/>
    </row>
    <row r="1012" spans="1:18" ht="39.950000000000003" customHeight="1">
      <c r="A1012" s="40"/>
      <c r="B1012" s="46"/>
      <c r="C1012" s="41"/>
      <c r="D1012" s="213" t="s">
        <v>2230</v>
      </c>
      <c r="E1012" s="46" t="s">
        <v>2274</v>
      </c>
      <c r="F1012" s="41"/>
      <c r="G1012" s="41"/>
      <c r="H1012" s="41"/>
      <c r="I1012" s="42"/>
      <c r="J1012" s="43">
        <f>SUM(J994:J1011)</f>
        <v>1</v>
      </c>
      <c r="K1012" s="43">
        <f>SUM(K994:K1011)</f>
        <v>17</v>
      </c>
      <c r="L1012" s="43">
        <f>SUM(L994:L1011)</f>
        <v>0</v>
      </c>
      <c r="M1012" s="43">
        <f>SUM(M994:M1011)</f>
        <v>0</v>
      </c>
      <c r="N1012" s="33"/>
      <c r="O1012" s="21"/>
      <c r="P1012" s="21"/>
    </row>
    <row r="1013" spans="1:18" s="52" customFormat="1" ht="39.950000000000003" customHeight="1">
      <c r="A1013" s="9">
        <v>1</v>
      </c>
      <c r="B1013" s="207">
        <v>6438</v>
      </c>
      <c r="C1013" s="11" t="s">
        <v>2231</v>
      </c>
      <c r="D1013" s="11" t="s">
        <v>2232</v>
      </c>
      <c r="E1013" s="12" t="s">
        <v>254</v>
      </c>
      <c r="F1013" s="30" t="s">
        <v>17</v>
      </c>
      <c r="G1013" s="30"/>
      <c r="H1013" s="30"/>
      <c r="I1013" s="224"/>
      <c r="J1013" s="31"/>
      <c r="K1013" s="32">
        <v>1</v>
      </c>
      <c r="L1013" s="32"/>
      <c r="M1013" s="33"/>
      <c r="N1013" s="33"/>
      <c r="O1013" s="21"/>
      <c r="P1013" s="21"/>
    </row>
    <row r="1014" spans="1:18" s="52" customFormat="1" ht="39.950000000000003" customHeight="1">
      <c r="A1014" s="9">
        <v>2</v>
      </c>
      <c r="B1014" s="207">
        <v>6499</v>
      </c>
      <c r="C1014" s="11" t="s">
        <v>2233</v>
      </c>
      <c r="D1014" s="11" t="s">
        <v>2234</v>
      </c>
      <c r="E1014" s="12" t="s">
        <v>2235</v>
      </c>
      <c r="F1014" s="30" t="s">
        <v>17</v>
      </c>
      <c r="G1014" s="30"/>
      <c r="H1014" s="30"/>
      <c r="I1014" s="224"/>
      <c r="J1014" s="31"/>
      <c r="K1014" s="32">
        <v>1</v>
      </c>
      <c r="L1014" s="32"/>
      <c r="M1014" s="33"/>
      <c r="N1014" s="33"/>
      <c r="O1014" s="21"/>
      <c r="P1014" s="21"/>
    </row>
    <row r="1015" spans="1:18" s="52" customFormat="1" ht="39.950000000000003" customHeight="1">
      <c r="A1015" s="9">
        <v>3</v>
      </c>
      <c r="B1015" s="207">
        <v>6509</v>
      </c>
      <c r="C1015" s="11" t="s">
        <v>2515</v>
      </c>
      <c r="D1015" s="11" t="s">
        <v>2516</v>
      </c>
      <c r="E1015" s="12" t="s">
        <v>2543</v>
      </c>
      <c r="F1015" s="30" t="s">
        <v>17</v>
      </c>
      <c r="G1015" s="30"/>
      <c r="H1015" s="30"/>
      <c r="I1015" s="224"/>
      <c r="J1015" s="31"/>
      <c r="K1015" s="32">
        <v>1</v>
      </c>
      <c r="L1015" s="32"/>
      <c r="M1015" s="33"/>
      <c r="N1015" s="33"/>
      <c r="O1015" s="21"/>
      <c r="P1015" s="21"/>
    </row>
    <row r="1016" spans="1:18" s="52" customFormat="1" ht="39.950000000000003" customHeight="1">
      <c r="A1016" s="9">
        <v>4</v>
      </c>
      <c r="B1016" s="207">
        <v>6439</v>
      </c>
      <c r="C1016" s="11" t="s">
        <v>2236</v>
      </c>
      <c r="D1016" s="11" t="s">
        <v>2237</v>
      </c>
      <c r="E1016" s="12" t="s">
        <v>2508</v>
      </c>
      <c r="F1016" s="30" t="s">
        <v>17</v>
      </c>
      <c r="G1016" s="30"/>
      <c r="H1016" s="30"/>
      <c r="I1016" s="49"/>
      <c r="J1016" s="31"/>
      <c r="K1016" s="32">
        <v>1</v>
      </c>
      <c r="L1016" s="32"/>
      <c r="M1016" s="33"/>
      <c r="N1016" s="33"/>
      <c r="O1016" s="21"/>
      <c r="P1016" s="21"/>
    </row>
    <row r="1017" spans="1:18" s="52" customFormat="1" ht="39.950000000000003" customHeight="1">
      <c r="A1017" s="9">
        <v>5</v>
      </c>
      <c r="B1017" s="207">
        <v>6505</v>
      </c>
      <c r="C1017" s="11" t="s">
        <v>2509</v>
      </c>
      <c r="D1017" s="11" t="s">
        <v>2510</v>
      </c>
      <c r="E1017" s="12" t="s">
        <v>316</v>
      </c>
      <c r="F1017" s="30">
        <v>7.5</v>
      </c>
      <c r="G1017" s="30">
        <v>2.5</v>
      </c>
      <c r="H1017" s="30">
        <v>11.25</v>
      </c>
      <c r="I1017" s="49" t="s">
        <v>805</v>
      </c>
      <c r="J1017" s="31"/>
      <c r="K1017" s="32">
        <v>1</v>
      </c>
      <c r="L1017" s="32"/>
      <c r="M1017" s="33"/>
      <c r="N1017" s="33"/>
      <c r="O1017" s="21"/>
      <c r="P1017" s="21"/>
    </row>
    <row r="1018" spans="1:18" s="52" customFormat="1" ht="39.950000000000003" customHeight="1">
      <c r="A1018" s="9">
        <v>6</v>
      </c>
      <c r="B1018" s="207">
        <v>6506</v>
      </c>
      <c r="C1018" s="11" t="s">
        <v>2511</v>
      </c>
      <c r="D1018" s="11" t="s">
        <v>2512</v>
      </c>
      <c r="E1018" s="12" t="s">
        <v>316</v>
      </c>
      <c r="F1018" s="30">
        <v>7.5</v>
      </c>
      <c r="G1018" s="30">
        <v>2.5</v>
      </c>
      <c r="H1018" s="30">
        <v>11.25</v>
      </c>
      <c r="I1018" s="49" t="s">
        <v>805</v>
      </c>
      <c r="J1018" s="31"/>
      <c r="K1018" s="32">
        <v>1</v>
      </c>
      <c r="L1018" s="32"/>
      <c r="M1018" s="33"/>
      <c r="N1018" s="33"/>
      <c r="O1018" s="21"/>
      <c r="P1018" s="21"/>
    </row>
    <row r="1019" spans="1:18" s="52" customFormat="1" ht="39.950000000000003" customHeight="1">
      <c r="A1019" s="9">
        <v>7</v>
      </c>
      <c r="B1019" s="207">
        <v>6508</v>
      </c>
      <c r="C1019" s="11" t="s">
        <v>2513</v>
      </c>
      <c r="D1019" s="11" t="s">
        <v>2514</v>
      </c>
      <c r="E1019" s="12" t="s">
        <v>316</v>
      </c>
      <c r="F1019" s="30">
        <v>7.5</v>
      </c>
      <c r="G1019" s="30">
        <v>2.5</v>
      </c>
      <c r="H1019" s="30">
        <v>11.25</v>
      </c>
      <c r="I1019" s="49" t="s">
        <v>805</v>
      </c>
      <c r="J1019" s="31"/>
      <c r="K1019" s="32">
        <v>1</v>
      </c>
      <c r="L1019" s="32"/>
      <c r="M1019" s="33"/>
      <c r="N1019" s="33"/>
      <c r="O1019" s="21"/>
      <c r="P1019" s="21"/>
    </row>
    <row r="1020" spans="1:18" s="52" customFormat="1" ht="39.950000000000003" customHeight="1">
      <c r="A1020" s="9">
        <v>8</v>
      </c>
      <c r="B1020" s="222">
        <v>6504</v>
      </c>
      <c r="C1020" s="11" t="s">
        <v>2246</v>
      </c>
      <c r="D1020" s="11" t="s">
        <v>2247</v>
      </c>
      <c r="E1020" s="12" t="s">
        <v>316</v>
      </c>
      <c r="F1020" s="30">
        <v>7.5</v>
      </c>
      <c r="G1020" s="30">
        <v>2.5</v>
      </c>
      <c r="H1020" s="30">
        <v>11.25</v>
      </c>
      <c r="I1020" s="49" t="s">
        <v>805</v>
      </c>
      <c r="J1020" s="31"/>
      <c r="K1020" s="32">
        <v>1</v>
      </c>
      <c r="L1020" s="32"/>
      <c r="M1020" s="33"/>
      <c r="N1020" s="33"/>
      <c r="O1020" s="21"/>
      <c r="P1020" s="21"/>
    </row>
    <row r="1021" spans="1:18" s="52" customFormat="1" ht="39.950000000000003" customHeight="1">
      <c r="A1021" s="9">
        <v>9</v>
      </c>
      <c r="B1021" s="222">
        <v>6498</v>
      </c>
      <c r="C1021" s="11" t="s">
        <v>2248</v>
      </c>
      <c r="D1021" s="11" t="s">
        <v>2249</v>
      </c>
      <c r="E1021" s="12" t="s">
        <v>316</v>
      </c>
      <c r="F1021" s="30">
        <v>7.5</v>
      </c>
      <c r="G1021" s="30">
        <v>2.5</v>
      </c>
      <c r="H1021" s="30">
        <v>11.25</v>
      </c>
      <c r="I1021" s="49" t="s">
        <v>805</v>
      </c>
      <c r="J1021" s="31"/>
      <c r="K1021" s="32">
        <v>1</v>
      </c>
      <c r="L1021" s="32"/>
      <c r="M1021" s="33"/>
      <c r="N1021" s="33"/>
      <c r="O1021" s="21"/>
      <c r="P1021" s="21"/>
    </row>
    <row r="1022" spans="1:18" s="52" customFormat="1" ht="39.950000000000003" customHeight="1">
      <c r="A1022" s="9">
        <v>10</v>
      </c>
      <c r="B1022" s="222">
        <v>6502</v>
      </c>
      <c r="C1022" s="11" t="s">
        <v>2250</v>
      </c>
      <c r="D1022" s="11" t="s">
        <v>2251</v>
      </c>
      <c r="E1022" s="12" t="s">
        <v>316</v>
      </c>
      <c r="F1022" s="30">
        <v>7.5</v>
      </c>
      <c r="G1022" s="30">
        <v>2.5</v>
      </c>
      <c r="H1022" s="30">
        <v>11.25</v>
      </c>
      <c r="I1022" s="49" t="s">
        <v>805</v>
      </c>
      <c r="J1022" s="31"/>
      <c r="K1022" s="32">
        <v>1</v>
      </c>
      <c r="L1022" s="32"/>
      <c r="M1022" s="33"/>
      <c r="N1022" s="33"/>
      <c r="O1022" s="21"/>
      <c r="P1022" s="21"/>
    </row>
    <row r="1023" spans="1:18" s="52" customFormat="1" ht="39.950000000000003" customHeight="1">
      <c r="A1023" s="9">
        <v>11</v>
      </c>
      <c r="B1023" s="222">
        <v>6503</v>
      </c>
      <c r="C1023" s="11" t="s">
        <v>2252</v>
      </c>
      <c r="D1023" s="11" t="s">
        <v>2253</v>
      </c>
      <c r="E1023" s="12" t="s">
        <v>316</v>
      </c>
      <c r="F1023" s="30">
        <v>7.5</v>
      </c>
      <c r="G1023" s="30">
        <v>2.5</v>
      </c>
      <c r="H1023" s="30">
        <v>11.25</v>
      </c>
      <c r="I1023" s="49" t="s">
        <v>805</v>
      </c>
      <c r="J1023" s="31"/>
      <c r="K1023" s="32">
        <v>1</v>
      </c>
      <c r="L1023" s="32"/>
      <c r="M1023" s="33"/>
      <c r="N1023" s="33"/>
      <c r="O1023" s="21"/>
      <c r="P1023" s="21"/>
    </row>
    <row r="1024" spans="1:18" s="52" customFormat="1" ht="39.950000000000003" customHeight="1">
      <c r="A1024" s="9">
        <v>12</v>
      </c>
      <c r="B1024" s="222">
        <v>6501</v>
      </c>
      <c r="C1024" s="11" t="s">
        <v>2254</v>
      </c>
      <c r="D1024" s="11" t="s">
        <v>2255</v>
      </c>
      <c r="E1024" s="12" t="s">
        <v>316</v>
      </c>
      <c r="F1024" s="30">
        <v>7.5</v>
      </c>
      <c r="G1024" s="30">
        <v>2.5</v>
      </c>
      <c r="H1024" s="30">
        <v>11.25</v>
      </c>
      <c r="I1024" s="49" t="s">
        <v>805</v>
      </c>
      <c r="J1024" s="31"/>
      <c r="K1024" s="32">
        <v>1</v>
      </c>
      <c r="L1024" s="32"/>
      <c r="M1024" s="33"/>
      <c r="N1024" s="33"/>
      <c r="O1024" s="21"/>
      <c r="P1024" s="21"/>
    </row>
    <row r="1025" spans="1:16" s="52" customFormat="1" ht="39.950000000000003" customHeight="1">
      <c r="A1025" s="9">
        <v>13</v>
      </c>
      <c r="B1025" s="222">
        <v>6500</v>
      </c>
      <c r="C1025" s="11" t="s">
        <v>2256</v>
      </c>
      <c r="D1025" s="11" t="s">
        <v>2257</v>
      </c>
      <c r="E1025" s="12" t="s">
        <v>316</v>
      </c>
      <c r="F1025" s="30">
        <v>7.5</v>
      </c>
      <c r="G1025" s="30">
        <v>2.5</v>
      </c>
      <c r="H1025" s="30">
        <v>11.25</v>
      </c>
      <c r="I1025" s="49" t="s">
        <v>805</v>
      </c>
      <c r="J1025" s="31"/>
      <c r="K1025" s="32">
        <v>1</v>
      </c>
      <c r="L1025" s="32"/>
      <c r="M1025" s="33"/>
      <c r="N1025" s="33"/>
      <c r="O1025" s="21"/>
      <c r="P1025" s="21"/>
    </row>
    <row r="1026" spans="1:16" s="52" customFormat="1" ht="39.950000000000003" customHeight="1">
      <c r="A1026" s="9">
        <v>14</v>
      </c>
      <c r="B1026" s="222">
        <v>6440</v>
      </c>
      <c r="C1026" s="11" t="s">
        <v>2238</v>
      </c>
      <c r="D1026" s="11" t="s">
        <v>2239</v>
      </c>
      <c r="E1026" s="12" t="s">
        <v>316</v>
      </c>
      <c r="F1026" s="30">
        <v>7.5</v>
      </c>
      <c r="G1026" s="30">
        <v>2.5</v>
      </c>
      <c r="H1026" s="30">
        <v>11.25</v>
      </c>
      <c r="I1026" s="49" t="s">
        <v>805</v>
      </c>
      <c r="J1026" s="31"/>
      <c r="K1026" s="32">
        <v>1</v>
      </c>
      <c r="L1026" s="32"/>
      <c r="M1026" s="33"/>
      <c r="N1026" s="33"/>
      <c r="O1026" s="21"/>
      <c r="P1026" s="21"/>
    </row>
    <row r="1027" spans="1:16" s="52" customFormat="1" ht="39.950000000000003" customHeight="1">
      <c r="A1027" s="9">
        <v>15</v>
      </c>
      <c r="B1027" s="222">
        <v>6460</v>
      </c>
      <c r="C1027" s="11" t="s">
        <v>2517</v>
      </c>
      <c r="D1027" s="11" t="s">
        <v>2518</v>
      </c>
      <c r="E1027" s="12" t="s">
        <v>316</v>
      </c>
      <c r="F1027" s="30">
        <v>7.5</v>
      </c>
      <c r="G1027" s="30">
        <v>2.5</v>
      </c>
      <c r="H1027" s="30">
        <v>11.25</v>
      </c>
      <c r="I1027" s="49" t="s">
        <v>805</v>
      </c>
      <c r="J1027" s="31"/>
      <c r="K1027" s="32">
        <v>1</v>
      </c>
      <c r="L1027" s="32"/>
      <c r="M1027" s="33"/>
      <c r="N1027" s="33"/>
      <c r="O1027" s="21"/>
      <c r="P1027" s="21"/>
    </row>
    <row r="1028" spans="1:16" s="52" customFormat="1" ht="39.950000000000003" customHeight="1">
      <c r="A1028" s="9">
        <v>16</v>
      </c>
      <c r="B1028" s="222">
        <v>6463</v>
      </c>
      <c r="C1028" s="11" t="s">
        <v>2519</v>
      </c>
      <c r="D1028" s="11" t="s">
        <v>2520</v>
      </c>
      <c r="E1028" s="12" t="s">
        <v>316</v>
      </c>
      <c r="F1028" s="30">
        <v>7.5</v>
      </c>
      <c r="G1028" s="30">
        <v>2.5</v>
      </c>
      <c r="H1028" s="30">
        <v>11.25</v>
      </c>
      <c r="I1028" s="49" t="s">
        <v>805</v>
      </c>
      <c r="J1028" s="31"/>
      <c r="K1028" s="32">
        <v>1</v>
      </c>
      <c r="L1028" s="32"/>
      <c r="M1028" s="33"/>
      <c r="N1028" s="33"/>
      <c r="O1028" s="21"/>
      <c r="P1028" s="21"/>
    </row>
    <row r="1029" spans="1:16" s="52" customFormat="1" ht="39.950000000000003" customHeight="1">
      <c r="A1029" s="9">
        <v>17</v>
      </c>
      <c r="B1029" s="222">
        <v>6462</v>
      </c>
      <c r="C1029" s="11" t="s">
        <v>2521</v>
      </c>
      <c r="D1029" s="11" t="s">
        <v>2522</v>
      </c>
      <c r="E1029" s="12" t="s">
        <v>316</v>
      </c>
      <c r="F1029" s="30">
        <v>0</v>
      </c>
      <c r="G1029" s="30">
        <v>0</v>
      </c>
      <c r="H1029" s="30" t="s">
        <v>1356</v>
      </c>
      <c r="I1029" s="49" t="s">
        <v>1185</v>
      </c>
      <c r="J1029" s="31">
        <v>1</v>
      </c>
      <c r="K1029" s="32">
        <v>0</v>
      </c>
      <c r="L1029" s="32"/>
      <c r="M1029" s="33"/>
      <c r="N1029" s="33"/>
      <c r="O1029" s="21"/>
      <c r="P1029" s="21"/>
    </row>
    <row r="1030" spans="1:16" s="52" customFormat="1" ht="39.950000000000003" customHeight="1">
      <c r="A1030" s="9">
        <v>18</v>
      </c>
      <c r="B1030" s="222">
        <v>6451</v>
      </c>
      <c r="C1030" s="11" t="s">
        <v>2523</v>
      </c>
      <c r="D1030" s="11" t="s">
        <v>2524</v>
      </c>
      <c r="E1030" s="12" t="s">
        <v>316</v>
      </c>
      <c r="F1030" s="30">
        <v>7.5</v>
      </c>
      <c r="G1030" s="30">
        <v>2.5</v>
      </c>
      <c r="H1030" s="30">
        <v>11.25</v>
      </c>
      <c r="I1030" s="49" t="s">
        <v>805</v>
      </c>
      <c r="J1030" s="31"/>
      <c r="K1030" s="32">
        <v>1</v>
      </c>
      <c r="L1030" s="32"/>
      <c r="M1030" s="33"/>
      <c r="N1030" s="33"/>
      <c r="O1030" s="21"/>
      <c r="P1030" s="21"/>
    </row>
    <row r="1031" spans="1:16" s="52" customFormat="1" ht="39.950000000000003" customHeight="1">
      <c r="A1031" s="9">
        <v>19</v>
      </c>
      <c r="B1031" s="222">
        <v>6441</v>
      </c>
      <c r="C1031" s="11" t="s">
        <v>2240</v>
      </c>
      <c r="D1031" s="11" t="s">
        <v>2241</v>
      </c>
      <c r="E1031" s="12" t="s">
        <v>316</v>
      </c>
      <c r="F1031" s="30">
        <v>7.5</v>
      </c>
      <c r="G1031" s="30">
        <v>2.5</v>
      </c>
      <c r="H1031" s="30">
        <v>11.25</v>
      </c>
      <c r="I1031" s="49" t="s">
        <v>805</v>
      </c>
      <c r="J1031" s="31"/>
      <c r="K1031" s="32">
        <v>1</v>
      </c>
      <c r="L1031" s="32"/>
      <c r="M1031" s="33"/>
      <c r="N1031" s="33"/>
      <c r="O1031" s="21"/>
      <c r="P1031" s="21"/>
    </row>
    <row r="1032" spans="1:16" s="52" customFormat="1" ht="39.950000000000003" customHeight="1">
      <c r="A1032" s="9">
        <v>20</v>
      </c>
      <c r="B1032" s="222">
        <v>6443</v>
      </c>
      <c r="C1032" s="11" t="s">
        <v>2242</v>
      </c>
      <c r="D1032" s="11" t="s">
        <v>2243</v>
      </c>
      <c r="E1032" s="12" t="s">
        <v>316</v>
      </c>
      <c r="F1032" s="30">
        <v>7.5</v>
      </c>
      <c r="G1032" s="30">
        <v>2.5</v>
      </c>
      <c r="H1032" s="30">
        <v>11.25</v>
      </c>
      <c r="I1032" s="49" t="s">
        <v>805</v>
      </c>
      <c r="J1032" s="31"/>
      <c r="K1032" s="32">
        <v>1</v>
      </c>
      <c r="L1032" s="32"/>
      <c r="M1032" s="33"/>
      <c r="N1032" s="33"/>
      <c r="O1032" s="21"/>
      <c r="P1032" s="21"/>
    </row>
    <row r="1033" spans="1:16" s="52" customFormat="1" ht="39.950000000000003" customHeight="1">
      <c r="A1033" s="9">
        <v>21</v>
      </c>
      <c r="B1033" s="222">
        <v>6444</v>
      </c>
      <c r="C1033" s="11" t="s">
        <v>2244</v>
      </c>
      <c r="D1033" s="11" t="s">
        <v>2245</v>
      </c>
      <c r="E1033" s="12" t="s">
        <v>316</v>
      </c>
      <c r="F1033" s="30">
        <v>7.5</v>
      </c>
      <c r="G1033" s="30">
        <v>2.5</v>
      </c>
      <c r="H1033" s="30">
        <v>11.25</v>
      </c>
      <c r="I1033" s="49" t="s">
        <v>805</v>
      </c>
      <c r="J1033" s="31"/>
      <c r="K1033" s="32">
        <v>1</v>
      </c>
      <c r="L1033" s="32"/>
      <c r="M1033" s="33"/>
      <c r="N1033" s="33"/>
      <c r="O1033" s="21"/>
      <c r="P1033" s="21"/>
    </row>
    <row r="1034" spans="1:16" s="52" customFormat="1" ht="39.950000000000003" customHeight="1">
      <c r="A1034" s="9">
        <v>22</v>
      </c>
      <c r="B1034" s="207">
        <v>6445</v>
      </c>
      <c r="C1034" s="11" t="s">
        <v>2258</v>
      </c>
      <c r="D1034" s="11" t="s">
        <v>2259</v>
      </c>
      <c r="E1034" s="12" t="s">
        <v>316</v>
      </c>
      <c r="F1034" s="30">
        <v>7.5</v>
      </c>
      <c r="G1034" s="30">
        <v>2.5</v>
      </c>
      <c r="H1034" s="30">
        <v>11.25</v>
      </c>
      <c r="I1034" s="49" t="s">
        <v>805</v>
      </c>
      <c r="J1034" s="31"/>
      <c r="K1034" s="32">
        <v>1</v>
      </c>
      <c r="L1034" s="32"/>
      <c r="M1034" s="33"/>
      <c r="N1034" s="33"/>
      <c r="O1034" s="21"/>
      <c r="P1034" s="21"/>
    </row>
    <row r="1035" spans="1:16" s="52" customFormat="1" ht="39.950000000000003" customHeight="1">
      <c r="A1035" s="9">
        <v>23</v>
      </c>
      <c r="B1035" s="222">
        <v>6377</v>
      </c>
      <c r="C1035" s="11" t="s">
        <v>2452</v>
      </c>
      <c r="D1035" s="11" t="s">
        <v>2453</v>
      </c>
      <c r="E1035" s="12" t="s">
        <v>316</v>
      </c>
      <c r="F1035" s="30">
        <v>0</v>
      </c>
      <c r="G1035" s="30">
        <v>0</v>
      </c>
      <c r="H1035" s="30" t="s">
        <v>1356</v>
      </c>
      <c r="I1035" s="49" t="s">
        <v>1185</v>
      </c>
      <c r="J1035" s="31">
        <v>1</v>
      </c>
      <c r="K1035" s="32">
        <v>0</v>
      </c>
      <c r="L1035" s="32"/>
      <c r="M1035" s="33"/>
      <c r="N1035" s="33"/>
      <c r="O1035" s="21"/>
      <c r="P1035" s="21"/>
    </row>
    <row r="1036" spans="1:16" s="52" customFormat="1" ht="39.950000000000003" customHeight="1">
      <c r="A1036" s="9">
        <v>24</v>
      </c>
      <c r="B1036" s="207">
        <v>6560</v>
      </c>
      <c r="C1036" s="231" t="s">
        <v>2800</v>
      </c>
      <c r="D1036" s="11" t="s">
        <v>2801</v>
      </c>
      <c r="E1036" s="12" t="s">
        <v>316</v>
      </c>
      <c r="F1036" s="30">
        <v>7.5</v>
      </c>
      <c r="G1036" s="30">
        <v>2.5</v>
      </c>
      <c r="H1036" s="30">
        <v>11.25</v>
      </c>
      <c r="I1036" s="49" t="s">
        <v>805</v>
      </c>
      <c r="J1036" s="31"/>
      <c r="K1036" s="32">
        <v>1</v>
      </c>
      <c r="L1036" s="32"/>
      <c r="M1036" s="33"/>
      <c r="N1036" s="33"/>
      <c r="O1036" s="21"/>
      <c r="P1036" s="21"/>
    </row>
    <row r="1037" spans="1:16" s="52" customFormat="1" ht="39.950000000000003" customHeight="1">
      <c r="A1037" s="9">
        <v>25</v>
      </c>
      <c r="B1037" s="207">
        <v>6611</v>
      </c>
      <c r="C1037" s="231" t="s">
        <v>2882</v>
      </c>
      <c r="D1037" s="11" t="s">
        <v>2883</v>
      </c>
      <c r="E1037" s="12" t="s">
        <v>316</v>
      </c>
      <c r="F1037" s="30">
        <v>7.5</v>
      </c>
      <c r="G1037" s="30">
        <v>2.5</v>
      </c>
      <c r="H1037" s="30">
        <v>11.25</v>
      </c>
      <c r="I1037" s="49" t="s">
        <v>805</v>
      </c>
      <c r="J1037" s="31"/>
      <c r="K1037" s="32">
        <v>1</v>
      </c>
      <c r="L1037" s="32"/>
      <c r="M1037" s="33"/>
      <c r="N1037" s="33"/>
      <c r="O1037" s="21"/>
      <c r="P1037" s="21"/>
    </row>
    <row r="1038" spans="1:16" s="52" customFormat="1" ht="39.950000000000003" customHeight="1">
      <c r="A1038" s="9">
        <v>26</v>
      </c>
      <c r="B1038" s="222">
        <v>6713</v>
      </c>
      <c r="C1038" s="231" t="s">
        <v>3191</v>
      </c>
      <c r="D1038" s="11" t="s">
        <v>3192</v>
      </c>
      <c r="E1038" s="12" t="s">
        <v>316</v>
      </c>
      <c r="F1038" s="30">
        <v>0</v>
      </c>
      <c r="G1038" s="30">
        <v>0</v>
      </c>
      <c r="H1038" s="30" t="s">
        <v>1356</v>
      </c>
      <c r="I1038" s="49" t="s">
        <v>1185</v>
      </c>
      <c r="J1038" s="31">
        <v>1</v>
      </c>
      <c r="K1038" s="32">
        <v>0</v>
      </c>
      <c r="L1038" s="32"/>
      <c r="M1038" s="33"/>
      <c r="N1038" s="33"/>
      <c r="O1038" s="21"/>
      <c r="P1038" s="21"/>
    </row>
    <row r="1039" spans="1:16" s="52" customFormat="1" ht="39.950000000000003" customHeight="1">
      <c r="A1039" s="9">
        <v>27</v>
      </c>
      <c r="B1039" s="222">
        <v>6597</v>
      </c>
      <c r="C1039" s="11" t="s">
        <v>2600</v>
      </c>
      <c r="D1039" s="11" t="s">
        <v>2601</v>
      </c>
      <c r="E1039" s="12" t="s">
        <v>259</v>
      </c>
      <c r="F1039" s="30">
        <v>0</v>
      </c>
      <c r="G1039" s="30">
        <v>0</v>
      </c>
      <c r="H1039" s="30" t="s">
        <v>1356</v>
      </c>
      <c r="I1039" s="49" t="s">
        <v>1185</v>
      </c>
      <c r="J1039" s="31">
        <v>1</v>
      </c>
      <c r="K1039" s="32">
        <v>0</v>
      </c>
      <c r="L1039" s="32"/>
      <c r="M1039" s="33"/>
      <c r="N1039" s="33"/>
      <c r="O1039" s="21"/>
      <c r="P1039" s="21"/>
    </row>
    <row r="1040" spans="1:16" s="52" customFormat="1" ht="39.950000000000003" customHeight="1">
      <c r="A1040" s="9">
        <v>28</v>
      </c>
      <c r="B1040" s="222">
        <v>6308</v>
      </c>
      <c r="C1040" s="11" t="s">
        <v>2260</v>
      </c>
      <c r="D1040" s="11" t="s">
        <v>2261</v>
      </c>
      <c r="E1040" s="12" t="s">
        <v>259</v>
      </c>
      <c r="F1040" s="30">
        <v>7.5</v>
      </c>
      <c r="G1040" s="30">
        <v>2.5</v>
      </c>
      <c r="H1040" s="30">
        <v>11.25</v>
      </c>
      <c r="I1040" s="49" t="s">
        <v>805</v>
      </c>
      <c r="J1040" s="31"/>
      <c r="K1040" s="32">
        <v>1</v>
      </c>
      <c r="L1040" s="32"/>
      <c r="M1040" s="33"/>
      <c r="N1040" s="33"/>
      <c r="O1040" s="21"/>
      <c r="P1040" s="21"/>
    </row>
    <row r="1041" spans="1:16" s="52" customFormat="1" ht="39.950000000000003" customHeight="1">
      <c r="A1041" s="9">
        <v>29</v>
      </c>
      <c r="B1041" s="207">
        <v>6458</v>
      </c>
      <c r="C1041" s="11" t="s">
        <v>2525</v>
      </c>
      <c r="D1041" s="11" t="s">
        <v>2526</v>
      </c>
      <c r="E1041" s="12" t="s">
        <v>1621</v>
      </c>
      <c r="F1041" s="30">
        <v>7.5</v>
      </c>
      <c r="G1041" s="30">
        <v>2.5</v>
      </c>
      <c r="H1041" s="30">
        <v>11.25</v>
      </c>
      <c r="I1041" s="49" t="s">
        <v>805</v>
      </c>
      <c r="J1041" s="31"/>
      <c r="K1041" s="32">
        <v>1</v>
      </c>
      <c r="L1041" s="32"/>
      <c r="M1041" s="33"/>
      <c r="N1041" s="33"/>
      <c r="O1041" s="21"/>
      <c r="P1041" s="21"/>
    </row>
    <row r="1042" spans="1:16" s="52" customFormat="1" ht="39.950000000000003" customHeight="1">
      <c r="A1042" s="9">
        <v>30</v>
      </c>
      <c r="B1042" s="207">
        <v>6461</v>
      </c>
      <c r="C1042" s="11" t="s">
        <v>2527</v>
      </c>
      <c r="D1042" s="11" t="s">
        <v>2528</v>
      </c>
      <c r="E1042" s="12" t="s">
        <v>1621</v>
      </c>
      <c r="F1042" s="30">
        <v>7.5</v>
      </c>
      <c r="G1042" s="30">
        <v>2.5</v>
      </c>
      <c r="H1042" s="30">
        <v>11.25</v>
      </c>
      <c r="I1042" s="49" t="s">
        <v>805</v>
      </c>
      <c r="J1042" s="31"/>
      <c r="K1042" s="32">
        <v>1</v>
      </c>
      <c r="L1042" s="32"/>
      <c r="M1042" s="33"/>
      <c r="N1042" s="33"/>
      <c r="O1042" s="21"/>
      <c r="P1042" s="21"/>
    </row>
    <row r="1043" spans="1:16" s="52" customFormat="1" ht="39.950000000000003" customHeight="1">
      <c r="A1043" s="9">
        <v>31</v>
      </c>
      <c r="B1043" s="222">
        <v>6447</v>
      </c>
      <c r="C1043" s="11" t="s">
        <v>2264</v>
      </c>
      <c r="D1043" s="11" t="s">
        <v>2265</v>
      </c>
      <c r="E1043" s="12" t="s">
        <v>1621</v>
      </c>
      <c r="F1043" s="30">
        <v>7.5</v>
      </c>
      <c r="G1043" s="30">
        <v>2.5</v>
      </c>
      <c r="H1043" s="30">
        <v>11.25</v>
      </c>
      <c r="I1043" s="49" t="s">
        <v>805</v>
      </c>
      <c r="J1043" s="31"/>
      <c r="K1043" s="32">
        <v>1</v>
      </c>
      <c r="L1043" s="32"/>
      <c r="M1043" s="33"/>
      <c r="N1043" s="33"/>
      <c r="O1043" s="21"/>
      <c r="P1043" s="21"/>
    </row>
    <row r="1044" spans="1:16" s="52" customFormat="1" ht="39.950000000000003" customHeight="1">
      <c r="A1044" s="9">
        <v>32</v>
      </c>
      <c r="B1044" s="222">
        <v>6695</v>
      </c>
      <c r="C1044" s="231" t="s">
        <v>3067</v>
      </c>
      <c r="D1044" s="11" t="s">
        <v>3068</v>
      </c>
      <c r="E1044" s="12" t="s">
        <v>1621</v>
      </c>
      <c r="F1044" s="30">
        <v>7.5</v>
      </c>
      <c r="G1044" s="30">
        <v>2.5</v>
      </c>
      <c r="H1044" s="30">
        <v>11.25</v>
      </c>
      <c r="I1044" s="49" t="s">
        <v>805</v>
      </c>
      <c r="J1044" s="31"/>
      <c r="K1044" s="32">
        <v>1</v>
      </c>
      <c r="L1044" s="32"/>
      <c r="M1044" s="33"/>
      <c r="N1044" s="33"/>
      <c r="O1044" s="21"/>
      <c r="P1044" s="21"/>
    </row>
    <row r="1045" spans="1:16" s="52" customFormat="1" ht="39.950000000000003" customHeight="1">
      <c r="A1045" s="9">
        <v>33</v>
      </c>
      <c r="B1045" s="222">
        <v>6464</v>
      </c>
      <c r="C1045" s="231" t="s">
        <v>2529</v>
      </c>
      <c r="D1045" s="11" t="s">
        <v>2530</v>
      </c>
      <c r="E1045" s="12" t="s">
        <v>306</v>
      </c>
      <c r="F1045" s="30">
        <v>0</v>
      </c>
      <c r="G1045" s="30">
        <v>0</v>
      </c>
      <c r="H1045" s="30" t="s">
        <v>1356</v>
      </c>
      <c r="I1045" s="49" t="s">
        <v>1185</v>
      </c>
      <c r="J1045" s="31">
        <v>1</v>
      </c>
      <c r="K1045" s="32">
        <v>0</v>
      </c>
      <c r="L1045" s="32"/>
      <c r="M1045" s="33"/>
      <c r="N1045" s="33"/>
      <c r="O1045" s="21"/>
      <c r="P1045" s="21"/>
    </row>
    <row r="1046" spans="1:16" s="52" customFormat="1" ht="39.950000000000003" customHeight="1">
      <c r="A1046" s="9">
        <v>34</v>
      </c>
      <c r="B1046" s="207">
        <v>6459</v>
      </c>
      <c r="C1046" s="11" t="s">
        <v>2531</v>
      </c>
      <c r="D1046" s="11" t="s">
        <v>2532</v>
      </c>
      <c r="E1046" s="12" t="s">
        <v>306</v>
      </c>
      <c r="F1046" s="30">
        <v>7.5</v>
      </c>
      <c r="G1046" s="30">
        <v>2.5</v>
      </c>
      <c r="H1046" s="30">
        <v>11.25</v>
      </c>
      <c r="I1046" s="49" t="s">
        <v>805</v>
      </c>
      <c r="J1046" s="31"/>
      <c r="K1046" s="32">
        <v>1</v>
      </c>
      <c r="L1046" s="32"/>
      <c r="M1046" s="33"/>
      <c r="N1046" s="33"/>
      <c r="O1046" s="21"/>
      <c r="P1046" s="21"/>
    </row>
    <row r="1047" spans="1:16" s="52" customFormat="1" ht="39.950000000000003" customHeight="1">
      <c r="A1047" s="9">
        <v>35</v>
      </c>
      <c r="B1047" s="222">
        <v>6452</v>
      </c>
      <c r="C1047" s="11" t="s">
        <v>2533</v>
      </c>
      <c r="D1047" s="11" t="s">
        <v>2534</v>
      </c>
      <c r="E1047" s="12" t="s">
        <v>306</v>
      </c>
      <c r="F1047" s="30">
        <v>7.5</v>
      </c>
      <c r="G1047" s="30">
        <v>2.5</v>
      </c>
      <c r="H1047" s="30">
        <v>11.25</v>
      </c>
      <c r="I1047" s="49" t="s">
        <v>805</v>
      </c>
      <c r="J1047" s="31"/>
      <c r="K1047" s="32">
        <v>1</v>
      </c>
      <c r="L1047" s="32"/>
      <c r="M1047" s="33"/>
      <c r="N1047" s="33"/>
      <c r="O1047" s="21"/>
      <c r="P1047" s="21"/>
    </row>
    <row r="1048" spans="1:16" s="52" customFormat="1" ht="39.950000000000003" customHeight="1">
      <c r="A1048" s="9">
        <v>36</v>
      </c>
      <c r="B1048" s="222">
        <v>6465</v>
      </c>
      <c r="C1048" s="11" t="s">
        <v>2535</v>
      </c>
      <c r="D1048" s="11" t="s">
        <v>2536</v>
      </c>
      <c r="E1048" s="12" t="s">
        <v>306</v>
      </c>
      <c r="F1048" s="30">
        <v>7.5</v>
      </c>
      <c r="G1048" s="30">
        <v>2.5</v>
      </c>
      <c r="H1048" s="30">
        <v>11.25</v>
      </c>
      <c r="I1048" s="49" t="s">
        <v>805</v>
      </c>
      <c r="J1048" s="31"/>
      <c r="K1048" s="32">
        <v>1</v>
      </c>
      <c r="L1048" s="32"/>
      <c r="M1048" s="33"/>
      <c r="N1048" s="33"/>
      <c r="O1048" s="21"/>
      <c r="P1048" s="21"/>
    </row>
    <row r="1049" spans="1:16" s="52" customFormat="1" ht="39.950000000000003" customHeight="1">
      <c r="A1049" s="9">
        <v>37</v>
      </c>
      <c r="B1049" s="222">
        <v>6446</v>
      </c>
      <c r="C1049" s="11" t="s">
        <v>2262</v>
      </c>
      <c r="D1049" s="11" t="s">
        <v>2263</v>
      </c>
      <c r="E1049" s="12" t="s">
        <v>306</v>
      </c>
      <c r="F1049" s="30">
        <v>7.5</v>
      </c>
      <c r="G1049" s="30">
        <v>2.5</v>
      </c>
      <c r="H1049" s="30">
        <v>11.25</v>
      </c>
      <c r="I1049" s="49" t="s">
        <v>805</v>
      </c>
      <c r="J1049" s="31"/>
      <c r="K1049" s="32">
        <v>1</v>
      </c>
      <c r="L1049" s="32"/>
      <c r="M1049" s="33"/>
      <c r="N1049" s="33"/>
      <c r="O1049" s="21"/>
      <c r="P1049" s="21"/>
    </row>
    <row r="1050" spans="1:16" s="52" customFormat="1" ht="39.950000000000003" customHeight="1">
      <c r="A1050" s="9">
        <v>38</v>
      </c>
      <c r="B1050" s="222">
        <v>6305</v>
      </c>
      <c r="C1050" s="11" t="s">
        <v>2276</v>
      </c>
      <c r="D1050" s="11" t="s">
        <v>2277</v>
      </c>
      <c r="E1050" s="12" t="s">
        <v>306</v>
      </c>
      <c r="F1050" s="30">
        <v>7.5</v>
      </c>
      <c r="G1050" s="30">
        <v>2.5</v>
      </c>
      <c r="H1050" s="30">
        <v>11.25</v>
      </c>
      <c r="I1050" s="49" t="s">
        <v>805</v>
      </c>
      <c r="J1050" s="31"/>
      <c r="K1050" s="32">
        <v>1</v>
      </c>
      <c r="L1050" s="32"/>
      <c r="M1050" s="33"/>
      <c r="N1050" s="33"/>
      <c r="O1050" s="21"/>
      <c r="P1050" s="21"/>
    </row>
    <row r="1051" spans="1:16" s="52" customFormat="1" ht="39.950000000000003" customHeight="1">
      <c r="A1051" s="9">
        <v>39</v>
      </c>
      <c r="B1051" s="207">
        <v>6448</v>
      </c>
      <c r="C1051" s="11" t="s">
        <v>2266</v>
      </c>
      <c r="D1051" s="11" t="s">
        <v>2267</v>
      </c>
      <c r="E1051" s="12" t="s">
        <v>306</v>
      </c>
      <c r="F1051" s="30">
        <v>7.5</v>
      </c>
      <c r="G1051" s="30">
        <v>2.5</v>
      </c>
      <c r="H1051" s="30">
        <v>11.25</v>
      </c>
      <c r="I1051" s="49" t="s">
        <v>805</v>
      </c>
      <c r="J1051" s="31"/>
      <c r="K1051" s="32">
        <v>1</v>
      </c>
      <c r="L1051" s="32"/>
      <c r="M1051" s="33"/>
      <c r="N1051" s="33"/>
      <c r="O1051" s="21"/>
      <c r="P1051" s="21"/>
    </row>
    <row r="1052" spans="1:16" s="52" customFormat="1" ht="39.950000000000003" customHeight="1">
      <c r="A1052" s="9">
        <v>40</v>
      </c>
      <c r="B1052" s="222">
        <v>6449</v>
      </c>
      <c r="C1052" s="11" t="s">
        <v>2268</v>
      </c>
      <c r="D1052" s="11" t="s">
        <v>2269</v>
      </c>
      <c r="E1052" s="12" t="s">
        <v>306</v>
      </c>
      <c r="F1052" s="30">
        <v>7.5</v>
      </c>
      <c r="G1052" s="30">
        <v>2.5</v>
      </c>
      <c r="H1052" s="30">
        <v>11.25</v>
      </c>
      <c r="I1052" s="49" t="s">
        <v>805</v>
      </c>
      <c r="J1052" s="31"/>
      <c r="K1052" s="32">
        <v>1</v>
      </c>
      <c r="L1052" s="32"/>
      <c r="M1052" s="33"/>
      <c r="N1052" s="33"/>
      <c r="O1052" s="21"/>
      <c r="P1052" s="21"/>
    </row>
    <row r="1053" spans="1:16" s="52" customFormat="1" ht="39.950000000000003" customHeight="1">
      <c r="A1053" s="9">
        <v>41</v>
      </c>
      <c r="B1053" s="207">
        <v>6307</v>
      </c>
      <c r="C1053" s="11" t="s">
        <v>2270</v>
      </c>
      <c r="D1053" s="11" t="s">
        <v>2271</v>
      </c>
      <c r="E1053" s="12" t="s">
        <v>306</v>
      </c>
      <c r="F1053" s="30">
        <v>7.5</v>
      </c>
      <c r="G1053" s="30">
        <v>2.5</v>
      </c>
      <c r="H1053" s="30">
        <v>11.25</v>
      </c>
      <c r="I1053" s="49" t="s">
        <v>805</v>
      </c>
      <c r="J1053" s="232"/>
      <c r="K1053" s="32">
        <v>1</v>
      </c>
      <c r="L1053" s="233"/>
      <c r="M1053" s="33"/>
      <c r="N1053" s="33"/>
      <c r="O1053" s="21"/>
      <c r="P1053" s="21"/>
    </row>
    <row r="1054" spans="1:16" s="52" customFormat="1" ht="39.950000000000003" customHeight="1">
      <c r="A1054" s="9">
        <v>42</v>
      </c>
      <c r="B1054" s="207">
        <v>6306</v>
      </c>
      <c r="C1054" s="11" t="s">
        <v>2272</v>
      </c>
      <c r="D1054" s="11" t="s">
        <v>2273</v>
      </c>
      <c r="E1054" s="12" t="s">
        <v>306</v>
      </c>
      <c r="F1054" s="30">
        <v>7.5</v>
      </c>
      <c r="G1054" s="30">
        <v>2.5</v>
      </c>
      <c r="H1054" s="30">
        <v>11.25</v>
      </c>
      <c r="I1054" s="49" t="s">
        <v>805</v>
      </c>
      <c r="J1054" s="232"/>
      <c r="K1054" s="32">
        <v>1</v>
      </c>
      <c r="L1054" s="32"/>
      <c r="M1054" s="33"/>
      <c r="N1054" s="33"/>
      <c r="O1054" s="21"/>
      <c r="P1054" s="21"/>
    </row>
    <row r="1055" spans="1:16" s="52" customFormat="1" ht="39.950000000000003" customHeight="1">
      <c r="A1055" s="9">
        <v>43</v>
      </c>
      <c r="B1055" s="207">
        <v>6552</v>
      </c>
      <c r="C1055" s="231" t="s">
        <v>2748</v>
      </c>
      <c r="D1055" s="11" t="s">
        <v>2749</v>
      </c>
      <c r="E1055" s="12" t="s">
        <v>306</v>
      </c>
      <c r="F1055" s="30">
        <v>7.5</v>
      </c>
      <c r="G1055" s="30">
        <v>2.5</v>
      </c>
      <c r="H1055" s="30">
        <v>11.25</v>
      </c>
      <c r="I1055" s="49" t="s">
        <v>805</v>
      </c>
      <c r="J1055" s="232"/>
      <c r="K1055" s="32">
        <v>1</v>
      </c>
      <c r="L1055" s="32"/>
      <c r="M1055" s="33"/>
      <c r="N1055" s="33"/>
      <c r="O1055" s="21"/>
      <c r="P1055" s="21"/>
    </row>
    <row r="1056" spans="1:16" s="52" customFormat="1" ht="39.950000000000003" customHeight="1">
      <c r="A1056" s="9">
        <v>44</v>
      </c>
      <c r="B1056" s="207">
        <v>6553</v>
      </c>
      <c r="C1056" s="231" t="s">
        <v>2750</v>
      </c>
      <c r="D1056" s="11" t="s">
        <v>2751</v>
      </c>
      <c r="E1056" s="12" t="s">
        <v>306</v>
      </c>
      <c r="F1056" s="30">
        <v>7.5</v>
      </c>
      <c r="G1056" s="30">
        <v>2.5</v>
      </c>
      <c r="H1056" s="30">
        <v>11.25</v>
      </c>
      <c r="I1056" s="49" t="s">
        <v>805</v>
      </c>
      <c r="J1056" s="232"/>
      <c r="K1056" s="32">
        <v>1</v>
      </c>
      <c r="L1056" s="32"/>
      <c r="M1056" s="33"/>
      <c r="N1056" s="33"/>
      <c r="O1056" s="21"/>
      <c r="P1056" s="21"/>
    </row>
    <row r="1057" spans="1:18" s="52" customFormat="1" ht="39.950000000000003" customHeight="1">
      <c r="A1057" s="9">
        <v>45</v>
      </c>
      <c r="B1057" s="222">
        <v>6694</v>
      </c>
      <c r="C1057" s="231" t="s">
        <v>3065</v>
      </c>
      <c r="D1057" s="11" t="s">
        <v>3066</v>
      </c>
      <c r="E1057" s="12" t="s">
        <v>306</v>
      </c>
      <c r="F1057" s="30">
        <v>7.5</v>
      </c>
      <c r="G1057" s="30">
        <v>2.5</v>
      </c>
      <c r="H1057" s="30">
        <v>11.25</v>
      </c>
      <c r="I1057" s="49" t="s">
        <v>805</v>
      </c>
      <c r="J1057" s="232"/>
      <c r="K1057" s="32">
        <v>1</v>
      </c>
      <c r="L1057" s="32"/>
      <c r="M1057" s="33"/>
      <c r="N1057" s="33"/>
      <c r="O1057" s="21"/>
      <c r="P1057" s="21"/>
    </row>
    <row r="1058" spans="1:18" s="52" customFormat="1" ht="39.950000000000003" customHeight="1">
      <c r="A1058" s="9">
        <v>46</v>
      </c>
      <c r="B1058" s="222">
        <v>6819</v>
      </c>
      <c r="C1058" s="231" t="s">
        <v>3604</v>
      </c>
      <c r="D1058" s="11" t="s">
        <v>3605</v>
      </c>
      <c r="E1058" s="12" t="s">
        <v>306</v>
      </c>
      <c r="F1058" s="30">
        <v>0</v>
      </c>
      <c r="G1058" s="30">
        <v>0</v>
      </c>
      <c r="H1058" s="30" t="s">
        <v>1356</v>
      </c>
      <c r="I1058" s="49" t="s">
        <v>1185</v>
      </c>
      <c r="J1058" s="31">
        <v>1</v>
      </c>
      <c r="K1058" s="32">
        <v>0</v>
      </c>
      <c r="L1058" s="32"/>
      <c r="M1058" s="33"/>
      <c r="N1058" s="33"/>
      <c r="O1058" s="21"/>
      <c r="P1058" s="21"/>
    </row>
    <row r="1059" spans="1:18" s="52" customFormat="1" ht="39.950000000000003" customHeight="1">
      <c r="A1059" s="9">
        <v>47</v>
      </c>
      <c r="B1059" s="222">
        <v>6831</v>
      </c>
      <c r="C1059" s="231" t="s">
        <v>3626</v>
      </c>
      <c r="D1059" s="11" t="s">
        <v>3627</v>
      </c>
      <c r="E1059" s="12" t="s">
        <v>306</v>
      </c>
      <c r="F1059" s="30">
        <v>0</v>
      </c>
      <c r="G1059" s="30">
        <v>0</v>
      </c>
      <c r="H1059" s="30" t="s">
        <v>1356</v>
      </c>
      <c r="I1059" s="49" t="s">
        <v>1185</v>
      </c>
      <c r="J1059" s="31">
        <v>1</v>
      </c>
      <c r="K1059" s="32">
        <v>0</v>
      </c>
      <c r="L1059" s="32"/>
      <c r="M1059" s="33"/>
      <c r="N1059" s="33"/>
      <c r="O1059" s="21"/>
      <c r="P1059" s="21"/>
    </row>
    <row r="1060" spans="1:18" s="52" customFormat="1" ht="39.950000000000003" customHeight="1">
      <c r="A1060" s="9">
        <v>48</v>
      </c>
      <c r="B1060" s="222">
        <v>6832</v>
      </c>
      <c r="C1060" s="231" t="s">
        <v>3628</v>
      </c>
      <c r="D1060" s="11" t="s">
        <v>3629</v>
      </c>
      <c r="E1060" s="12" t="s">
        <v>306</v>
      </c>
      <c r="F1060" s="30">
        <v>7.5</v>
      </c>
      <c r="G1060" s="30">
        <v>2.5</v>
      </c>
      <c r="H1060" s="30">
        <v>11.25</v>
      </c>
      <c r="I1060" s="49" t="s">
        <v>805</v>
      </c>
      <c r="J1060" s="232"/>
      <c r="K1060" s="32">
        <v>1</v>
      </c>
      <c r="L1060" s="32"/>
      <c r="M1060" s="33"/>
      <c r="N1060" s="33"/>
      <c r="O1060" s="21"/>
      <c r="P1060" s="21"/>
    </row>
    <row r="1061" spans="1:18" s="52" customFormat="1" ht="39.950000000000003" customHeight="1">
      <c r="A1061" s="9">
        <v>49</v>
      </c>
      <c r="B1061" s="222">
        <v>6833</v>
      </c>
      <c r="C1061" s="231" t="s">
        <v>3630</v>
      </c>
      <c r="D1061" s="11" t="s">
        <v>3631</v>
      </c>
      <c r="E1061" s="12" t="s">
        <v>306</v>
      </c>
      <c r="F1061" s="30">
        <v>7.5</v>
      </c>
      <c r="G1061" s="30">
        <v>2.5</v>
      </c>
      <c r="H1061" s="30">
        <v>11.25</v>
      </c>
      <c r="I1061" s="49" t="s">
        <v>805</v>
      </c>
      <c r="J1061" s="232"/>
      <c r="K1061" s="32">
        <v>1</v>
      </c>
      <c r="L1061" s="32"/>
      <c r="M1061" s="33"/>
      <c r="N1061" s="33"/>
      <c r="O1061" s="21"/>
      <c r="P1061" s="21"/>
    </row>
    <row r="1062" spans="1:18" s="52" customFormat="1" ht="39.950000000000003" customHeight="1">
      <c r="A1062" s="9">
        <v>50</v>
      </c>
      <c r="B1062" s="222">
        <v>6455</v>
      </c>
      <c r="C1062" s="11" t="s">
        <v>2537</v>
      </c>
      <c r="D1062" s="11" t="s">
        <v>2538</v>
      </c>
      <c r="E1062" s="12" t="s">
        <v>929</v>
      </c>
      <c r="F1062" s="30">
        <v>7.5</v>
      </c>
      <c r="G1062" s="30">
        <v>2.5</v>
      </c>
      <c r="H1062" s="30">
        <v>11.25</v>
      </c>
      <c r="I1062" s="49" t="s">
        <v>805</v>
      </c>
      <c r="J1062" s="232"/>
      <c r="K1062" s="32">
        <v>1</v>
      </c>
      <c r="L1062" s="32"/>
      <c r="M1062" s="33"/>
      <c r="N1062" s="33"/>
      <c r="O1062" s="21"/>
      <c r="P1062" s="21"/>
    </row>
    <row r="1063" spans="1:18" s="52" customFormat="1" ht="39.950000000000003" customHeight="1">
      <c r="A1063" s="9">
        <v>51</v>
      </c>
      <c r="B1063" s="207">
        <v>6454</v>
      </c>
      <c r="C1063" s="11" t="s">
        <v>2539</v>
      </c>
      <c r="D1063" s="11" t="s">
        <v>2540</v>
      </c>
      <c r="E1063" s="12" t="s">
        <v>929</v>
      </c>
      <c r="F1063" s="30">
        <v>7.5</v>
      </c>
      <c r="G1063" s="30">
        <v>2.5</v>
      </c>
      <c r="H1063" s="30">
        <v>11.25</v>
      </c>
      <c r="I1063" s="49" t="s">
        <v>805</v>
      </c>
      <c r="J1063" s="232"/>
      <c r="K1063" s="32">
        <v>1</v>
      </c>
      <c r="L1063" s="233"/>
      <c r="M1063" s="33"/>
      <c r="N1063" s="33"/>
      <c r="O1063" s="21"/>
      <c r="P1063" s="21"/>
    </row>
    <row r="1064" spans="1:18" s="52" customFormat="1" ht="39.950000000000003" customHeight="1">
      <c r="A1064" s="9">
        <v>52</v>
      </c>
      <c r="B1064" s="222">
        <v>6453</v>
      </c>
      <c r="C1064" s="11" t="s">
        <v>2541</v>
      </c>
      <c r="D1064" s="11" t="s">
        <v>2542</v>
      </c>
      <c r="E1064" s="12" t="s">
        <v>929</v>
      </c>
      <c r="F1064" s="30">
        <v>7.5</v>
      </c>
      <c r="G1064" s="30">
        <v>2.5</v>
      </c>
      <c r="H1064" s="30">
        <v>11.25</v>
      </c>
      <c r="I1064" s="49" t="s">
        <v>805</v>
      </c>
      <c r="J1064" s="232"/>
      <c r="K1064" s="32">
        <v>1</v>
      </c>
      <c r="L1064" s="233"/>
      <c r="M1064" s="33"/>
      <c r="N1064" s="33"/>
      <c r="O1064" s="21"/>
      <c r="P1064" s="21"/>
    </row>
    <row r="1065" spans="1:18" ht="39.950000000000003" customHeight="1">
      <c r="A1065" s="40"/>
      <c r="B1065" s="46"/>
      <c r="C1065" s="41"/>
      <c r="D1065" s="213" t="s">
        <v>2425</v>
      </c>
      <c r="E1065" s="46"/>
      <c r="F1065" s="41"/>
      <c r="G1065" s="41"/>
      <c r="H1065" s="41"/>
      <c r="I1065" s="42"/>
      <c r="J1065" s="204">
        <f>SUM(J1013:J1064)</f>
        <v>7</v>
      </c>
      <c r="K1065" s="204">
        <f>SUM(K1013:K1064)</f>
        <v>45</v>
      </c>
      <c r="L1065" s="204">
        <f>SUM(L1013:L1064)</f>
        <v>0</v>
      </c>
      <c r="M1065" s="204">
        <f>SUM(M1013:M1064)</f>
        <v>0</v>
      </c>
      <c r="N1065" s="33"/>
      <c r="O1065" s="21"/>
      <c r="P1065" s="21"/>
    </row>
    <row r="1066" spans="1:18" s="52" customFormat="1" ht="39.950000000000003" customHeight="1">
      <c r="A1066" s="9">
        <v>1</v>
      </c>
      <c r="B1066" s="207" t="s">
        <v>979</v>
      </c>
      <c r="C1066" s="185" t="s">
        <v>2421</v>
      </c>
      <c r="D1066" s="53" t="s">
        <v>2422</v>
      </c>
      <c r="E1066" s="54" t="s">
        <v>2423</v>
      </c>
      <c r="F1066" s="30" t="s">
        <v>17</v>
      </c>
      <c r="G1066" s="30"/>
      <c r="H1066" s="30"/>
      <c r="I1066" s="22" t="s">
        <v>1100</v>
      </c>
      <c r="J1066" s="31"/>
      <c r="K1066" s="32">
        <v>1</v>
      </c>
      <c r="L1066" s="32"/>
      <c r="M1066" s="32"/>
      <c r="N1066" s="33"/>
      <c r="O1066" s="21"/>
      <c r="P1066" s="21"/>
      <c r="R1066" s="21"/>
    </row>
    <row r="1067" spans="1:18" s="52" customFormat="1" ht="39.950000000000003" customHeight="1">
      <c r="A1067" s="9">
        <v>2</v>
      </c>
      <c r="B1067" s="207" t="s">
        <v>979</v>
      </c>
      <c r="C1067" s="185" t="s">
        <v>2726</v>
      </c>
      <c r="D1067" s="53" t="s">
        <v>2727</v>
      </c>
      <c r="E1067" s="54" t="s">
        <v>316</v>
      </c>
      <c r="F1067" s="30">
        <v>7.5</v>
      </c>
      <c r="G1067" s="30">
        <v>2.5</v>
      </c>
      <c r="H1067" s="30">
        <f t="shared" ref="H1067" si="430">IF(G1067&gt;0,(G1067*1.5)+F1067,"YOK")</f>
        <v>11.25</v>
      </c>
      <c r="I1067" s="22" t="s">
        <v>1100</v>
      </c>
      <c r="J1067" s="31"/>
      <c r="K1067" s="32">
        <v>1</v>
      </c>
      <c r="L1067" s="32"/>
      <c r="M1067" s="32"/>
      <c r="N1067" s="33"/>
      <c r="O1067" s="21"/>
      <c r="P1067" s="21"/>
      <c r="R1067" s="21"/>
    </row>
    <row r="1068" spans="1:18" s="52" customFormat="1" ht="39.950000000000003" customHeight="1">
      <c r="A1068" s="9">
        <v>3</v>
      </c>
      <c r="B1068" s="207" t="s">
        <v>979</v>
      </c>
      <c r="C1068" s="185" t="s">
        <v>2589</v>
      </c>
      <c r="D1068" s="53" t="s">
        <v>2590</v>
      </c>
      <c r="E1068" s="54" t="s">
        <v>316</v>
      </c>
      <c r="F1068" s="30">
        <v>7.5</v>
      </c>
      <c r="G1068" s="30">
        <v>2.5</v>
      </c>
      <c r="H1068" s="30">
        <f t="shared" ref="H1068:H1073" si="431">IF(G1068&gt;0,(G1068*1.5)+F1068,"YOK")</f>
        <v>11.25</v>
      </c>
      <c r="I1068" s="22" t="s">
        <v>1100</v>
      </c>
      <c r="J1068" s="31"/>
      <c r="K1068" s="32">
        <v>1</v>
      </c>
      <c r="L1068" s="32"/>
      <c r="M1068" s="32"/>
      <c r="N1068" s="33"/>
      <c r="O1068" s="21"/>
      <c r="P1068" s="21"/>
      <c r="R1068" s="21"/>
    </row>
    <row r="1069" spans="1:18" s="52" customFormat="1" ht="39.950000000000003" customHeight="1">
      <c r="A1069" s="9">
        <v>4</v>
      </c>
      <c r="B1069" s="207" t="s">
        <v>979</v>
      </c>
      <c r="C1069" s="185" t="s">
        <v>2420</v>
      </c>
      <c r="D1069" s="53" t="s">
        <v>2593</v>
      </c>
      <c r="E1069" s="54" t="s">
        <v>316</v>
      </c>
      <c r="F1069" s="30">
        <v>7.5</v>
      </c>
      <c r="G1069" s="30">
        <v>2.5</v>
      </c>
      <c r="H1069" s="30">
        <f t="shared" ref="H1069" si="432">IF(G1069&gt;0,(G1069*1.5)+F1069,"YOK")</f>
        <v>11.25</v>
      </c>
      <c r="I1069" s="22" t="s">
        <v>1100</v>
      </c>
      <c r="J1069" s="31"/>
      <c r="K1069" s="32">
        <v>1</v>
      </c>
      <c r="L1069" s="32"/>
      <c r="M1069" s="32"/>
      <c r="N1069" s="33"/>
      <c r="O1069" s="21"/>
      <c r="P1069" s="21"/>
      <c r="R1069" s="21"/>
    </row>
    <row r="1070" spans="1:18" s="52" customFormat="1" ht="39.950000000000003" customHeight="1">
      <c r="A1070" s="9">
        <v>5</v>
      </c>
      <c r="B1070" s="207" t="s">
        <v>979</v>
      </c>
      <c r="C1070" s="185" t="s">
        <v>2804</v>
      </c>
      <c r="D1070" s="53" t="s">
        <v>2805</v>
      </c>
      <c r="E1070" s="54" t="s">
        <v>316</v>
      </c>
      <c r="F1070" s="30">
        <v>7.5</v>
      </c>
      <c r="G1070" s="30">
        <v>2.5</v>
      </c>
      <c r="H1070" s="30">
        <f t="shared" si="431"/>
        <v>11.25</v>
      </c>
      <c r="I1070" s="22" t="s">
        <v>1100</v>
      </c>
      <c r="J1070" s="31"/>
      <c r="K1070" s="32">
        <v>1</v>
      </c>
      <c r="L1070" s="32"/>
      <c r="M1070" s="32"/>
      <c r="N1070" s="33"/>
      <c r="O1070" s="21"/>
      <c r="P1070" s="21"/>
      <c r="R1070" s="21"/>
    </row>
    <row r="1071" spans="1:18" s="52" customFormat="1" ht="39.950000000000003" customHeight="1">
      <c r="A1071" s="9">
        <v>6</v>
      </c>
      <c r="B1071" s="207" t="s">
        <v>979</v>
      </c>
      <c r="C1071" s="185" t="s">
        <v>2859</v>
      </c>
      <c r="D1071" s="53" t="s">
        <v>2860</v>
      </c>
      <c r="E1071" s="54" t="s">
        <v>316</v>
      </c>
      <c r="F1071" s="30">
        <v>7.5</v>
      </c>
      <c r="G1071" s="30">
        <v>2.5</v>
      </c>
      <c r="H1071" s="30">
        <f t="shared" ref="H1071" si="433">IF(G1071&gt;0,(G1071*1.5)+F1071,"YOK")</f>
        <v>11.25</v>
      </c>
      <c r="I1071" s="22" t="s">
        <v>1100</v>
      </c>
      <c r="J1071" s="31"/>
      <c r="K1071" s="32">
        <v>1</v>
      </c>
      <c r="L1071" s="32"/>
      <c r="M1071" s="32"/>
      <c r="N1071" s="33"/>
      <c r="O1071" s="21"/>
      <c r="P1071" s="21"/>
      <c r="R1071" s="21"/>
    </row>
    <row r="1072" spans="1:18" s="52" customFormat="1" ht="39.950000000000003" customHeight="1">
      <c r="A1072" s="9">
        <v>7</v>
      </c>
      <c r="B1072" s="207" t="s">
        <v>979</v>
      </c>
      <c r="C1072" s="185" t="s">
        <v>2587</v>
      </c>
      <c r="D1072" s="53" t="s">
        <v>2588</v>
      </c>
      <c r="E1072" s="54" t="s">
        <v>1621</v>
      </c>
      <c r="F1072" s="30">
        <v>7.5</v>
      </c>
      <c r="G1072" s="30">
        <v>2.5</v>
      </c>
      <c r="H1072" s="30">
        <f t="shared" si="431"/>
        <v>11.25</v>
      </c>
      <c r="I1072" s="22" t="s">
        <v>1100</v>
      </c>
      <c r="J1072" s="31"/>
      <c r="K1072" s="32">
        <v>1</v>
      </c>
      <c r="L1072" s="32"/>
      <c r="M1072" s="32"/>
      <c r="N1072" s="33"/>
      <c r="O1072" s="21"/>
      <c r="P1072" s="21"/>
      <c r="R1072" s="21"/>
    </row>
    <row r="1073" spans="1:18" s="52" customFormat="1" ht="39.950000000000003" customHeight="1">
      <c r="A1073" s="9">
        <v>8</v>
      </c>
      <c r="B1073" s="207" t="s">
        <v>979</v>
      </c>
      <c r="C1073" s="185" t="s">
        <v>2728</v>
      </c>
      <c r="D1073" s="53" t="s">
        <v>2729</v>
      </c>
      <c r="E1073" s="54" t="s">
        <v>2730</v>
      </c>
      <c r="F1073" s="30">
        <v>7.5</v>
      </c>
      <c r="G1073" s="30">
        <v>2.5</v>
      </c>
      <c r="H1073" s="30">
        <f t="shared" si="431"/>
        <v>11.25</v>
      </c>
      <c r="I1073" s="22" t="s">
        <v>1100</v>
      </c>
      <c r="J1073" s="31"/>
      <c r="K1073" s="32">
        <v>1</v>
      </c>
      <c r="L1073" s="32"/>
      <c r="M1073" s="32"/>
      <c r="N1073" s="33"/>
      <c r="O1073" s="21"/>
      <c r="P1073" s="21"/>
      <c r="R1073" s="21"/>
    </row>
    <row r="1074" spans="1:18" s="52" customFormat="1" ht="39.950000000000003" customHeight="1">
      <c r="A1074" s="9">
        <v>9</v>
      </c>
      <c r="B1074" s="207" t="s">
        <v>979</v>
      </c>
      <c r="C1074" s="185" t="s">
        <v>2591</v>
      </c>
      <c r="D1074" s="53" t="s">
        <v>2592</v>
      </c>
      <c r="E1074" s="54" t="s">
        <v>306</v>
      </c>
      <c r="F1074" s="30">
        <v>7.5</v>
      </c>
      <c r="G1074" s="30">
        <v>2.5</v>
      </c>
      <c r="H1074" s="30">
        <f t="shared" ref="H1074" si="434">IF(G1074&gt;0,(G1074*1.5)+F1074,"YOK")</f>
        <v>11.25</v>
      </c>
      <c r="I1074" s="22" t="s">
        <v>1100</v>
      </c>
      <c r="J1074" s="31"/>
      <c r="K1074" s="32">
        <v>1</v>
      </c>
      <c r="L1074" s="32"/>
      <c r="M1074" s="32"/>
      <c r="N1074" s="33"/>
      <c r="O1074" s="21"/>
      <c r="P1074" s="21"/>
      <c r="R1074" s="21"/>
    </row>
    <row r="1075" spans="1:18" s="52" customFormat="1" ht="39.950000000000003" customHeight="1">
      <c r="A1075" s="9">
        <v>10</v>
      </c>
      <c r="B1075" s="207" t="s">
        <v>979</v>
      </c>
      <c r="C1075" s="185" t="s">
        <v>2594</v>
      </c>
      <c r="D1075" s="53" t="s">
        <v>2595</v>
      </c>
      <c r="E1075" s="54" t="s">
        <v>306</v>
      </c>
      <c r="F1075" s="30">
        <v>7.5</v>
      </c>
      <c r="G1075" s="30">
        <v>2.5</v>
      </c>
      <c r="H1075" s="30">
        <f t="shared" ref="H1075" si="435">IF(G1075&gt;0,(G1075*1.5)+F1075,"YOK")</f>
        <v>11.25</v>
      </c>
      <c r="I1075" s="22" t="s">
        <v>1100</v>
      </c>
      <c r="J1075" s="31"/>
      <c r="K1075" s="32">
        <v>1</v>
      </c>
      <c r="L1075" s="32"/>
      <c r="M1075" s="32"/>
      <c r="N1075" s="33"/>
      <c r="O1075" s="21"/>
      <c r="P1075" s="21"/>
      <c r="R1075" s="21"/>
    </row>
    <row r="1076" spans="1:18" ht="39.950000000000003" customHeight="1">
      <c r="A1076" s="40"/>
      <c r="B1076" s="46"/>
      <c r="C1076" s="41"/>
      <c r="D1076" s="213" t="s">
        <v>501</v>
      </c>
      <c r="E1076" s="46" t="s">
        <v>501</v>
      </c>
      <c r="F1076" s="41"/>
      <c r="G1076" s="41"/>
      <c r="H1076" s="41"/>
      <c r="I1076" s="42"/>
      <c r="J1076" s="204">
        <f>SUM(J1066:J1075)</f>
        <v>0</v>
      </c>
      <c r="K1076" s="204">
        <f>SUM(K1066:K1075)</f>
        <v>10</v>
      </c>
      <c r="L1076" s="204">
        <f>SUM(L1066:L1075)</f>
        <v>0</v>
      </c>
      <c r="M1076" s="204">
        <f>SUM(M1066:M1075)</f>
        <v>0</v>
      </c>
      <c r="N1076" s="33"/>
      <c r="O1076" s="21"/>
      <c r="P1076" s="21"/>
    </row>
    <row r="1077" spans="1:18" s="52" customFormat="1" ht="39.950000000000003" customHeight="1">
      <c r="A1077" s="9">
        <v>1</v>
      </c>
      <c r="B1077" s="207">
        <v>2750</v>
      </c>
      <c r="C1077" s="11" t="s">
        <v>502</v>
      </c>
      <c r="D1077" s="11" t="s">
        <v>503</v>
      </c>
      <c r="E1077" s="12" t="s">
        <v>504</v>
      </c>
      <c r="F1077" s="30" t="s">
        <v>17</v>
      </c>
      <c r="G1077" s="30"/>
      <c r="H1077" s="30"/>
      <c r="I1077" s="49" t="s">
        <v>255</v>
      </c>
      <c r="J1077" s="31"/>
      <c r="K1077" s="32">
        <v>1</v>
      </c>
      <c r="L1077" s="32"/>
      <c r="M1077" s="33"/>
      <c r="N1077" s="33"/>
      <c r="O1077" s="21"/>
      <c r="P1077" s="21"/>
    </row>
    <row r="1078" spans="1:18" s="52" customFormat="1" ht="39.950000000000003" customHeight="1">
      <c r="A1078" s="9">
        <v>2</v>
      </c>
      <c r="B1078" s="207">
        <v>5809</v>
      </c>
      <c r="C1078" s="239" t="s">
        <v>1264</v>
      </c>
      <c r="D1078" s="11" t="s">
        <v>1265</v>
      </c>
      <c r="E1078" s="12" t="s">
        <v>1263</v>
      </c>
      <c r="F1078" s="30" t="s">
        <v>17</v>
      </c>
      <c r="G1078" s="30"/>
      <c r="H1078" s="30"/>
      <c r="I1078" s="49" t="s">
        <v>255</v>
      </c>
      <c r="J1078" s="31"/>
      <c r="K1078" s="32">
        <v>1</v>
      </c>
      <c r="L1078" s="32"/>
      <c r="M1078" s="33"/>
      <c r="N1078" s="33"/>
      <c r="O1078" s="21"/>
      <c r="P1078" s="21"/>
    </row>
    <row r="1079" spans="1:18" s="52" customFormat="1" ht="39.950000000000003" customHeight="1">
      <c r="A1079" s="9">
        <v>3</v>
      </c>
      <c r="B1079" s="207">
        <v>5943</v>
      </c>
      <c r="C1079" s="11" t="s">
        <v>1508</v>
      </c>
      <c r="D1079" s="11" t="s">
        <v>1509</v>
      </c>
      <c r="E1079" s="12" t="s">
        <v>1263</v>
      </c>
      <c r="F1079" s="30" t="s">
        <v>17</v>
      </c>
      <c r="G1079" s="30"/>
      <c r="H1079" s="30"/>
      <c r="I1079" s="22" t="s">
        <v>34</v>
      </c>
      <c r="J1079" s="31"/>
      <c r="K1079" s="32">
        <v>0</v>
      </c>
      <c r="L1079" s="32"/>
      <c r="M1079" s="33">
        <v>1</v>
      </c>
      <c r="N1079" s="33"/>
      <c r="O1079" s="21"/>
      <c r="P1079" s="21"/>
    </row>
    <row r="1080" spans="1:18" s="52" customFormat="1" ht="39.950000000000003" customHeight="1">
      <c r="A1080" s="9">
        <v>4</v>
      </c>
      <c r="B1080" s="207" t="s">
        <v>979</v>
      </c>
      <c r="C1080" s="231" t="s">
        <v>1809</v>
      </c>
      <c r="D1080" s="11" t="s">
        <v>1810</v>
      </c>
      <c r="E1080" s="12" t="s">
        <v>1263</v>
      </c>
      <c r="F1080" s="30" t="s">
        <v>17</v>
      </c>
      <c r="G1080" s="30"/>
      <c r="H1080" s="30"/>
      <c r="I1080" s="22" t="s">
        <v>1100</v>
      </c>
      <c r="J1080" s="31"/>
      <c r="K1080" s="32">
        <v>1</v>
      </c>
      <c r="L1080" s="32"/>
      <c r="M1080" s="33"/>
      <c r="N1080" s="33"/>
      <c r="O1080" s="21"/>
      <c r="P1080" s="21"/>
    </row>
    <row r="1081" spans="1:18" s="52" customFormat="1" ht="39.950000000000003" customHeight="1">
      <c r="A1081" s="9">
        <v>5</v>
      </c>
      <c r="B1081" s="207" t="s">
        <v>979</v>
      </c>
      <c r="C1081" s="231" t="s">
        <v>2676</v>
      </c>
      <c r="D1081" s="11" t="s">
        <v>2677</v>
      </c>
      <c r="E1081" s="12" t="s">
        <v>1263</v>
      </c>
      <c r="F1081" s="30" t="s">
        <v>17</v>
      </c>
      <c r="G1081" s="30"/>
      <c r="H1081" s="30"/>
      <c r="I1081" s="22" t="s">
        <v>1100</v>
      </c>
      <c r="J1081" s="31"/>
      <c r="K1081" s="32">
        <v>1</v>
      </c>
      <c r="L1081" s="32"/>
      <c r="M1081" s="33"/>
      <c r="N1081" s="33"/>
      <c r="O1081" s="21"/>
      <c r="P1081" s="21"/>
    </row>
    <row r="1082" spans="1:18" s="52" customFormat="1" ht="39.950000000000003" customHeight="1">
      <c r="A1082" s="9">
        <v>6</v>
      </c>
      <c r="B1082" s="207">
        <v>5810</v>
      </c>
      <c r="C1082" s="231" t="s">
        <v>1266</v>
      </c>
      <c r="D1082" s="11" t="s">
        <v>1267</v>
      </c>
      <c r="E1082" s="12" t="s">
        <v>505</v>
      </c>
      <c r="F1082" s="30">
        <v>7.5</v>
      </c>
      <c r="G1082" s="30">
        <v>2.5</v>
      </c>
      <c r="H1082" s="30">
        <f t="shared" ref="H1082" si="436">IF(G1082&gt;0,(G1082*1.5)+F1082,"YOK")</f>
        <v>11.25</v>
      </c>
      <c r="I1082" s="224"/>
      <c r="J1082" s="31"/>
      <c r="K1082" s="32">
        <v>1</v>
      </c>
      <c r="L1082" s="32"/>
      <c r="M1082" s="33"/>
      <c r="N1082" s="33"/>
      <c r="O1082" s="21"/>
      <c r="P1082" s="21"/>
    </row>
    <row r="1083" spans="1:18" s="52" customFormat="1" ht="39.950000000000003" customHeight="1">
      <c r="A1083" s="9">
        <v>7</v>
      </c>
      <c r="B1083" s="207">
        <v>5811</v>
      </c>
      <c r="C1083" s="231" t="s">
        <v>1268</v>
      </c>
      <c r="D1083" s="11" t="s">
        <v>1269</v>
      </c>
      <c r="E1083" s="12" t="s">
        <v>505</v>
      </c>
      <c r="F1083" s="30">
        <v>0</v>
      </c>
      <c r="G1083" s="30"/>
      <c r="H1083" s="30"/>
      <c r="I1083" s="22" t="s">
        <v>34</v>
      </c>
      <c r="J1083" s="31"/>
      <c r="K1083" s="32">
        <v>0</v>
      </c>
      <c r="L1083" s="32"/>
      <c r="M1083" s="33">
        <v>1</v>
      </c>
      <c r="N1083" s="33"/>
      <c r="O1083" s="21"/>
      <c r="P1083" s="21"/>
    </row>
    <row r="1084" spans="1:18" s="52" customFormat="1" ht="39.950000000000003" customHeight="1">
      <c r="A1084" s="9">
        <v>8</v>
      </c>
      <c r="B1084" s="207">
        <v>5812</v>
      </c>
      <c r="C1084" s="231" t="s">
        <v>1270</v>
      </c>
      <c r="D1084" s="11" t="s">
        <v>1271</v>
      </c>
      <c r="E1084" s="12" t="s">
        <v>505</v>
      </c>
      <c r="F1084" s="30">
        <v>7.5</v>
      </c>
      <c r="G1084" s="30">
        <v>2.5</v>
      </c>
      <c r="H1084" s="30">
        <f t="shared" ref="H1084" si="437">IF(G1084&gt;0,(G1084*1.5)+F1084,"YOK")</f>
        <v>11.25</v>
      </c>
      <c r="I1084" s="224"/>
      <c r="J1084" s="31"/>
      <c r="K1084" s="32">
        <v>1</v>
      </c>
      <c r="L1084" s="32"/>
      <c r="M1084" s="33"/>
      <c r="N1084" s="33"/>
      <c r="O1084" s="21"/>
      <c r="P1084" s="21"/>
    </row>
    <row r="1085" spans="1:18" s="52" customFormat="1" ht="39.950000000000003" customHeight="1">
      <c r="A1085" s="9">
        <v>9</v>
      </c>
      <c r="B1085" s="207">
        <v>4471</v>
      </c>
      <c r="C1085" s="231" t="s">
        <v>506</v>
      </c>
      <c r="D1085" s="11" t="s">
        <v>507</v>
      </c>
      <c r="E1085" s="12" t="s">
        <v>505</v>
      </c>
      <c r="F1085" s="30">
        <v>7.5</v>
      </c>
      <c r="G1085" s="30">
        <v>2.5</v>
      </c>
      <c r="H1085" s="30">
        <f t="shared" ref="H1085" si="438">IF(G1085&gt;0,(G1085*1.5)+F1085,"YOK")</f>
        <v>11.25</v>
      </c>
      <c r="I1085" s="22" t="s">
        <v>118</v>
      </c>
      <c r="J1085" s="31"/>
      <c r="K1085" s="32">
        <v>0</v>
      </c>
      <c r="L1085" s="32"/>
      <c r="M1085" s="33">
        <v>1</v>
      </c>
      <c r="N1085" s="33"/>
      <c r="O1085" s="21"/>
      <c r="P1085" s="21"/>
    </row>
    <row r="1086" spans="1:18" s="52" customFormat="1" ht="39.950000000000003" customHeight="1">
      <c r="A1086" s="9">
        <v>10</v>
      </c>
      <c r="B1086" s="207">
        <v>6255</v>
      </c>
      <c r="C1086" s="231" t="s">
        <v>2200</v>
      </c>
      <c r="D1086" s="11" t="s">
        <v>2201</v>
      </c>
      <c r="E1086" s="12" t="s">
        <v>505</v>
      </c>
      <c r="F1086" s="30">
        <v>7.5</v>
      </c>
      <c r="G1086" s="30">
        <v>2.5</v>
      </c>
      <c r="H1086" s="30">
        <f t="shared" ref="H1086" si="439">IF(G1086&gt;0,(G1086*1.5)+F1086,"YOK")</f>
        <v>11.25</v>
      </c>
      <c r="I1086" s="224"/>
      <c r="J1086" s="31"/>
      <c r="K1086" s="32">
        <v>1</v>
      </c>
      <c r="L1086" s="32"/>
      <c r="M1086" s="33"/>
      <c r="N1086" s="33"/>
      <c r="O1086" s="21"/>
      <c r="P1086" s="21"/>
    </row>
    <row r="1087" spans="1:18" s="52" customFormat="1" ht="39.950000000000003" customHeight="1">
      <c r="A1087" s="9">
        <v>11</v>
      </c>
      <c r="B1087" s="207">
        <v>6256</v>
      </c>
      <c r="C1087" s="231" t="s">
        <v>2202</v>
      </c>
      <c r="D1087" s="11" t="s">
        <v>2203</v>
      </c>
      <c r="E1087" s="12" t="s">
        <v>505</v>
      </c>
      <c r="F1087" s="30">
        <v>7.5</v>
      </c>
      <c r="G1087" s="30">
        <v>2.5</v>
      </c>
      <c r="H1087" s="30">
        <f t="shared" ref="H1087" si="440">IF(G1087&gt;0,(G1087*1.5)+F1087,"YOK")</f>
        <v>11.25</v>
      </c>
      <c r="I1087" s="224"/>
      <c r="J1087" s="31"/>
      <c r="K1087" s="32">
        <v>1</v>
      </c>
      <c r="L1087" s="32"/>
      <c r="M1087" s="33"/>
      <c r="N1087" s="33"/>
      <c r="O1087" s="21"/>
      <c r="P1087" s="21"/>
    </row>
    <row r="1088" spans="1:18" s="52" customFormat="1" ht="39.950000000000003" customHeight="1">
      <c r="A1088" s="9">
        <v>12</v>
      </c>
      <c r="B1088" s="207">
        <v>6257</v>
      </c>
      <c r="C1088" s="231" t="s">
        <v>2204</v>
      </c>
      <c r="D1088" s="11" t="s">
        <v>2205</v>
      </c>
      <c r="E1088" s="12" t="s">
        <v>505</v>
      </c>
      <c r="F1088" s="30">
        <v>7.5</v>
      </c>
      <c r="G1088" s="30">
        <v>2.5</v>
      </c>
      <c r="H1088" s="30">
        <f t="shared" ref="H1088:H1092" si="441">IF(G1088&gt;0,(G1088*1.5)+F1088,"YOK")</f>
        <v>11.25</v>
      </c>
      <c r="I1088" s="224"/>
      <c r="J1088" s="31"/>
      <c r="K1088" s="32">
        <v>1</v>
      </c>
      <c r="L1088" s="32"/>
      <c r="M1088" s="33"/>
      <c r="N1088" s="33"/>
      <c r="O1088" s="21"/>
      <c r="P1088" s="21"/>
    </row>
    <row r="1089" spans="1:16" s="52" customFormat="1" ht="39.950000000000003" customHeight="1">
      <c r="A1089" s="9">
        <v>13</v>
      </c>
      <c r="B1089" s="207">
        <v>6258</v>
      </c>
      <c r="C1089" s="231" t="s">
        <v>2206</v>
      </c>
      <c r="D1089" s="11" t="s">
        <v>2207</v>
      </c>
      <c r="E1089" s="225" t="s">
        <v>505</v>
      </c>
      <c r="F1089" s="30">
        <v>7.5</v>
      </c>
      <c r="G1089" s="30">
        <v>2.5</v>
      </c>
      <c r="H1089" s="30">
        <f t="shared" ref="H1089" si="442">IF(G1089&gt;0,(G1089*1.5)+F1089,"YOK")</f>
        <v>11.25</v>
      </c>
      <c r="I1089" s="224"/>
      <c r="J1089" s="31"/>
      <c r="K1089" s="32">
        <v>1</v>
      </c>
      <c r="L1089" s="32"/>
      <c r="M1089" s="33"/>
      <c r="N1089" s="33"/>
      <c r="O1089" s="21"/>
      <c r="P1089" s="21"/>
    </row>
    <row r="1090" spans="1:16" s="52" customFormat="1" ht="39.950000000000003" customHeight="1">
      <c r="A1090" s="9">
        <v>14</v>
      </c>
      <c r="B1090" s="207">
        <v>6259</v>
      </c>
      <c r="C1090" s="231" t="s">
        <v>2208</v>
      </c>
      <c r="D1090" s="11" t="s">
        <v>2209</v>
      </c>
      <c r="E1090" s="12" t="s">
        <v>505</v>
      </c>
      <c r="F1090" s="30">
        <v>7.5</v>
      </c>
      <c r="G1090" s="30">
        <v>2.5</v>
      </c>
      <c r="H1090" s="30">
        <f t="shared" ref="H1090" si="443">IF(G1090&gt;0,(G1090*1.5)+F1090,"YOK")</f>
        <v>11.25</v>
      </c>
      <c r="I1090" s="224"/>
      <c r="J1090" s="31"/>
      <c r="K1090" s="32">
        <v>1</v>
      </c>
      <c r="L1090" s="32"/>
      <c r="M1090" s="33"/>
      <c r="N1090" s="33"/>
      <c r="O1090" s="21"/>
      <c r="P1090" s="21"/>
    </row>
    <row r="1091" spans="1:16" s="52" customFormat="1" ht="39.950000000000003" customHeight="1">
      <c r="A1091" s="9">
        <v>15</v>
      </c>
      <c r="B1091" s="207">
        <v>6260</v>
      </c>
      <c r="C1091" s="231" t="s">
        <v>2210</v>
      </c>
      <c r="D1091" s="11" t="s">
        <v>2211</v>
      </c>
      <c r="E1091" s="12" t="s">
        <v>505</v>
      </c>
      <c r="F1091" s="30">
        <v>7.5</v>
      </c>
      <c r="G1091" s="30">
        <v>2.5</v>
      </c>
      <c r="H1091" s="30">
        <f t="shared" si="441"/>
        <v>11.25</v>
      </c>
      <c r="I1091" s="224"/>
      <c r="J1091" s="31"/>
      <c r="K1091" s="32">
        <v>1</v>
      </c>
      <c r="L1091" s="32"/>
      <c r="M1091" s="33"/>
      <c r="N1091" s="33"/>
      <c r="O1091" s="21"/>
      <c r="P1091" s="21"/>
    </row>
    <row r="1092" spans="1:16" s="52" customFormat="1" ht="39.950000000000003" customHeight="1">
      <c r="A1092" s="9">
        <v>16</v>
      </c>
      <c r="B1092" s="207">
        <v>6261</v>
      </c>
      <c r="C1092" s="231" t="s">
        <v>2212</v>
      </c>
      <c r="D1092" s="11" t="s">
        <v>2213</v>
      </c>
      <c r="E1092" s="12" t="s">
        <v>505</v>
      </c>
      <c r="F1092" s="30">
        <v>7.5</v>
      </c>
      <c r="G1092" s="30">
        <v>2.5</v>
      </c>
      <c r="H1092" s="30">
        <f t="shared" si="441"/>
        <v>11.25</v>
      </c>
      <c r="I1092" s="224"/>
      <c r="J1092" s="31"/>
      <c r="K1092" s="32">
        <v>1</v>
      </c>
      <c r="L1092" s="32"/>
      <c r="M1092" s="33"/>
      <c r="N1092" s="33"/>
      <c r="O1092" s="21"/>
      <c r="P1092" s="21"/>
    </row>
    <row r="1093" spans="1:16" s="52" customFormat="1" ht="39.950000000000003" customHeight="1">
      <c r="A1093" s="9">
        <v>17</v>
      </c>
      <c r="B1093" s="207">
        <v>6546</v>
      </c>
      <c r="C1093" s="231" t="s">
        <v>2744</v>
      </c>
      <c r="D1093" s="11" t="s">
        <v>2745</v>
      </c>
      <c r="E1093" s="12" t="s">
        <v>505</v>
      </c>
      <c r="F1093" s="30">
        <v>7.5</v>
      </c>
      <c r="G1093" s="30">
        <v>2.5</v>
      </c>
      <c r="H1093" s="30">
        <f t="shared" ref="H1093" si="444">IF(G1093&gt;0,(G1093*1.5)+F1093,"YOK")</f>
        <v>11.25</v>
      </c>
      <c r="I1093" s="224"/>
      <c r="J1093" s="31"/>
      <c r="K1093" s="32">
        <v>1</v>
      </c>
      <c r="L1093" s="32"/>
      <c r="M1093" s="33"/>
      <c r="N1093" s="33"/>
      <c r="O1093" s="21"/>
      <c r="P1093" s="21"/>
    </row>
    <row r="1094" spans="1:16" s="52" customFormat="1" ht="39.950000000000003" customHeight="1">
      <c r="A1094" s="9">
        <v>18</v>
      </c>
      <c r="B1094" s="207">
        <v>6547</v>
      </c>
      <c r="C1094" s="231" t="s">
        <v>2746</v>
      </c>
      <c r="D1094" s="11" t="s">
        <v>2747</v>
      </c>
      <c r="E1094" s="12" t="s">
        <v>505</v>
      </c>
      <c r="F1094" s="30">
        <v>7.5</v>
      </c>
      <c r="G1094" s="30">
        <v>2.5</v>
      </c>
      <c r="H1094" s="30">
        <f t="shared" ref="H1094" si="445">IF(G1094&gt;0,(G1094*1.5)+F1094,"YOK")</f>
        <v>11.25</v>
      </c>
      <c r="I1094" s="224"/>
      <c r="J1094" s="31"/>
      <c r="K1094" s="32">
        <v>1</v>
      </c>
      <c r="L1094" s="32"/>
      <c r="M1094" s="33"/>
      <c r="N1094" s="33"/>
      <c r="O1094" s="21"/>
      <c r="P1094" s="21"/>
    </row>
    <row r="1095" spans="1:16" s="52" customFormat="1" ht="39.950000000000003" customHeight="1">
      <c r="A1095" s="9">
        <v>19</v>
      </c>
      <c r="B1095" s="207">
        <v>6561</v>
      </c>
      <c r="C1095" s="231" t="s">
        <v>2802</v>
      </c>
      <c r="D1095" s="11" t="s">
        <v>2803</v>
      </c>
      <c r="E1095" s="12" t="s">
        <v>505</v>
      </c>
      <c r="F1095" s="30">
        <v>7.5</v>
      </c>
      <c r="G1095" s="30">
        <v>2.5</v>
      </c>
      <c r="H1095" s="30">
        <f t="shared" ref="H1095" si="446">IF(G1095&gt;0,(G1095*1.5)+F1095,"YOK")</f>
        <v>11.25</v>
      </c>
      <c r="I1095" s="224"/>
      <c r="J1095" s="31"/>
      <c r="K1095" s="32">
        <v>1</v>
      </c>
      <c r="L1095" s="32"/>
      <c r="M1095" s="33"/>
      <c r="N1095" s="33"/>
      <c r="O1095" s="21"/>
      <c r="P1095" s="21"/>
    </row>
    <row r="1096" spans="1:16" s="52" customFormat="1" ht="39.950000000000003" customHeight="1">
      <c r="A1096" s="9">
        <v>20</v>
      </c>
      <c r="B1096" s="207">
        <v>4979</v>
      </c>
      <c r="C1096" s="231" t="s">
        <v>508</v>
      </c>
      <c r="D1096" s="11" t="s">
        <v>955</v>
      </c>
      <c r="E1096" s="12" t="s">
        <v>505</v>
      </c>
      <c r="F1096" s="30">
        <v>7.5</v>
      </c>
      <c r="G1096" s="30">
        <v>2.5</v>
      </c>
      <c r="H1096" s="30">
        <v>11.25</v>
      </c>
      <c r="I1096" s="224"/>
      <c r="J1096" s="31"/>
      <c r="K1096" s="32">
        <v>1</v>
      </c>
      <c r="L1096" s="32"/>
      <c r="M1096" s="33"/>
      <c r="N1096" s="33"/>
      <c r="O1096" s="21"/>
      <c r="P1096" s="21"/>
    </row>
    <row r="1097" spans="1:16" s="52" customFormat="1" ht="39.950000000000003" customHeight="1">
      <c r="A1097" s="9">
        <v>21</v>
      </c>
      <c r="B1097" s="207">
        <v>5626</v>
      </c>
      <c r="C1097" s="231" t="s">
        <v>1040</v>
      </c>
      <c r="D1097" s="11" t="s">
        <v>1041</v>
      </c>
      <c r="E1097" s="12" t="s">
        <v>505</v>
      </c>
      <c r="F1097" s="30">
        <v>0</v>
      </c>
      <c r="G1097" s="30"/>
      <c r="H1097" s="30"/>
      <c r="I1097" s="22" t="s">
        <v>34</v>
      </c>
      <c r="J1097" s="31"/>
      <c r="K1097" s="32">
        <v>0</v>
      </c>
      <c r="L1097" s="32"/>
      <c r="M1097" s="33">
        <v>1</v>
      </c>
      <c r="N1097" s="33"/>
      <c r="O1097" s="21"/>
      <c r="P1097" s="21"/>
    </row>
    <row r="1098" spans="1:16" s="52" customFormat="1" ht="39.950000000000003" customHeight="1">
      <c r="A1098" s="9">
        <v>22</v>
      </c>
      <c r="B1098" s="207">
        <v>6691</v>
      </c>
      <c r="C1098" s="231" t="s">
        <v>3028</v>
      </c>
      <c r="D1098" s="11" t="s">
        <v>3029</v>
      </c>
      <c r="E1098" s="12" t="s">
        <v>505</v>
      </c>
      <c r="F1098" s="30">
        <v>7.5</v>
      </c>
      <c r="G1098" s="30">
        <v>2.5</v>
      </c>
      <c r="H1098" s="30">
        <v>11.25</v>
      </c>
      <c r="I1098" s="224"/>
      <c r="J1098" s="31"/>
      <c r="K1098" s="32">
        <v>1</v>
      </c>
      <c r="L1098" s="32"/>
      <c r="M1098" s="33"/>
      <c r="N1098" s="33"/>
      <c r="O1098" s="21"/>
      <c r="P1098" s="21"/>
    </row>
    <row r="1099" spans="1:16" s="52" customFormat="1" ht="39.950000000000003" customHeight="1">
      <c r="A1099" s="9">
        <v>23</v>
      </c>
      <c r="B1099" s="207">
        <v>6654</v>
      </c>
      <c r="C1099" s="231" t="s">
        <v>2984</v>
      </c>
      <c r="D1099" s="11" t="s">
        <v>2985</v>
      </c>
      <c r="E1099" s="12" t="s">
        <v>505</v>
      </c>
      <c r="F1099" s="30">
        <v>7.5</v>
      </c>
      <c r="G1099" s="30">
        <v>2.5</v>
      </c>
      <c r="H1099" s="30">
        <f>IF(G1099&gt;0,(G1099*1.5)+F1099,"YOK")</f>
        <v>11.25</v>
      </c>
      <c r="I1099" s="227" t="s">
        <v>70</v>
      </c>
      <c r="J1099" s="31"/>
      <c r="K1099" s="32">
        <v>0</v>
      </c>
      <c r="L1099" s="32"/>
      <c r="M1099" s="33">
        <v>1</v>
      </c>
      <c r="N1099" s="33"/>
      <c r="O1099" s="21"/>
      <c r="P1099" s="21"/>
    </row>
    <row r="1100" spans="1:16" s="52" customFormat="1" ht="39.950000000000003" customHeight="1">
      <c r="A1100" s="9">
        <v>24</v>
      </c>
      <c r="B1100" s="207">
        <v>6655</v>
      </c>
      <c r="C1100" s="231" t="s">
        <v>2986</v>
      </c>
      <c r="D1100" s="11" t="s">
        <v>2987</v>
      </c>
      <c r="E1100" s="12" t="s">
        <v>505</v>
      </c>
      <c r="F1100" s="30">
        <v>7.5</v>
      </c>
      <c r="G1100" s="30">
        <v>2.5</v>
      </c>
      <c r="H1100" s="30">
        <v>11.25</v>
      </c>
      <c r="I1100" s="224"/>
      <c r="J1100" s="31"/>
      <c r="K1100" s="32">
        <v>1</v>
      </c>
      <c r="L1100" s="32"/>
      <c r="M1100" s="33"/>
      <c r="N1100" s="33"/>
      <c r="O1100" s="21"/>
      <c r="P1100" s="21"/>
    </row>
    <row r="1101" spans="1:16" s="52" customFormat="1" ht="39.950000000000003" customHeight="1">
      <c r="A1101" s="9">
        <v>25</v>
      </c>
      <c r="B1101" s="207">
        <v>6657</v>
      </c>
      <c r="C1101" s="231" t="s">
        <v>2988</v>
      </c>
      <c r="D1101" s="11" t="s">
        <v>2989</v>
      </c>
      <c r="E1101" s="12" t="s">
        <v>505</v>
      </c>
      <c r="F1101" s="30">
        <v>7.5</v>
      </c>
      <c r="G1101" s="30">
        <v>2.5</v>
      </c>
      <c r="H1101" s="30">
        <v>11.25</v>
      </c>
      <c r="I1101" s="224"/>
      <c r="J1101" s="31"/>
      <c r="K1101" s="32">
        <v>1</v>
      </c>
      <c r="L1101" s="32"/>
      <c r="M1101" s="33"/>
      <c r="N1101" s="33"/>
      <c r="O1101" s="21"/>
      <c r="P1101" s="21"/>
    </row>
    <row r="1102" spans="1:16" s="52" customFormat="1" ht="39.950000000000003" customHeight="1">
      <c r="A1102" s="9">
        <v>26</v>
      </c>
      <c r="B1102" s="207">
        <v>6658</v>
      </c>
      <c r="C1102" s="231" t="s">
        <v>2990</v>
      </c>
      <c r="D1102" s="11" t="s">
        <v>2991</v>
      </c>
      <c r="E1102" s="225" t="s">
        <v>505</v>
      </c>
      <c r="F1102" s="30">
        <v>7.5</v>
      </c>
      <c r="G1102" s="30">
        <v>2.5</v>
      </c>
      <c r="H1102" s="30">
        <v>11.25</v>
      </c>
      <c r="I1102" s="224"/>
      <c r="J1102" s="31"/>
      <c r="K1102" s="32">
        <v>1</v>
      </c>
      <c r="L1102" s="32"/>
      <c r="M1102" s="33"/>
      <c r="N1102" s="33"/>
      <c r="O1102" s="21"/>
      <c r="P1102" s="21"/>
    </row>
    <row r="1103" spans="1:16" s="52" customFormat="1" ht="39.950000000000003" customHeight="1">
      <c r="A1103" s="9">
        <v>27</v>
      </c>
      <c r="B1103" s="207">
        <v>6777</v>
      </c>
      <c r="C1103" s="231" t="s">
        <v>3332</v>
      </c>
      <c r="D1103" s="11" t="s">
        <v>3333</v>
      </c>
      <c r="E1103" s="225" t="s">
        <v>505</v>
      </c>
      <c r="F1103" s="30">
        <v>7.5</v>
      </c>
      <c r="G1103" s="30">
        <v>2.5</v>
      </c>
      <c r="H1103" s="30">
        <v>11.25</v>
      </c>
      <c r="I1103" s="224"/>
      <c r="J1103" s="31"/>
      <c r="K1103" s="32">
        <v>1</v>
      </c>
      <c r="L1103" s="32"/>
      <c r="M1103" s="33"/>
      <c r="N1103" s="33"/>
      <c r="O1103" s="21"/>
      <c r="P1103" s="21"/>
    </row>
    <row r="1104" spans="1:16" s="52" customFormat="1" ht="39.950000000000003" customHeight="1">
      <c r="A1104" s="9">
        <v>28</v>
      </c>
      <c r="B1104" s="207" t="s">
        <v>979</v>
      </c>
      <c r="C1104" s="231" t="s">
        <v>1857</v>
      </c>
      <c r="D1104" s="11" t="s">
        <v>1858</v>
      </c>
      <c r="E1104" s="12" t="s">
        <v>505</v>
      </c>
      <c r="F1104" s="30">
        <v>7.5</v>
      </c>
      <c r="G1104" s="30">
        <v>2.5</v>
      </c>
      <c r="H1104" s="30">
        <f t="shared" ref="H1104:H1106" si="447">IF(G1104&gt;0,(G1104*1.5)+F1104,"YOK")</f>
        <v>11.25</v>
      </c>
      <c r="I1104" s="22" t="s">
        <v>1100</v>
      </c>
      <c r="J1104" s="31"/>
      <c r="K1104" s="32">
        <v>1</v>
      </c>
      <c r="L1104" s="32"/>
      <c r="M1104" s="33"/>
      <c r="N1104" s="33"/>
      <c r="O1104" s="21"/>
      <c r="P1104" s="21"/>
    </row>
    <row r="1105" spans="1:16" s="52" customFormat="1" ht="39.950000000000003" customHeight="1">
      <c r="A1105" s="9">
        <v>29</v>
      </c>
      <c r="B1105" s="207" t="s">
        <v>979</v>
      </c>
      <c r="C1105" s="231" t="s">
        <v>1861</v>
      </c>
      <c r="D1105" s="11" t="s">
        <v>1862</v>
      </c>
      <c r="E1105" s="12" t="s">
        <v>505</v>
      </c>
      <c r="F1105" s="30">
        <v>7.5</v>
      </c>
      <c r="G1105" s="30">
        <v>2.5</v>
      </c>
      <c r="H1105" s="30">
        <f t="shared" si="447"/>
        <v>11.25</v>
      </c>
      <c r="I1105" s="22" t="s">
        <v>1100</v>
      </c>
      <c r="J1105" s="31"/>
      <c r="K1105" s="32">
        <v>1</v>
      </c>
      <c r="L1105" s="32"/>
      <c r="M1105" s="33"/>
      <c r="N1105" s="33"/>
      <c r="O1105" s="21"/>
      <c r="P1105" s="21"/>
    </row>
    <row r="1106" spans="1:16" s="52" customFormat="1" ht="39.950000000000003" customHeight="1">
      <c r="A1106" s="9">
        <v>30</v>
      </c>
      <c r="B1106" s="207" t="s">
        <v>979</v>
      </c>
      <c r="C1106" s="231" t="s">
        <v>1807</v>
      </c>
      <c r="D1106" s="11" t="s">
        <v>1808</v>
      </c>
      <c r="E1106" s="12" t="s">
        <v>505</v>
      </c>
      <c r="F1106" s="30">
        <v>7.5</v>
      </c>
      <c r="G1106" s="30">
        <v>2.5</v>
      </c>
      <c r="H1106" s="30">
        <f t="shared" si="447"/>
        <v>11.25</v>
      </c>
      <c r="I1106" s="22" t="s">
        <v>1100</v>
      </c>
      <c r="J1106" s="31"/>
      <c r="K1106" s="32">
        <v>1</v>
      </c>
      <c r="L1106" s="32"/>
      <c r="M1106" s="33"/>
      <c r="N1106" s="33"/>
      <c r="O1106" s="21"/>
      <c r="P1106" s="21"/>
    </row>
    <row r="1107" spans="1:16" s="52" customFormat="1" ht="39.950000000000003" customHeight="1">
      <c r="A1107" s="9">
        <v>31</v>
      </c>
      <c r="B1107" s="207" t="s">
        <v>979</v>
      </c>
      <c r="C1107" s="231" t="s">
        <v>2034</v>
      </c>
      <c r="D1107" s="11" t="s">
        <v>2035</v>
      </c>
      <c r="E1107" s="12" t="s">
        <v>2033</v>
      </c>
      <c r="F1107" s="30">
        <v>7.5</v>
      </c>
      <c r="G1107" s="30">
        <v>2.5</v>
      </c>
      <c r="H1107" s="30">
        <f t="shared" ref="H1107:H1109" si="448">IF(G1107&gt;0,(G1107*1.5)+F1107,"YOK")</f>
        <v>11.25</v>
      </c>
      <c r="I1107" s="22" t="s">
        <v>1100</v>
      </c>
      <c r="J1107" s="31"/>
      <c r="K1107" s="32">
        <v>1</v>
      </c>
      <c r="L1107" s="32"/>
      <c r="M1107" s="33"/>
      <c r="N1107" s="33"/>
      <c r="O1107" s="21"/>
      <c r="P1107" s="21"/>
    </row>
    <row r="1108" spans="1:16" s="52" customFormat="1" ht="39.950000000000003" customHeight="1">
      <c r="A1108" s="9">
        <v>32</v>
      </c>
      <c r="B1108" s="207" t="s">
        <v>979</v>
      </c>
      <c r="C1108" s="231" t="s">
        <v>2036</v>
      </c>
      <c r="D1108" s="11" t="s">
        <v>2037</v>
      </c>
      <c r="E1108" s="12" t="s">
        <v>2033</v>
      </c>
      <c r="F1108" s="30">
        <v>7.5</v>
      </c>
      <c r="G1108" s="30">
        <v>2.5</v>
      </c>
      <c r="H1108" s="30">
        <f t="shared" si="448"/>
        <v>11.25</v>
      </c>
      <c r="I1108" s="22" t="s">
        <v>1100</v>
      </c>
      <c r="J1108" s="31"/>
      <c r="K1108" s="32">
        <v>1</v>
      </c>
      <c r="L1108" s="32"/>
      <c r="M1108" s="33"/>
      <c r="N1108" s="33"/>
      <c r="O1108" s="21"/>
      <c r="P1108" s="21"/>
    </row>
    <row r="1109" spans="1:16" s="52" customFormat="1" ht="39.950000000000003" customHeight="1">
      <c r="A1109" s="9">
        <v>33</v>
      </c>
      <c r="B1109" s="207" t="s">
        <v>979</v>
      </c>
      <c r="C1109" s="231" t="s">
        <v>2038</v>
      </c>
      <c r="D1109" s="11" t="s">
        <v>2039</v>
      </c>
      <c r="E1109" s="12" t="s">
        <v>2033</v>
      </c>
      <c r="F1109" s="30">
        <v>7.5</v>
      </c>
      <c r="G1109" s="30">
        <v>2.5</v>
      </c>
      <c r="H1109" s="30">
        <f t="shared" si="448"/>
        <v>11.25</v>
      </c>
      <c r="I1109" s="22" t="s">
        <v>1100</v>
      </c>
      <c r="J1109" s="31"/>
      <c r="K1109" s="32">
        <v>1</v>
      </c>
      <c r="L1109" s="32"/>
      <c r="M1109" s="33"/>
      <c r="N1109" s="33"/>
      <c r="O1109" s="21"/>
      <c r="P1109" s="21"/>
    </row>
    <row r="1110" spans="1:16" s="52" customFormat="1" ht="39.950000000000003" customHeight="1">
      <c r="A1110" s="9">
        <v>34</v>
      </c>
      <c r="B1110" s="207" t="s">
        <v>979</v>
      </c>
      <c r="C1110" s="231" t="s">
        <v>3131</v>
      </c>
      <c r="D1110" s="11" t="s">
        <v>3132</v>
      </c>
      <c r="E1110" s="12" t="s">
        <v>2033</v>
      </c>
      <c r="F1110" s="30">
        <v>7.5</v>
      </c>
      <c r="G1110" s="30">
        <v>2.5</v>
      </c>
      <c r="H1110" s="30">
        <f t="shared" ref="H1110:H1111" si="449">IF(G1110&gt;0,(G1110*1.5)+F1110,"YOK")</f>
        <v>11.25</v>
      </c>
      <c r="I1110" s="22" t="s">
        <v>1100</v>
      </c>
      <c r="J1110" s="31"/>
      <c r="K1110" s="32">
        <v>1</v>
      </c>
      <c r="L1110" s="32"/>
      <c r="M1110" s="33"/>
      <c r="N1110" s="33"/>
      <c r="O1110" s="21"/>
      <c r="P1110" s="21"/>
    </row>
    <row r="1111" spans="1:16" s="52" customFormat="1" ht="39.950000000000003" customHeight="1">
      <c r="A1111" s="9">
        <v>35</v>
      </c>
      <c r="B1111" s="207" t="s">
        <v>979</v>
      </c>
      <c r="C1111" s="231" t="s">
        <v>3133</v>
      </c>
      <c r="D1111" s="11" t="s">
        <v>3134</v>
      </c>
      <c r="E1111" s="12" t="s">
        <v>2033</v>
      </c>
      <c r="F1111" s="30">
        <v>7.5</v>
      </c>
      <c r="G1111" s="30">
        <v>2.5</v>
      </c>
      <c r="H1111" s="30">
        <f t="shared" si="449"/>
        <v>11.25</v>
      </c>
      <c r="I1111" s="22" t="s">
        <v>1100</v>
      </c>
      <c r="J1111" s="31"/>
      <c r="K1111" s="32">
        <v>1</v>
      </c>
      <c r="L1111" s="32"/>
      <c r="M1111" s="33"/>
      <c r="N1111" s="33"/>
      <c r="O1111" s="21"/>
      <c r="P1111" s="21"/>
    </row>
    <row r="1112" spans="1:16" s="52" customFormat="1" ht="39.950000000000003" customHeight="1">
      <c r="A1112" s="9">
        <v>36</v>
      </c>
      <c r="B1112" s="207" t="s">
        <v>979</v>
      </c>
      <c r="C1112" s="231" t="s">
        <v>3324</v>
      </c>
      <c r="D1112" s="11" t="s">
        <v>3325</v>
      </c>
      <c r="E1112" s="12" t="s">
        <v>2033</v>
      </c>
      <c r="F1112" s="30">
        <v>7.5</v>
      </c>
      <c r="G1112" s="30">
        <v>2.5</v>
      </c>
      <c r="H1112" s="30">
        <f t="shared" ref="H1112" si="450">IF(G1112&gt;0,(G1112*1.5)+F1112,"YOK")</f>
        <v>11.25</v>
      </c>
      <c r="I1112" s="22" t="s">
        <v>1100</v>
      </c>
      <c r="J1112" s="31"/>
      <c r="K1112" s="32">
        <v>1</v>
      </c>
      <c r="L1112" s="32"/>
      <c r="M1112" s="33"/>
      <c r="N1112" s="33"/>
      <c r="O1112" s="21"/>
      <c r="P1112" s="21"/>
    </row>
    <row r="1113" spans="1:16" s="52" customFormat="1" ht="39.950000000000003" customHeight="1">
      <c r="A1113" s="9">
        <v>37</v>
      </c>
      <c r="B1113" s="207" t="s">
        <v>979</v>
      </c>
      <c r="C1113" s="231" t="s">
        <v>3663</v>
      </c>
      <c r="D1113" s="11" t="s">
        <v>3664</v>
      </c>
      <c r="E1113" s="12" t="s">
        <v>2033</v>
      </c>
      <c r="F1113" s="30">
        <v>7.5</v>
      </c>
      <c r="G1113" s="30">
        <v>2.5</v>
      </c>
      <c r="H1113" s="30">
        <f t="shared" ref="H1113" si="451">IF(G1113&gt;0,(G1113*1.5)+F1113,"YOK")</f>
        <v>11.25</v>
      </c>
      <c r="I1113" s="22" t="s">
        <v>1100</v>
      </c>
      <c r="J1113" s="31"/>
      <c r="K1113" s="32">
        <v>1</v>
      </c>
      <c r="L1113" s="32"/>
      <c r="M1113" s="33"/>
      <c r="N1113" s="33"/>
      <c r="O1113" s="21"/>
      <c r="P1113" s="21"/>
    </row>
    <row r="1114" spans="1:16" s="52" customFormat="1" ht="39.950000000000003" customHeight="1">
      <c r="A1114" s="9">
        <v>38</v>
      </c>
      <c r="B1114" s="207" t="s">
        <v>979</v>
      </c>
      <c r="C1114" s="231" t="s">
        <v>3087</v>
      </c>
      <c r="D1114" s="11" t="s">
        <v>3088</v>
      </c>
      <c r="E1114" s="12" t="s">
        <v>2033</v>
      </c>
      <c r="F1114" s="30">
        <v>7.5</v>
      </c>
      <c r="G1114" s="30">
        <v>2.5</v>
      </c>
      <c r="H1114" s="30">
        <f t="shared" ref="H1114:H1122" si="452">IF(G1114&gt;0,(G1114*1.5)+F1114,"YOK")</f>
        <v>11.25</v>
      </c>
      <c r="I1114" s="22" t="s">
        <v>2869</v>
      </c>
      <c r="J1114" s="31"/>
      <c r="K1114" s="32">
        <v>1</v>
      </c>
      <c r="L1114" s="32"/>
      <c r="M1114" s="33"/>
      <c r="N1114" s="33"/>
      <c r="O1114" s="21"/>
      <c r="P1114" s="21"/>
    </row>
    <row r="1115" spans="1:16" s="52" customFormat="1" ht="39.950000000000003" customHeight="1">
      <c r="A1115" s="9">
        <v>39</v>
      </c>
      <c r="B1115" s="207" t="s">
        <v>979</v>
      </c>
      <c r="C1115" s="231" t="s">
        <v>3089</v>
      </c>
      <c r="D1115" s="11" t="s">
        <v>3090</v>
      </c>
      <c r="E1115" s="12" t="s">
        <v>2033</v>
      </c>
      <c r="F1115" s="30">
        <v>7.5</v>
      </c>
      <c r="G1115" s="30">
        <v>2.5</v>
      </c>
      <c r="H1115" s="30">
        <f t="shared" si="452"/>
        <v>11.25</v>
      </c>
      <c r="I1115" s="22" t="s">
        <v>2869</v>
      </c>
      <c r="J1115" s="31"/>
      <c r="K1115" s="32">
        <v>1</v>
      </c>
      <c r="L1115" s="32"/>
      <c r="M1115" s="33"/>
      <c r="N1115" s="33"/>
      <c r="O1115" s="21"/>
      <c r="P1115" s="21"/>
    </row>
    <row r="1116" spans="1:16" s="52" customFormat="1" ht="39.950000000000003" customHeight="1">
      <c r="A1116" s="9">
        <v>40</v>
      </c>
      <c r="B1116" s="207" t="s">
        <v>979</v>
      </c>
      <c r="C1116" s="231" t="s">
        <v>3091</v>
      </c>
      <c r="D1116" s="11" t="s">
        <v>3092</v>
      </c>
      <c r="E1116" s="12" t="s">
        <v>2033</v>
      </c>
      <c r="F1116" s="30">
        <v>7.5</v>
      </c>
      <c r="G1116" s="30">
        <v>2.5</v>
      </c>
      <c r="H1116" s="30">
        <f t="shared" si="452"/>
        <v>11.25</v>
      </c>
      <c r="I1116" s="22" t="s">
        <v>2869</v>
      </c>
      <c r="J1116" s="31"/>
      <c r="K1116" s="32">
        <v>1</v>
      </c>
      <c r="L1116" s="32"/>
      <c r="M1116" s="33"/>
      <c r="N1116" s="33"/>
      <c r="O1116" s="21"/>
      <c r="P1116" s="21"/>
    </row>
    <row r="1117" spans="1:16" s="52" customFormat="1" ht="39.950000000000003" customHeight="1">
      <c r="A1117" s="9">
        <v>41</v>
      </c>
      <c r="B1117" s="207" t="s">
        <v>979</v>
      </c>
      <c r="C1117" s="231" t="s">
        <v>3093</v>
      </c>
      <c r="D1117" s="11" t="s">
        <v>3094</v>
      </c>
      <c r="E1117" s="12" t="s">
        <v>2033</v>
      </c>
      <c r="F1117" s="30">
        <v>7.5</v>
      </c>
      <c r="G1117" s="30">
        <v>2.5</v>
      </c>
      <c r="H1117" s="30">
        <f t="shared" si="452"/>
        <v>11.25</v>
      </c>
      <c r="I1117" s="22" t="s">
        <v>2869</v>
      </c>
      <c r="J1117" s="31"/>
      <c r="K1117" s="32">
        <v>1</v>
      </c>
      <c r="L1117" s="32"/>
      <c r="M1117" s="33"/>
      <c r="N1117" s="33"/>
      <c r="O1117" s="21"/>
      <c r="P1117" s="21"/>
    </row>
    <row r="1118" spans="1:16" s="52" customFormat="1" ht="39.950000000000003" customHeight="1">
      <c r="A1118" s="9">
        <v>42</v>
      </c>
      <c r="B1118" s="207" t="s">
        <v>979</v>
      </c>
      <c r="C1118" s="231" t="s">
        <v>3095</v>
      </c>
      <c r="D1118" s="11" t="s">
        <v>3096</v>
      </c>
      <c r="E1118" s="12" t="s">
        <v>2033</v>
      </c>
      <c r="F1118" s="30">
        <v>7.5</v>
      </c>
      <c r="G1118" s="30">
        <v>2.5</v>
      </c>
      <c r="H1118" s="30">
        <f t="shared" si="452"/>
        <v>11.25</v>
      </c>
      <c r="I1118" s="22" t="s">
        <v>2869</v>
      </c>
      <c r="J1118" s="31"/>
      <c r="K1118" s="32">
        <v>1</v>
      </c>
      <c r="L1118" s="32"/>
      <c r="M1118" s="33"/>
      <c r="N1118" s="33"/>
      <c r="O1118" s="21"/>
      <c r="P1118" s="21"/>
    </row>
    <row r="1119" spans="1:16" s="52" customFormat="1" ht="39.950000000000003" customHeight="1">
      <c r="A1119" s="9">
        <v>43</v>
      </c>
      <c r="B1119" s="207" t="s">
        <v>979</v>
      </c>
      <c r="C1119" s="231" t="s">
        <v>3097</v>
      </c>
      <c r="D1119" s="11" t="s">
        <v>3098</v>
      </c>
      <c r="E1119" s="12" t="s">
        <v>2033</v>
      </c>
      <c r="F1119" s="30">
        <v>7.5</v>
      </c>
      <c r="G1119" s="30">
        <v>2.5</v>
      </c>
      <c r="H1119" s="30">
        <f t="shared" si="452"/>
        <v>11.25</v>
      </c>
      <c r="I1119" s="22" t="s">
        <v>2869</v>
      </c>
      <c r="J1119" s="31"/>
      <c r="K1119" s="32">
        <v>1</v>
      </c>
      <c r="L1119" s="32"/>
      <c r="M1119" s="33"/>
      <c r="N1119" s="33"/>
      <c r="O1119" s="21"/>
      <c r="P1119" s="21"/>
    </row>
    <row r="1120" spans="1:16" s="52" customFormat="1" ht="39.950000000000003" customHeight="1">
      <c r="A1120" s="9">
        <v>44</v>
      </c>
      <c r="B1120" s="207" t="s">
        <v>979</v>
      </c>
      <c r="C1120" s="231" t="s">
        <v>3099</v>
      </c>
      <c r="D1120" s="11" t="s">
        <v>3100</v>
      </c>
      <c r="E1120" s="12" t="s">
        <v>2033</v>
      </c>
      <c r="F1120" s="30">
        <v>7.5</v>
      </c>
      <c r="G1120" s="30">
        <v>2.5</v>
      </c>
      <c r="H1120" s="30">
        <f t="shared" si="452"/>
        <v>11.25</v>
      </c>
      <c r="I1120" s="22" t="s">
        <v>2869</v>
      </c>
      <c r="J1120" s="31"/>
      <c r="K1120" s="32">
        <v>1</v>
      </c>
      <c r="L1120" s="32"/>
      <c r="M1120" s="33"/>
      <c r="N1120" s="33"/>
      <c r="O1120" s="21"/>
      <c r="P1120" s="21"/>
    </row>
    <row r="1121" spans="1:17" s="52" customFormat="1" ht="39.950000000000003" customHeight="1">
      <c r="A1121" s="9">
        <v>45</v>
      </c>
      <c r="B1121" s="207" t="s">
        <v>979</v>
      </c>
      <c r="C1121" s="231" t="s">
        <v>3101</v>
      </c>
      <c r="D1121" s="11" t="s">
        <v>3102</v>
      </c>
      <c r="E1121" s="12" t="s">
        <v>2033</v>
      </c>
      <c r="F1121" s="30">
        <v>7.5</v>
      </c>
      <c r="G1121" s="30">
        <v>2.5</v>
      </c>
      <c r="H1121" s="30">
        <f t="shared" si="452"/>
        <v>11.25</v>
      </c>
      <c r="I1121" s="22" t="s">
        <v>2869</v>
      </c>
      <c r="J1121" s="31"/>
      <c r="K1121" s="32">
        <v>1</v>
      </c>
      <c r="L1121" s="32"/>
      <c r="M1121" s="33"/>
      <c r="N1121" s="33"/>
      <c r="O1121" s="21"/>
      <c r="P1121" s="21"/>
    </row>
    <row r="1122" spans="1:17" s="52" customFormat="1" ht="39.950000000000003" customHeight="1">
      <c r="A1122" s="9">
        <v>46</v>
      </c>
      <c r="B1122" s="207" t="s">
        <v>979</v>
      </c>
      <c r="C1122" s="231" t="s">
        <v>3103</v>
      </c>
      <c r="D1122" s="11" t="s">
        <v>3104</v>
      </c>
      <c r="E1122" s="12" t="s">
        <v>2033</v>
      </c>
      <c r="F1122" s="30">
        <v>7.5</v>
      </c>
      <c r="G1122" s="30">
        <v>2.5</v>
      </c>
      <c r="H1122" s="30">
        <f t="shared" si="452"/>
        <v>11.25</v>
      </c>
      <c r="I1122" s="22" t="s">
        <v>2869</v>
      </c>
      <c r="J1122" s="31"/>
      <c r="K1122" s="32">
        <v>1</v>
      </c>
      <c r="L1122" s="32"/>
      <c r="M1122" s="33"/>
      <c r="N1122" s="33"/>
      <c r="O1122" s="21"/>
      <c r="P1122" s="21"/>
    </row>
    <row r="1123" spans="1:17" s="52" customFormat="1" ht="39.950000000000003" customHeight="1">
      <c r="A1123" s="9">
        <v>47</v>
      </c>
      <c r="B1123" s="207" t="s">
        <v>979</v>
      </c>
      <c r="C1123" s="231" t="s">
        <v>2870</v>
      </c>
      <c r="D1123" s="11" t="s">
        <v>2871</v>
      </c>
      <c r="E1123" s="12" t="s">
        <v>2033</v>
      </c>
      <c r="F1123" s="30">
        <v>7.5</v>
      </c>
      <c r="G1123" s="30">
        <v>2.5</v>
      </c>
      <c r="H1123" s="30">
        <f t="shared" ref="H1123:H1124" si="453">IF(G1123&gt;0,(G1123*1.5)+F1123,"YOK")</f>
        <v>11.25</v>
      </c>
      <c r="I1123" s="22" t="s">
        <v>2869</v>
      </c>
      <c r="J1123" s="31"/>
      <c r="K1123" s="32">
        <v>1</v>
      </c>
      <c r="L1123" s="32"/>
      <c r="M1123" s="33"/>
      <c r="N1123" s="33"/>
      <c r="O1123" s="21"/>
      <c r="P1123" s="21"/>
    </row>
    <row r="1124" spans="1:17" s="52" customFormat="1" ht="39.950000000000003" customHeight="1">
      <c r="A1124" s="9">
        <v>48</v>
      </c>
      <c r="B1124" s="207" t="s">
        <v>979</v>
      </c>
      <c r="C1124" s="231" t="s">
        <v>2872</v>
      </c>
      <c r="D1124" s="11" t="s">
        <v>2873</v>
      </c>
      <c r="E1124" s="12" t="s">
        <v>2033</v>
      </c>
      <c r="F1124" s="30">
        <v>7.5</v>
      </c>
      <c r="G1124" s="30">
        <v>2.5</v>
      </c>
      <c r="H1124" s="30">
        <f t="shared" si="453"/>
        <v>11.25</v>
      </c>
      <c r="I1124" s="22" t="s">
        <v>2869</v>
      </c>
      <c r="J1124" s="31"/>
      <c r="K1124" s="32">
        <v>1</v>
      </c>
      <c r="L1124" s="32"/>
      <c r="M1124" s="33"/>
      <c r="N1124" s="33"/>
      <c r="O1124" s="21"/>
      <c r="P1124" s="21"/>
    </row>
    <row r="1125" spans="1:17" s="52" customFormat="1" ht="39.950000000000003" customHeight="1">
      <c r="A1125" s="9">
        <v>49</v>
      </c>
      <c r="B1125" s="207" t="s">
        <v>979</v>
      </c>
      <c r="C1125" s="231" t="s">
        <v>2874</v>
      </c>
      <c r="D1125" s="11" t="s">
        <v>2875</v>
      </c>
      <c r="E1125" s="12" t="s">
        <v>2033</v>
      </c>
      <c r="F1125" s="30">
        <v>7.5</v>
      </c>
      <c r="G1125" s="30">
        <v>2.5</v>
      </c>
      <c r="H1125" s="30">
        <f t="shared" ref="H1125" si="454">IF(G1125&gt;0,(G1125*1.5)+F1125,"YOK")</f>
        <v>11.25</v>
      </c>
      <c r="I1125" s="22" t="s">
        <v>2869</v>
      </c>
      <c r="J1125" s="31"/>
      <c r="K1125" s="32">
        <v>1</v>
      </c>
      <c r="L1125" s="32"/>
      <c r="M1125" s="33"/>
      <c r="N1125" s="33"/>
      <c r="O1125" s="21"/>
      <c r="P1125" s="21"/>
    </row>
    <row r="1126" spans="1:17" ht="39.950000000000003" customHeight="1">
      <c r="A1126" s="40"/>
      <c r="B1126" s="262" t="s">
        <v>3135</v>
      </c>
      <c r="C1126" s="263"/>
      <c r="D1126" s="264"/>
      <c r="E1126" s="46"/>
      <c r="F1126" s="41"/>
      <c r="G1126" s="41"/>
      <c r="H1126" s="41"/>
      <c r="I1126" s="42"/>
      <c r="J1126" s="43">
        <f>SUM(J1077:J1125)</f>
        <v>0</v>
      </c>
      <c r="K1126" s="43">
        <f>SUM(K1077:K1125)</f>
        <v>44</v>
      </c>
      <c r="L1126" s="43">
        <f>SUM(L1077:L1125)</f>
        <v>0</v>
      </c>
      <c r="M1126" s="43">
        <f>SUM(M1077:M1125)</f>
        <v>5</v>
      </c>
      <c r="N1126" s="33"/>
      <c r="O1126" s="21"/>
      <c r="P1126" s="21"/>
    </row>
    <row r="1127" spans="1:17" s="52" customFormat="1" ht="39.950000000000003" customHeight="1">
      <c r="A1127" s="9">
        <v>1</v>
      </c>
      <c r="B1127" s="207">
        <v>2031</v>
      </c>
      <c r="C1127" s="11" t="s">
        <v>519</v>
      </c>
      <c r="D1127" s="11" t="s">
        <v>520</v>
      </c>
      <c r="E1127" s="12" t="s">
        <v>521</v>
      </c>
      <c r="F1127" s="30" t="s">
        <v>17</v>
      </c>
      <c r="G1127" s="30"/>
      <c r="H1127" s="30"/>
      <c r="I1127" s="49" t="s">
        <v>255</v>
      </c>
      <c r="J1127" s="31"/>
      <c r="K1127" s="32">
        <v>1</v>
      </c>
      <c r="L1127" s="32"/>
      <c r="M1127" s="33"/>
      <c r="N1127" s="33"/>
      <c r="O1127" s="21"/>
      <c r="P1127" s="21"/>
    </row>
    <row r="1128" spans="1:17" s="52" customFormat="1" ht="39.950000000000003" customHeight="1">
      <c r="A1128" s="9">
        <v>2</v>
      </c>
      <c r="B1128" s="207">
        <v>5806</v>
      </c>
      <c r="C1128" s="11" t="s">
        <v>1249</v>
      </c>
      <c r="D1128" s="11" t="s">
        <v>1248</v>
      </c>
      <c r="E1128" s="51" t="s">
        <v>510</v>
      </c>
      <c r="F1128" s="30" t="s">
        <v>17</v>
      </c>
      <c r="G1128" s="30"/>
      <c r="H1128" s="30"/>
      <c r="I1128" s="49" t="s">
        <v>255</v>
      </c>
      <c r="J1128" s="31"/>
      <c r="K1128" s="32">
        <v>1</v>
      </c>
      <c r="L1128" s="32"/>
      <c r="M1128" s="33"/>
      <c r="N1128" s="33"/>
      <c r="O1128" s="21"/>
      <c r="P1128" s="21"/>
    </row>
    <row r="1129" spans="1:17" s="52" customFormat="1" ht="39.950000000000003" customHeight="1">
      <c r="A1129" s="9">
        <v>3</v>
      </c>
      <c r="B1129" s="207">
        <v>6273</v>
      </c>
      <c r="C1129" s="11" t="s">
        <v>2224</v>
      </c>
      <c r="D1129" s="11" t="s">
        <v>2225</v>
      </c>
      <c r="E1129" s="51" t="s">
        <v>510</v>
      </c>
      <c r="F1129" s="30" t="s">
        <v>17</v>
      </c>
      <c r="G1129" s="30"/>
      <c r="H1129" s="30"/>
      <c r="I1129" s="49" t="s">
        <v>255</v>
      </c>
      <c r="J1129" s="31"/>
      <c r="K1129" s="32">
        <v>1</v>
      </c>
      <c r="L1129" s="32"/>
      <c r="M1129" s="33"/>
      <c r="N1129" s="33"/>
      <c r="O1129" s="21"/>
      <c r="P1129" s="21"/>
    </row>
    <row r="1130" spans="1:17" s="52" customFormat="1" ht="39.950000000000003" customHeight="1">
      <c r="A1130" s="9">
        <v>4</v>
      </c>
      <c r="B1130" s="207">
        <v>4722</v>
      </c>
      <c r="C1130" s="11" t="s">
        <v>527</v>
      </c>
      <c r="D1130" s="11" t="s">
        <v>528</v>
      </c>
      <c r="E1130" s="12" t="s">
        <v>524</v>
      </c>
      <c r="F1130" s="30" t="s">
        <v>17</v>
      </c>
      <c r="G1130" s="30"/>
      <c r="H1130" s="30"/>
      <c r="I1130" s="49" t="s">
        <v>255</v>
      </c>
      <c r="J1130" s="31"/>
      <c r="K1130" s="32">
        <v>1</v>
      </c>
      <c r="L1130" s="32"/>
      <c r="M1130" s="33"/>
      <c r="N1130" s="33"/>
      <c r="O1130" s="21"/>
      <c r="P1130" s="21"/>
    </row>
    <row r="1131" spans="1:17" s="52" customFormat="1" ht="39.950000000000003" customHeight="1">
      <c r="A1131" s="9">
        <v>5</v>
      </c>
      <c r="B1131" s="207">
        <v>5641</v>
      </c>
      <c r="C1131" s="185" t="s">
        <v>1058</v>
      </c>
      <c r="D1131" s="50" t="s">
        <v>1057</v>
      </c>
      <c r="E1131" s="51" t="s">
        <v>524</v>
      </c>
      <c r="F1131" s="30" t="s">
        <v>78</v>
      </c>
      <c r="G1131" s="30"/>
      <c r="H1131" s="30"/>
      <c r="I1131" s="49" t="s">
        <v>255</v>
      </c>
      <c r="J1131" s="31"/>
      <c r="K1131" s="32">
        <v>1</v>
      </c>
      <c r="L1131" s="32"/>
      <c r="M1131" s="33"/>
      <c r="N1131" s="33"/>
      <c r="O1131" s="21"/>
      <c r="P1131" s="21"/>
      <c r="Q1131" s="21"/>
    </row>
    <row r="1132" spans="1:17" s="52" customFormat="1" ht="39.950000000000003" customHeight="1">
      <c r="A1132" s="9">
        <v>6</v>
      </c>
      <c r="B1132" s="207">
        <v>4871</v>
      </c>
      <c r="C1132" s="11" t="s">
        <v>525</v>
      </c>
      <c r="D1132" s="11" t="s">
        <v>526</v>
      </c>
      <c r="E1132" s="12" t="s">
        <v>524</v>
      </c>
      <c r="F1132" s="30" t="s">
        <v>17</v>
      </c>
      <c r="G1132" s="30"/>
      <c r="H1132" s="30"/>
      <c r="I1132" s="47" t="s">
        <v>132</v>
      </c>
      <c r="J1132" s="31"/>
      <c r="K1132" s="32">
        <v>1</v>
      </c>
      <c r="L1132" s="32">
        <v>1</v>
      </c>
      <c r="M1132" s="33"/>
      <c r="N1132" s="33"/>
      <c r="O1132" s="21"/>
      <c r="P1132" s="21"/>
    </row>
    <row r="1133" spans="1:17" s="52" customFormat="1" ht="39.950000000000003" customHeight="1">
      <c r="A1133" s="9">
        <v>7</v>
      </c>
      <c r="B1133" s="207">
        <v>5983</v>
      </c>
      <c r="C1133" s="185" t="s">
        <v>1576</v>
      </c>
      <c r="D1133" s="50" t="s">
        <v>1577</v>
      </c>
      <c r="E1133" s="51" t="s">
        <v>524</v>
      </c>
      <c r="F1133" s="30" t="s">
        <v>78</v>
      </c>
      <c r="G1133" s="30"/>
      <c r="H1133" s="30"/>
      <c r="I1133" s="47" t="s">
        <v>132</v>
      </c>
      <c r="J1133" s="31"/>
      <c r="K1133" s="32">
        <v>1</v>
      </c>
      <c r="L1133" s="32">
        <v>1</v>
      </c>
      <c r="M1133" s="33"/>
      <c r="N1133" s="33"/>
      <c r="O1133" s="21"/>
      <c r="P1133" s="21"/>
      <c r="Q1133" s="21"/>
    </row>
    <row r="1134" spans="1:17" s="52" customFormat="1" ht="39.950000000000003" customHeight="1">
      <c r="A1134" s="9">
        <v>8</v>
      </c>
      <c r="B1134" s="207">
        <v>5775</v>
      </c>
      <c r="C1134" s="185" t="s">
        <v>1243</v>
      </c>
      <c r="D1134" s="50" t="s">
        <v>1244</v>
      </c>
      <c r="E1134" s="51" t="s">
        <v>162</v>
      </c>
      <c r="F1134" s="30">
        <v>7.5</v>
      </c>
      <c r="G1134" s="30">
        <v>2.5</v>
      </c>
      <c r="H1134" s="30">
        <f t="shared" ref="H1134" si="455">IF(G1134&gt;0,(G1134*1.5)+F1134,"YOK")</f>
        <v>11.25</v>
      </c>
      <c r="I1134" s="49" t="s">
        <v>797</v>
      </c>
      <c r="J1134" s="31"/>
      <c r="K1134" s="32">
        <v>1</v>
      </c>
      <c r="L1134" s="32"/>
      <c r="M1134" s="33"/>
      <c r="N1134" s="33"/>
      <c r="O1134" s="21"/>
      <c r="P1134" s="21"/>
    </row>
    <row r="1135" spans="1:17" s="52" customFormat="1" ht="39.950000000000003" customHeight="1">
      <c r="A1135" s="9">
        <v>9</v>
      </c>
      <c r="B1135" s="207">
        <v>5482</v>
      </c>
      <c r="C1135" s="11" t="s">
        <v>855</v>
      </c>
      <c r="D1135" s="11" t="s">
        <v>856</v>
      </c>
      <c r="E1135" s="12" t="s">
        <v>349</v>
      </c>
      <c r="F1135" s="30">
        <v>7.5</v>
      </c>
      <c r="G1135" s="30">
        <v>2.5</v>
      </c>
      <c r="H1135" s="30">
        <f t="shared" ref="H1135:H1145" si="456">IF(G1135&gt;0,(G1135*1.5)+F1135,"YOK")</f>
        <v>11.25</v>
      </c>
      <c r="I1135" s="49" t="s">
        <v>798</v>
      </c>
      <c r="J1135" s="31"/>
      <c r="K1135" s="32">
        <v>1</v>
      </c>
      <c r="L1135" s="32"/>
      <c r="M1135" s="33"/>
      <c r="N1135" s="33"/>
      <c r="O1135" s="21"/>
      <c r="P1135" s="21"/>
    </row>
    <row r="1136" spans="1:17" s="52" customFormat="1" ht="39.950000000000003" customHeight="1">
      <c r="A1136" s="9">
        <v>10</v>
      </c>
      <c r="B1136" s="207">
        <v>5871</v>
      </c>
      <c r="C1136" s="11" t="s">
        <v>1387</v>
      </c>
      <c r="D1136" s="11" t="s">
        <v>1386</v>
      </c>
      <c r="E1136" s="12" t="s">
        <v>349</v>
      </c>
      <c r="F1136" s="30">
        <v>7.5</v>
      </c>
      <c r="G1136" s="30">
        <v>2.5</v>
      </c>
      <c r="H1136" s="30">
        <f t="shared" si="456"/>
        <v>11.25</v>
      </c>
      <c r="I1136" s="191" t="s">
        <v>798</v>
      </c>
      <c r="J1136" s="31"/>
      <c r="K1136" s="32">
        <v>1</v>
      </c>
      <c r="L1136" s="32"/>
      <c r="M1136" s="33"/>
      <c r="N1136" s="33"/>
      <c r="O1136" s="21"/>
      <c r="P1136" s="21"/>
    </row>
    <row r="1137" spans="1:17" s="52" customFormat="1" ht="39.950000000000003" customHeight="1">
      <c r="A1137" s="9">
        <v>11</v>
      </c>
      <c r="B1137" s="207">
        <v>5965</v>
      </c>
      <c r="C1137" s="11" t="s">
        <v>1549</v>
      </c>
      <c r="D1137" s="11" t="s">
        <v>1548</v>
      </c>
      <c r="E1137" s="12" t="s">
        <v>349</v>
      </c>
      <c r="F1137" s="30">
        <v>7.5</v>
      </c>
      <c r="G1137" s="30">
        <v>2.5</v>
      </c>
      <c r="H1137" s="30">
        <f t="shared" ref="H1137" si="457">IF(G1137&gt;0,(G1137*1.5)+F1137,"YOK")</f>
        <v>11.25</v>
      </c>
      <c r="I1137" s="191" t="s">
        <v>798</v>
      </c>
      <c r="J1137" s="31"/>
      <c r="K1137" s="32">
        <v>1</v>
      </c>
      <c r="L1137" s="32"/>
      <c r="M1137" s="33"/>
      <c r="N1137" s="33"/>
      <c r="O1137" s="21"/>
      <c r="P1137" s="21"/>
    </row>
    <row r="1138" spans="1:17" s="52" customFormat="1" ht="39.950000000000003" customHeight="1">
      <c r="A1138" s="9">
        <v>12</v>
      </c>
      <c r="B1138" s="207">
        <v>5698</v>
      </c>
      <c r="C1138" s="185" t="s">
        <v>1161</v>
      </c>
      <c r="D1138" s="50" t="s">
        <v>1162</v>
      </c>
      <c r="E1138" s="51" t="s">
        <v>349</v>
      </c>
      <c r="F1138" s="30">
        <v>7.5</v>
      </c>
      <c r="G1138" s="30">
        <v>2.5</v>
      </c>
      <c r="H1138" s="30">
        <f t="shared" ref="H1138" si="458">IF(G1138&gt;0,(G1138*1.5)+F1138,"YOK")</f>
        <v>11.25</v>
      </c>
      <c r="I1138" s="191" t="s">
        <v>798</v>
      </c>
      <c r="J1138" s="31"/>
      <c r="K1138" s="32">
        <v>1</v>
      </c>
      <c r="L1138" s="32"/>
      <c r="M1138" s="33"/>
      <c r="N1138" s="33"/>
      <c r="O1138" s="21"/>
      <c r="P1138" s="21"/>
      <c r="Q1138" s="21"/>
    </row>
    <row r="1139" spans="1:17" s="52" customFormat="1" ht="39.950000000000003" customHeight="1">
      <c r="A1139" s="9">
        <v>13</v>
      </c>
      <c r="B1139" s="207">
        <v>6105</v>
      </c>
      <c r="C1139" s="185" t="s">
        <v>1839</v>
      </c>
      <c r="D1139" s="50" t="s">
        <v>1840</v>
      </c>
      <c r="E1139" s="51" t="s">
        <v>349</v>
      </c>
      <c r="F1139" s="30">
        <v>7.5</v>
      </c>
      <c r="G1139" s="30">
        <v>2.5</v>
      </c>
      <c r="H1139" s="30">
        <f t="shared" ref="H1139" si="459">IF(G1139&gt;0,(G1139*1.5)+F1139,"YOK")</f>
        <v>11.25</v>
      </c>
      <c r="I1139" s="191" t="s">
        <v>798</v>
      </c>
      <c r="J1139" s="31"/>
      <c r="K1139" s="32">
        <v>1</v>
      </c>
      <c r="L1139" s="32"/>
      <c r="M1139" s="33"/>
      <c r="N1139" s="33"/>
      <c r="O1139" s="21"/>
      <c r="P1139" s="21"/>
      <c r="Q1139" s="21"/>
    </row>
    <row r="1140" spans="1:17" s="52" customFormat="1" ht="39.950000000000003" customHeight="1">
      <c r="A1140" s="9">
        <v>14</v>
      </c>
      <c r="B1140" s="207">
        <v>5741</v>
      </c>
      <c r="C1140" s="11" t="s">
        <v>1196</v>
      </c>
      <c r="D1140" s="11" t="s">
        <v>1197</v>
      </c>
      <c r="E1140" s="12" t="s">
        <v>298</v>
      </c>
      <c r="F1140" s="30">
        <v>7.5</v>
      </c>
      <c r="G1140" s="30">
        <v>2.5</v>
      </c>
      <c r="H1140" s="30">
        <f t="shared" ref="H1140" si="460">IF(G1140&gt;0,(G1140*1.5)+F1140,"YOK")</f>
        <v>11.25</v>
      </c>
      <c r="I1140" s="49" t="s">
        <v>798</v>
      </c>
      <c r="J1140" s="31"/>
      <c r="K1140" s="32">
        <v>1</v>
      </c>
      <c r="L1140" s="32"/>
      <c r="M1140" s="33"/>
      <c r="N1140" s="33"/>
      <c r="O1140" s="21"/>
      <c r="P1140" s="21"/>
    </row>
    <row r="1141" spans="1:17" s="52" customFormat="1" ht="39.950000000000003" customHeight="1">
      <c r="A1141" s="9">
        <v>15</v>
      </c>
      <c r="B1141" s="207">
        <v>5191</v>
      </c>
      <c r="C1141" s="11" t="s">
        <v>529</v>
      </c>
      <c r="D1141" s="11" t="s">
        <v>530</v>
      </c>
      <c r="E1141" s="12" t="s">
        <v>298</v>
      </c>
      <c r="F1141" s="30">
        <v>7.5</v>
      </c>
      <c r="G1141" s="30">
        <v>2.5</v>
      </c>
      <c r="H1141" s="30">
        <f t="shared" si="456"/>
        <v>11.25</v>
      </c>
      <c r="I1141" s="49" t="s">
        <v>798</v>
      </c>
      <c r="J1141" s="31"/>
      <c r="K1141" s="32">
        <v>1</v>
      </c>
      <c r="L1141" s="32"/>
      <c r="M1141" s="28"/>
      <c r="N1141"/>
      <c r="O1141"/>
      <c r="P1141" s="21"/>
    </row>
    <row r="1142" spans="1:17" s="52" customFormat="1" ht="39.950000000000003" customHeight="1">
      <c r="A1142" s="9">
        <v>16</v>
      </c>
      <c r="B1142" s="207">
        <v>5382</v>
      </c>
      <c r="C1142" s="11" t="s">
        <v>761</v>
      </c>
      <c r="D1142" s="11" t="s">
        <v>760</v>
      </c>
      <c r="E1142" s="12" t="s">
        <v>512</v>
      </c>
      <c r="F1142" s="30">
        <v>7.5</v>
      </c>
      <c r="G1142" s="30">
        <v>2.5</v>
      </c>
      <c r="H1142" s="30">
        <f t="shared" si="456"/>
        <v>11.25</v>
      </c>
      <c r="I1142" s="49" t="s">
        <v>798</v>
      </c>
      <c r="J1142" s="31"/>
      <c r="K1142" s="32">
        <v>1</v>
      </c>
      <c r="L1142" s="32"/>
      <c r="M1142" s="28"/>
      <c r="N1142" s="33"/>
      <c r="O1142" s="21"/>
      <c r="P1142" s="21"/>
    </row>
    <row r="1143" spans="1:17" s="52" customFormat="1" ht="39.950000000000003" customHeight="1">
      <c r="A1143" s="9">
        <v>17</v>
      </c>
      <c r="B1143" s="207">
        <v>6173</v>
      </c>
      <c r="C1143" s="11" t="s">
        <v>1341</v>
      </c>
      <c r="D1143" s="11" t="s">
        <v>1342</v>
      </c>
      <c r="E1143" s="12" t="s">
        <v>512</v>
      </c>
      <c r="F1143" s="30">
        <v>7.5</v>
      </c>
      <c r="G1143" s="30">
        <v>2.5</v>
      </c>
      <c r="H1143" s="30">
        <f t="shared" si="456"/>
        <v>11.25</v>
      </c>
      <c r="I1143" s="49" t="s">
        <v>798</v>
      </c>
      <c r="J1143" s="31"/>
      <c r="K1143" s="32">
        <v>1</v>
      </c>
      <c r="L1143" s="32"/>
      <c r="M1143" s="33"/>
      <c r="N1143" s="33"/>
      <c r="O1143" s="21"/>
      <c r="P1143" s="21"/>
    </row>
    <row r="1144" spans="1:17" s="52" customFormat="1" ht="39.950000000000003" customHeight="1">
      <c r="A1144" s="9">
        <v>18</v>
      </c>
      <c r="B1144" s="207">
        <v>5964</v>
      </c>
      <c r="C1144" s="11" t="s">
        <v>1546</v>
      </c>
      <c r="D1144" s="11" t="s">
        <v>1547</v>
      </c>
      <c r="E1144" s="12" t="s">
        <v>512</v>
      </c>
      <c r="F1144" s="30">
        <v>7.5</v>
      </c>
      <c r="G1144" s="30">
        <v>2.5</v>
      </c>
      <c r="H1144" s="30">
        <f t="shared" si="456"/>
        <v>11.25</v>
      </c>
      <c r="I1144" s="49" t="s">
        <v>798</v>
      </c>
      <c r="J1144" s="31"/>
      <c r="K1144" s="32">
        <v>1</v>
      </c>
      <c r="L1144" s="32"/>
      <c r="M1144" s="33"/>
      <c r="N1144" s="33"/>
      <c r="O1144" s="21"/>
      <c r="P1144" s="21"/>
    </row>
    <row r="1145" spans="1:17" s="52" customFormat="1" ht="39.950000000000003" customHeight="1">
      <c r="A1145" s="9">
        <v>19</v>
      </c>
      <c r="B1145" s="207">
        <v>4468</v>
      </c>
      <c r="C1145" s="11" t="s">
        <v>522</v>
      </c>
      <c r="D1145" s="11" t="s">
        <v>523</v>
      </c>
      <c r="E1145" s="12" t="s">
        <v>512</v>
      </c>
      <c r="F1145" s="30">
        <v>7.5</v>
      </c>
      <c r="G1145" s="30">
        <v>2.5</v>
      </c>
      <c r="H1145" s="30">
        <f t="shared" si="456"/>
        <v>11.25</v>
      </c>
      <c r="I1145" s="191" t="s">
        <v>798</v>
      </c>
      <c r="J1145" s="31"/>
      <c r="K1145" s="32">
        <v>1</v>
      </c>
      <c r="L1145" s="32"/>
      <c r="M1145" s="33"/>
      <c r="N1145"/>
      <c r="O1145" s="21"/>
      <c r="P1145" s="21"/>
    </row>
    <row r="1146" spans="1:17" s="52" customFormat="1" ht="39.950000000000003" customHeight="1">
      <c r="A1146" s="9">
        <v>20</v>
      </c>
      <c r="B1146" s="207">
        <v>6324</v>
      </c>
      <c r="C1146" s="231" t="s">
        <v>2350</v>
      </c>
      <c r="D1146" s="11" t="s">
        <v>2351</v>
      </c>
      <c r="E1146" s="12" t="s">
        <v>512</v>
      </c>
      <c r="F1146" s="30">
        <v>7.5</v>
      </c>
      <c r="G1146" s="30">
        <v>2.5</v>
      </c>
      <c r="H1146" s="30">
        <f t="shared" ref="H1146" si="461">IF(G1146&gt;0,(G1146*1.5)+F1146,"YOK")</f>
        <v>11.25</v>
      </c>
      <c r="I1146" s="191" t="s">
        <v>798</v>
      </c>
      <c r="J1146" s="31"/>
      <c r="K1146" s="32">
        <v>1</v>
      </c>
      <c r="L1146" s="32"/>
      <c r="M1146" s="33"/>
      <c r="N1146"/>
      <c r="O1146" s="21"/>
      <c r="P1146" s="21"/>
    </row>
    <row r="1147" spans="1:17" s="52" customFormat="1" ht="39.950000000000003" customHeight="1">
      <c r="A1147" s="9">
        <v>21</v>
      </c>
      <c r="B1147" s="207">
        <v>5422</v>
      </c>
      <c r="C1147" s="185" t="s">
        <v>812</v>
      </c>
      <c r="D1147" s="50" t="s">
        <v>813</v>
      </c>
      <c r="E1147" s="51" t="s">
        <v>512</v>
      </c>
      <c r="F1147" s="30">
        <v>7.5</v>
      </c>
      <c r="G1147" s="30">
        <v>2.5</v>
      </c>
      <c r="H1147" s="30">
        <f t="shared" ref="H1147" si="462">IF(G1147&gt;0,(G1147*1.5)+F1147,"YOK")</f>
        <v>11.25</v>
      </c>
      <c r="I1147" s="191" t="s">
        <v>798</v>
      </c>
      <c r="J1147" s="31"/>
      <c r="K1147" s="32">
        <v>1</v>
      </c>
      <c r="L1147" s="32"/>
      <c r="M1147" s="33"/>
      <c r="N1147" s="33"/>
      <c r="O1147" s="21"/>
      <c r="P1147" s="21"/>
    </row>
    <row r="1148" spans="1:17" s="52" customFormat="1" ht="39.950000000000003" customHeight="1">
      <c r="A1148" s="9">
        <v>22</v>
      </c>
      <c r="B1148" s="207">
        <v>5642</v>
      </c>
      <c r="C1148" s="185" t="s">
        <v>1063</v>
      </c>
      <c r="D1148" s="50" t="s">
        <v>1064</v>
      </c>
      <c r="E1148" s="12" t="s">
        <v>165</v>
      </c>
      <c r="F1148" s="30">
        <v>7.5</v>
      </c>
      <c r="G1148" s="30">
        <v>2.5</v>
      </c>
      <c r="H1148" s="30">
        <f>IF(G1148&gt;0,(G1148*1.5)+F1148,"YOK")</f>
        <v>11.25</v>
      </c>
      <c r="I1148" s="49" t="s">
        <v>797</v>
      </c>
      <c r="J1148" s="31"/>
      <c r="K1148" s="32">
        <v>1</v>
      </c>
      <c r="L1148" s="32"/>
      <c r="M1148" s="33"/>
      <c r="N1148" s="33"/>
      <c r="O1148" s="21"/>
      <c r="P1148" s="21"/>
      <c r="Q1148" s="21"/>
    </row>
    <row r="1149" spans="1:17" s="52" customFormat="1" ht="39.950000000000003" customHeight="1">
      <c r="A1149" s="9">
        <v>23</v>
      </c>
      <c r="B1149" s="207">
        <v>5705</v>
      </c>
      <c r="C1149" s="185" t="s">
        <v>1166</v>
      </c>
      <c r="D1149" s="50" t="s">
        <v>1165</v>
      </c>
      <c r="E1149" s="12" t="s">
        <v>165</v>
      </c>
      <c r="F1149" s="30">
        <v>7.5</v>
      </c>
      <c r="G1149" s="30">
        <v>2.5</v>
      </c>
      <c r="H1149" s="30">
        <f t="shared" ref="H1149" si="463">IF(G1149&gt;0,(G1149*1.5)+F1149,"YOK")</f>
        <v>11.25</v>
      </c>
      <c r="I1149" s="49" t="s">
        <v>797</v>
      </c>
      <c r="J1149" s="31"/>
      <c r="K1149" s="32">
        <v>1</v>
      </c>
      <c r="L1149" s="32"/>
      <c r="M1149" s="33"/>
      <c r="N1149" s="33"/>
      <c r="O1149" s="21"/>
      <c r="P1149" s="21"/>
    </row>
    <row r="1150" spans="1:17" s="52" customFormat="1" ht="39.950000000000003" customHeight="1">
      <c r="A1150" s="9">
        <v>24</v>
      </c>
      <c r="B1150" s="207">
        <v>5979</v>
      </c>
      <c r="C1150" s="11" t="s">
        <v>1562</v>
      </c>
      <c r="D1150" s="11" t="s">
        <v>1563</v>
      </c>
      <c r="E1150" s="12" t="s">
        <v>165</v>
      </c>
      <c r="F1150" s="30">
        <v>7.5</v>
      </c>
      <c r="G1150" s="30">
        <v>2.5</v>
      </c>
      <c r="H1150" s="30">
        <v>11.25</v>
      </c>
      <c r="I1150" s="49" t="s">
        <v>797</v>
      </c>
      <c r="J1150" s="31"/>
      <c r="K1150" s="32">
        <v>1</v>
      </c>
      <c r="L1150" s="32"/>
      <c r="M1150" s="33"/>
      <c r="N1150"/>
      <c r="O1150" s="21"/>
      <c r="P1150" s="21"/>
    </row>
    <row r="1151" spans="1:17" s="52" customFormat="1" ht="39.950000000000003" customHeight="1">
      <c r="A1151" s="9">
        <v>25</v>
      </c>
      <c r="B1151" s="207">
        <v>6102</v>
      </c>
      <c r="C1151" s="185" t="s">
        <v>1823</v>
      </c>
      <c r="D1151" s="50" t="s">
        <v>1824</v>
      </c>
      <c r="E1151" s="12" t="s">
        <v>165</v>
      </c>
      <c r="F1151" s="30">
        <v>7.5</v>
      </c>
      <c r="G1151" s="30">
        <v>2.5</v>
      </c>
      <c r="H1151" s="30">
        <f t="shared" ref="H1151" si="464">IF(G1151&gt;0,(G1151*1.5)+F1151,"YOK")</f>
        <v>11.25</v>
      </c>
      <c r="I1151" s="49" t="s">
        <v>797</v>
      </c>
      <c r="J1151" s="31"/>
      <c r="K1151" s="32">
        <v>1</v>
      </c>
      <c r="L1151" s="32"/>
      <c r="M1151" s="33"/>
      <c r="N1151"/>
      <c r="O1151" s="21"/>
      <c r="P1151" s="21"/>
    </row>
    <row r="1152" spans="1:17" s="52" customFormat="1" ht="39.950000000000003" customHeight="1">
      <c r="A1152" s="9">
        <v>26</v>
      </c>
      <c r="B1152" s="207">
        <v>6106</v>
      </c>
      <c r="C1152" s="185" t="s">
        <v>1841</v>
      </c>
      <c r="D1152" s="50" t="s">
        <v>1842</v>
      </c>
      <c r="E1152" s="12" t="s">
        <v>165</v>
      </c>
      <c r="F1152" s="30">
        <v>7.5</v>
      </c>
      <c r="G1152" s="30">
        <v>2.5</v>
      </c>
      <c r="H1152" s="30">
        <f t="shared" ref="H1152" si="465">IF(G1152&gt;0,(G1152*1.5)+F1152,"YOK")</f>
        <v>11.25</v>
      </c>
      <c r="I1152" s="49" t="s">
        <v>797</v>
      </c>
      <c r="J1152" s="31"/>
      <c r="K1152" s="32">
        <v>1</v>
      </c>
      <c r="L1152" s="32"/>
      <c r="M1152" s="33"/>
      <c r="N1152"/>
      <c r="O1152" s="21"/>
      <c r="P1152" s="21"/>
    </row>
    <row r="1153" spans="1:17" s="52" customFormat="1" ht="39.950000000000003" customHeight="1">
      <c r="A1153" s="9">
        <v>27</v>
      </c>
      <c r="B1153" s="207">
        <v>6302</v>
      </c>
      <c r="C1153" s="185" t="s">
        <v>2326</v>
      </c>
      <c r="D1153" s="50" t="s">
        <v>2327</v>
      </c>
      <c r="E1153" s="12" t="s">
        <v>165</v>
      </c>
      <c r="F1153" s="30">
        <v>7.5</v>
      </c>
      <c r="G1153" s="30">
        <v>2.5</v>
      </c>
      <c r="H1153" s="30">
        <f>IF(G1153&gt;0,(G1153*1.5)+F1153,"YOK")</f>
        <v>11.25</v>
      </c>
      <c r="I1153" s="49" t="s">
        <v>797</v>
      </c>
      <c r="J1153" s="31"/>
      <c r="K1153" s="32">
        <v>1</v>
      </c>
      <c r="L1153" s="32"/>
      <c r="M1153" s="33"/>
      <c r="N1153"/>
      <c r="O1153" s="21"/>
      <c r="P1153" s="21"/>
    </row>
    <row r="1154" spans="1:17" s="52" customFormat="1" ht="39.950000000000003" customHeight="1">
      <c r="A1154" s="9">
        <v>28</v>
      </c>
      <c r="B1154" s="207">
        <v>6101</v>
      </c>
      <c r="C1154" s="185" t="s">
        <v>1821</v>
      </c>
      <c r="D1154" s="50" t="s">
        <v>1822</v>
      </c>
      <c r="E1154" s="51" t="s">
        <v>162</v>
      </c>
      <c r="F1154" s="30">
        <v>7.5</v>
      </c>
      <c r="G1154" s="30">
        <v>2.5</v>
      </c>
      <c r="H1154" s="30">
        <f>IF(G1154&gt;0,(G1154*1.5)+F1154,"YOK")</f>
        <v>11.25</v>
      </c>
      <c r="I1154" s="49" t="s">
        <v>797</v>
      </c>
      <c r="J1154" s="31"/>
      <c r="K1154" s="32">
        <v>1</v>
      </c>
      <c r="L1154" s="32"/>
      <c r="M1154" s="33"/>
      <c r="N1154"/>
      <c r="O1154" s="21"/>
      <c r="P1154" s="21"/>
    </row>
    <row r="1155" spans="1:17" s="52" customFormat="1" ht="39.950000000000003" customHeight="1">
      <c r="A1155" s="9">
        <v>29</v>
      </c>
      <c r="B1155" s="207">
        <v>6373</v>
      </c>
      <c r="C1155" s="185" t="s">
        <v>2444</v>
      </c>
      <c r="D1155" s="50" t="s">
        <v>2445</v>
      </c>
      <c r="E1155" s="51" t="s">
        <v>349</v>
      </c>
      <c r="F1155" s="30">
        <v>7.5</v>
      </c>
      <c r="G1155" s="30">
        <v>2.5</v>
      </c>
      <c r="H1155" s="30">
        <f>IF(G1155&gt;0,(G1155*1.5)+F1155,"YOK")</f>
        <v>11.25</v>
      </c>
      <c r="I1155" s="47" t="s">
        <v>132</v>
      </c>
      <c r="J1155" s="31"/>
      <c r="K1155" s="32">
        <v>1</v>
      </c>
      <c r="L1155" s="32">
        <v>1</v>
      </c>
      <c r="M1155" s="33"/>
      <c r="N1155" s="33"/>
      <c r="O1155" s="21"/>
      <c r="P1155" s="21"/>
      <c r="Q1155" s="21"/>
    </row>
    <row r="1156" spans="1:17" s="21" customFormat="1" ht="39.950000000000003" customHeight="1">
      <c r="A1156" s="9">
        <v>30</v>
      </c>
      <c r="B1156" s="207">
        <v>5128</v>
      </c>
      <c r="C1156" s="185" t="s">
        <v>513</v>
      </c>
      <c r="D1156" s="50" t="s">
        <v>514</v>
      </c>
      <c r="E1156" s="12" t="s">
        <v>512</v>
      </c>
      <c r="F1156" s="30">
        <v>7.5</v>
      </c>
      <c r="G1156" s="30">
        <v>2.5</v>
      </c>
      <c r="H1156" s="30">
        <f t="shared" ref="H1156" si="466">IF(G1156&gt;0,(G1156*1.5)+F1156,"YOK")</f>
        <v>11.25</v>
      </c>
      <c r="I1156" s="47" t="s">
        <v>132</v>
      </c>
      <c r="J1156" s="31"/>
      <c r="K1156" s="32">
        <v>1</v>
      </c>
      <c r="L1156" s="32">
        <v>1</v>
      </c>
      <c r="M1156" s="33"/>
      <c r="N1156" s="33"/>
    </row>
    <row r="1157" spans="1:17" s="52" customFormat="1" ht="39.950000000000003" customHeight="1">
      <c r="A1157" s="9">
        <v>31</v>
      </c>
      <c r="B1157" s="207">
        <v>6479</v>
      </c>
      <c r="C1157" s="231" t="s">
        <v>2618</v>
      </c>
      <c r="D1157" s="11" t="s">
        <v>2619</v>
      </c>
      <c r="E1157" s="12" t="s">
        <v>512</v>
      </c>
      <c r="F1157" s="30">
        <v>7.5</v>
      </c>
      <c r="G1157" s="30">
        <v>2.5</v>
      </c>
      <c r="H1157" s="30">
        <f>IF(G1157&gt;0,(G1157*1.5)+F1157,"YOK")</f>
        <v>11.25</v>
      </c>
      <c r="I1157" s="47" t="s">
        <v>132</v>
      </c>
      <c r="J1157" s="31"/>
      <c r="K1157" s="32">
        <v>1</v>
      </c>
      <c r="L1157" s="32">
        <v>1</v>
      </c>
      <c r="M1157" s="33"/>
      <c r="N1157"/>
      <c r="O1157" s="21"/>
      <c r="P1157" s="21"/>
    </row>
    <row r="1158" spans="1:17" s="52" customFormat="1" ht="39.950000000000003" customHeight="1">
      <c r="A1158" s="9">
        <v>32</v>
      </c>
      <c r="B1158" s="207">
        <v>6370</v>
      </c>
      <c r="C1158" s="231" t="s">
        <v>2442</v>
      </c>
      <c r="D1158" s="11" t="s">
        <v>2443</v>
      </c>
      <c r="E1158" s="12" t="s">
        <v>512</v>
      </c>
      <c r="F1158" s="30">
        <v>7.5</v>
      </c>
      <c r="G1158" s="30">
        <v>2.5</v>
      </c>
      <c r="H1158" s="30">
        <f>IF(G1158&gt;0,(G1158*1.5)+F1158,"YOK")</f>
        <v>11.25</v>
      </c>
      <c r="I1158" s="47" t="s">
        <v>132</v>
      </c>
      <c r="J1158" s="31"/>
      <c r="K1158" s="32">
        <v>1</v>
      </c>
      <c r="L1158" s="32">
        <v>1</v>
      </c>
      <c r="M1158" s="33"/>
      <c r="N1158"/>
      <c r="O1158" s="21"/>
      <c r="P1158" s="21"/>
    </row>
    <row r="1159" spans="1:17" s="52" customFormat="1" ht="39.950000000000003" customHeight="1">
      <c r="A1159" s="9">
        <v>33</v>
      </c>
      <c r="B1159" s="207">
        <v>6271</v>
      </c>
      <c r="C1159" s="11" t="s">
        <v>2186</v>
      </c>
      <c r="D1159" s="11" t="s">
        <v>2187</v>
      </c>
      <c r="E1159" s="12" t="s">
        <v>512</v>
      </c>
      <c r="F1159" s="30">
        <v>7.5</v>
      </c>
      <c r="G1159" s="30">
        <v>2.5</v>
      </c>
      <c r="H1159" s="30">
        <f t="shared" ref="H1159" si="467">IF(G1159&gt;0,(G1159*1.5)+F1159,"YOK")</f>
        <v>11.25</v>
      </c>
      <c r="I1159" s="47" t="s">
        <v>132</v>
      </c>
      <c r="J1159" s="31"/>
      <c r="K1159" s="32">
        <v>1</v>
      </c>
      <c r="L1159" s="32">
        <v>1</v>
      </c>
      <c r="M1159" s="33"/>
      <c r="N1159"/>
      <c r="O1159" s="21"/>
      <c r="P1159" s="21"/>
    </row>
    <row r="1160" spans="1:17" s="52" customFormat="1" ht="39.950000000000003" customHeight="1">
      <c r="A1160" s="9">
        <v>34</v>
      </c>
      <c r="B1160" s="207">
        <v>6034</v>
      </c>
      <c r="C1160" s="11" t="s">
        <v>1431</v>
      </c>
      <c r="D1160" s="11" t="s">
        <v>1478</v>
      </c>
      <c r="E1160" s="12" t="s">
        <v>512</v>
      </c>
      <c r="F1160" s="30">
        <v>7.5</v>
      </c>
      <c r="G1160" s="30">
        <v>2.5</v>
      </c>
      <c r="H1160" s="30">
        <f>IF(G1160&gt;0,(G1160*1.5)+F1160,"YOK")</f>
        <v>11.25</v>
      </c>
      <c r="I1160" s="47" t="s">
        <v>132</v>
      </c>
      <c r="J1160" s="31"/>
      <c r="K1160" s="32">
        <v>1</v>
      </c>
      <c r="L1160" s="32">
        <v>1</v>
      </c>
      <c r="M1160" s="33"/>
      <c r="N1160"/>
      <c r="O1160" s="21"/>
      <c r="P1160" s="21"/>
    </row>
    <row r="1161" spans="1:17" s="52" customFormat="1" ht="39.950000000000003" customHeight="1">
      <c r="A1161" s="9">
        <v>35</v>
      </c>
      <c r="B1161" s="207">
        <v>6274</v>
      </c>
      <c r="C1161" s="11" t="s">
        <v>2226</v>
      </c>
      <c r="D1161" s="11" t="s">
        <v>2227</v>
      </c>
      <c r="E1161" s="12" t="s">
        <v>512</v>
      </c>
      <c r="F1161" s="30">
        <v>7.5</v>
      </c>
      <c r="G1161" s="30">
        <v>2.5</v>
      </c>
      <c r="H1161" s="30">
        <f t="shared" ref="H1161" si="468">IF(G1161&gt;0,(G1161*1.5)+F1161,"YOK")</f>
        <v>11.25</v>
      </c>
      <c r="I1161" s="47" t="s">
        <v>132</v>
      </c>
      <c r="J1161" s="31"/>
      <c r="K1161" s="32">
        <v>1</v>
      </c>
      <c r="L1161" s="32">
        <v>1</v>
      </c>
      <c r="M1161" s="33"/>
      <c r="N1161" s="33"/>
      <c r="O1161" s="21"/>
      <c r="P1161" s="21"/>
    </row>
    <row r="1162" spans="1:17" s="52" customFormat="1" ht="39.950000000000003" customHeight="1">
      <c r="A1162" s="9">
        <v>36</v>
      </c>
      <c r="B1162" s="207">
        <v>6275</v>
      </c>
      <c r="C1162" s="11" t="s">
        <v>2228</v>
      </c>
      <c r="D1162" s="11" t="s">
        <v>2229</v>
      </c>
      <c r="E1162" s="12" t="s">
        <v>512</v>
      </c>
      <c r="F1162" s="30">
        <v>7.5</v>
      </c>
      <c r="G1162" s="30">
        <v>2.5</v>
      </c>
      <c r="H1162" s="30">
        <f t="shared" ref="H1162" si="469">IF(G1162&gt;0,(G1162*1.5)+F1162,"YOK")</f>
        <v>11.25</v>
      </c>
      <c r="I1162" s="47" t="s">
        <v>132</v>
      </c>
      <c r="J1162" s="31"/>
      <c r="K1162" s="32">
        <v>1</v>
      </c>
      <c r="L1162" s="32">
        <v>1</v>
      </c>
      <c r="M1162" s="33"/>
      <c r="N1162" s="33"/>
      <c r="O1162" s="21"/>
      <c r="P1162" s="21"/>
    </row>
    <row r="1163" spans="1:17" s="21" customFormat="1" ht="39.950000000000003" customHeight="1">
      <c r="A1163" s="9">
        <v>37</v>
      </c>
      <c r="B1163" s="207">
        <v>5193</v>
      </c>
      <c r="C1163" s="185" t="s">
        <v>515</v>
      </c>
      <c r="D1163" s="50" t="s">
        <v>516</v>
      </c>
      <c r="E1163" s="51" t="s">
        <v>306</v>
      </c>
      <c r="F1163" s="30">
        <v>7.5</v>
      </c>
      <c r="G1163" s="30">
        <v>2.5</v>
      </c>
      <c r="H1163" s="30">
        <f>IF(G1163&gt;0,(G1163*1.5)+F1163,"YOK")</f>
        <v>11.25</v>
      </c>
      <c r="I1163" s="47" t="s">
        <v>132</v>
      </c>
      <c r="J1163" s="31"/>
      <c r="K1163" s="32">
        <v>1</v>
      </c>
      <c r="L1163" s="32">
        <v>1</v>
      </c>
      <c r="M1163" s="33"/>
      <c r="N1163" s="33"/>
    </row>
    <row r="1164" spans="1:17" s="21" customFormat="1" ht="39.950000000000003" customHeight="1">
      <c r="A1164" s="9">
        <v>38</v>
      </c>
      <c r="B1164" s="207">
        <v>6249</v>
      </c>
      <c r="C1164" s="185" t="s">
        <v>517</v>
      </c>
      <c r="D1164" s="50" t="s">
        <v>518</v>
      </c>
      <c r="E1164" s="51" t="s">
        <v>306</v>
      </c>
      <c r="F1164" s="30">
        <v>7.5</v>
      </c>
      <c r="G1164" s="30">
        <v>2.5</v>
      </c>
      <c r="H1164" s="30">
        <f t="shared" ref="H1164" si="470">IF(G1164&gt;0,(G1164*1.5)+F1164,"YOK")</f>
        <v>11.25</v>
      </c>
      <c r="I1164" s="47" t="s">
        <v>132</v>
      </c>
      <c r="J1164" s="31"/>
      <c r="K1164" s="32">
        <v>1</v>
      </c>
      <c r="L1164" s="32">
        <v>1</v>
      </c>
      <c r="M1164" s="33"/>
      <c r="N1164" s="33"/>
    </row>
    <row r="1165" spans="1:17" s="52" customFormat="1" ht="39.950000000000003" customHeight="1">
      <c r="A1165" s="9">
        <v>39</v>
      </c>
      <c r="B1165" s="207">
        <v>6301</v>
      </c>
      <c r="C1165" s="185" t="s">
        <v>2324</v>
      </c>
      <c r="D1165" s="50" t="s">
        <v>2325</v>
      </c>
      <c r="E1165" s="51" t="s">
        <v>929</v>
      </c>
      <c r="F1165" s="30">
        <v>7.5</v>
      </c>
      <c r="G1165" s="30">
        <v>2.5</v>
      </c>
      <c r="H1165" s="30">
        <f t="shared" ref="H1165" si="471">IF(G1165&gt;0,(G1165*1.5)+F1165,"YOK")</f>
        <v>11.25</v>
      </c>
      <c r="I1165" s="47" t="s">
        <v>132</v>
      </c>
      <c r="J1165" s="31"/>
      <c r="K1165" s="32">
        <v>1</v>
      </c>
      <c r="L1165" s="32">
        <v>1</v>
      </c>
      <c r="M1165" s="33"/>
      <c r="N1165"/>
      <c r="O1165" s="21"/>
      <c r="P1165" s="21"/>
    </row>
    <row r="1166" spans="1:17" s="52" customFormat="1" ht="39.950000000000003" customHeight="1">
      <c r="A1166" s="9">
        <v>40</v>
      </c>
      <c r="B1166" s="207">
        <v>6661</v>
      </c>
      <c r="C1166" s="185" t="s">
        <v>2980</v>
      </c>
      <c r="D1166" s="50" t="s">
        <v>2981</v>
      </c>
      <c r="E1166" s="51" t="s">
        <v>929</v>
      </c>
      <c r="F1166" s="30">
        <v>7.5</v>
      </c>
      <c r="G1166" s="30">
        <v>2.5</v>
      </c>
      <c r="H1166" s="30">
        <f t="shared" ref="H1166:H1167" si="472">IF(G1166&gt;0,(G1166*1.5)+F1166,"YOK")</f>
        <v>11.25</v>
      </c>
      <c r="I1166" s="47" t="s">
        <v>132</v>
      </c>
      <c r="J1166" s="31"/>
      <c r="K1166" s="32">
        <v>1</v>
      </c>
      <c r="L1166" s="32">
        <v>1</v>
      </c>
      <c r="M1166" s="33"/>
      <c r="N1166"/>
      <c r="O1166" s="21"/>
      <c r="P1166" s="21"/>
    </row>
    <row r="1167" spans="1:17" s="52" customFormat="1" ht="39.950000000000003" customHeight="1">
      <c r="A1167" s="9">
        <v>41</v>
      </c>
      <c r="B1167" s="207">
        <v>6662</v>
      </c>
      <c r="C1167" s="185" t="s">
        <v>2982</v>
      </c>
      <c r="D1167" s="50" t="s">
        <v>2983</v>
      </c>
      <c r="E1167" s="51" t="s">
        <v>929</v>
      </c>
      <c r="F1167" s="30">
        <v>7.5</v>
      </c>
      <c r="G1167" s="30">
        <v>2.5</v>
      </c>
      <c r="H1167" s="30">
        <f t="shared" si="472"/>
        <v>11.25</v>
      </c>
      <c r="I1167" s="47" t="s">
        <v>132</v>
      </c>
      <c r="J1167" s="31"/>
      <c r="K1167" s="32">
        <v>1</v>
      </c>
      <c r="L1167" s="32">
        <v>1</v>
      </c>
      <c r="M1167" s="33"/>
      <c r="N1167"/>
      <c r="O1167" s="21"/>
      <c r="P1167" s="21"/>
    </row>
    <row r="1168" spans="1:17" s="52" customFormat="1" ht="39.950000000000003" customHeight="1">
      <c r="A1168" s="9">
        <v>42</v>
      </c>
      <c r="B1168" s="207">
        <v>5383</v>
      </c>
      <c r="C1168" s="11" t="s">
        <v>762</v>
      </c>
      <c r="D1168" s="11" t="s">
        <v>763</v>
      </c>
      <c r="E1168" s="12" t="s">
        <v>165</v>
      </c>
      <c r="F1168" s="30">
        <v>7.5</v>
      </c>
      <c r="G1168" s="30">
        <v>2.5</v>
      </c>
      <c r="H1168" s="30">
        <f t="shared" ref="H1168" si="473">IF(G1168&gt;0,(G1168*1.5)+F1168,"YOK")</f>
        <v>11.25</v>
      </c>
      <c r="I1168" s="47" t="s">
        <v>132</v>
      </c>
      <c r="J1168" s="31"/>
      <c r="K1168" s="32">
        <v>1</v>
      </c>
      <c r="L1168" s="32">
        <v>1</v>
      </c>
      <c r="M1168" s="33"/>
      <c r="N1168" s="33"/>
      <c r="O1168" s="21"/>
      <c r="P1168" s="21"/>
    </row>
    <row r="1169" spans="1:16" ht="39.950000000000003" customHeight="1">
      <c r="A1169" s="40"/>
      <c r="B1169" s="262" t="s">
        <v>531</v>
      </c>
      <c r="C1169" s="263"/>
      <c r="D1169" s="264"/>
      <c r="E1169" s="46"/>
      <c r="F1169" s="41"/>
      <c r="G1169" s="41"/>
      <c r="H1169" s="41"/>
      <c r="I1169" s="42"/>
      <c r="J1169" s="43">
        <f>SUM(J1127:J1168)</f>
        <v>0</v>
      </c>
      <c r="K1169" s="43">
        <f>SUM(K1127:K1168)</f>
        <v>42</v>
      </c>
      <c r="L1169" s="43">
        <f>SUM(L1127:L1168)</f>
        <v>16</v>
      </c>
      <c r="M1169" s="43">
        <f>SUM(M1127:M1168)</f>
        <v>0</v>
      </c>
      <c r="N1169" s="33"/>
      <c r="O1169" s="21"/>
      <c r="P1169" s="21"/>
    </row>
    <row r="1170" spans="1:16" s="52" customFormat="1" ht="39.950000000000003" customHeight="1">
      <c r="A1170" s="9">
        <v>1</v>
      </c>
      <c r="B1170" s="222" t="s">
        <v>979</v>
      </c>
      <c r="C1170" s="185" t="s">
        <v>2602</v>
      </c>
      <c r="D1170" s="50" t="s">
        <v>2603</v>
      </c>
      <c r="E1170" s="190" t="s">
        <v>521</v>
      </c>
      <c r="F1170" s="30" t="s">
        <v>17</v>
      </c>
      <c r="G1170" s="30"/>
      <c r="H1170" s="30"/>
      <c r="I1170" s="22" t="s">
        <v>1100</v>
      </c>
      <c r="J1170" s="31"/>
      <c r="K1170" s="32">
        <v>1</v>
      </c>
      <c r="L1170" s="32"/>
      <c r="M1170" s="33"/>
      <c r="N1170" s="33"/>
      <c r="O1170" s="21"/>
      <c r="P1170" s="21"/>
    </row>
    <row r="1171" spans="1:16" s="52" customFormat="1" ht="39.950000000000003" customHeight="1">
      <c r="A1171" s="9">
        <v>2</v>
      </c>
      <c r="B1171" s="207">
        <v>5928</v>
      </c>
      <c r="C1171" s="50" t="s">
        <v>1502</v>
      </c>
      <c r="D1171" s="50" t="s">
        <v>1503</v>
      </c>
      <c r="E1171" s="51" t="s">
        <v>510</v>
      </c>
      <c r="F1171" s="235" t="s">
        <v>17</v>
      </c>
      <c r="G1171" s="235"/>
      <c r="H1171" s="235"/>
      <c r="I1171" s="246" t="s">
        <v>255</v>
      </c>
      <c r="J1171" s="31"/>
      <c r="K1171" s="32">
        <v>1</v>
      </c>
      <c r="L1171" s="32"/>
      <c r="M1171" s="33"/>
      <c r="N1171" s="33"/>
      <c r="O1171" s="21"/>
      <c r="P1171" s="21"/>
    </row>
    <row r="1172" spans="1:16" s="52" customFormat="1" ht="39.950000000000003" customHeight="1">
      <c r="A1172" s="9">
        <v>3</v>
      </c>
      <c r="B1172" s="222" t="s">
        <v>979</v>
      </c>
      <c r="C1172" s="185" t="s">
        <v>3139</v>
      </c>
      <c r="D1172" s="185" t="s">
        <v>3140</v>
      </c>
      <c r="E1172" s="190" t="s">
        <v>510</v>
      </c>
      <c r="F1172" s="30" t="s">
        <v>17</v>
      </c>
      <c r="G1172" s="30"/>
      <c r="H1172" s="30"/>
      <c r="I1172" s="22" t="s">
        <v>1100</v>
      </c>
      <c r="J1172" s="31"/>
      <c r="K1172" s="32">
        <v>1</v>
      </c>
      <c r="L1172" s="32"/>
      <c r="M1172" s="242"/>
      <c r="N1172" s="242"/>
    </row>
    <row r="1173" spans="1:16" s="52" customFormat="1" ht="39.950000000000003" customHeight="1">
      <c r="A1173" s="9">
        <v>4</v>
      </c>
      <c r="B1173" s="222">
        <v>6823</v>
      </c>
      <c r="C1173" s="185" t="s">
        <v>3608</v>
      </c>
      <c r="D1173" s="185" t="s">
        <v>3609</v>
      </c>
      <c r="E1173" s="12" t="s">
        <v>524</v>
      </c>
      <c r="F1173" s="30" t="s">
        <v>17</v>
      </c>
      <c r="G1173" s="30"/>
      <c r="H1173" s="30"/>
      <c r="I1173" s="49" t="s">
        <v>255</v>
      </c>
      <c r="J1173" s="31"/>
      <c r="K1173" s="32">
        <v>1</v>
      </c>
      <c r="L1173" s="32"/>
      <c r="M1173" s="242"/>
      <c r="N1173" s="242"/>
    </row>
    <row r="1174" spans="1:16" s="52" customFormat="1" ht="39.950000000000003" customHeight="1">
      <c r="A1174" s="9">
        <v>5</v>
      </c>
      <c r="B1174" s="207">
        <v>4603</v>
      </c>
      <c r="C1174" s="50" t="s">
        <v>534</v>
      </c>
      <c r="D1174" s="50" t="s">
        <v>535</v>
      </c>
      <c r="E1174" s="51" t="s">
        <v>536</v>
      </c>
      <c r="F1174" s="30">
        <v>7.5</v>
      </c>
      <c r="G1174" s="30">
        <v>2.5</v>
      </c>
      <c r="H1174" s="30">
        <f>IF(G1174&gt;0,(G1174*1.5)+F1174,"YOK")</f>
        <v>11.25</v>
      </c>
      <c r="I1174" s="49" t="s">
        <v>790</v>
      </c>
      <c r="J1174" s="31"/>
      <c r="K1174" s="32">
        <v>1</v>
      </c>
      <c r="L1174" s="32"/>
      <c r="M1174" s="33"/>
      <c r="N1174" s="33"/>
      <c r="O1174" s="21"/>
      <c r="P1174" s="21"/>
    </row>
    <row r="1175" spans="1:16" s="52" customFormat="1" ht="39.950000000000003" customHeight="1">
      <c r="A1175" s="9">
        <v>6</v>
      </c>
      <c r="B1175" s="222" t="s">
        <v>979</v>
      </c>
      <c r="C1175" s="185" t="s">
        <v>3141</v>
      </c>
      <c r="D1175" s="185" t="s">
        <v>3142</v>
      </c>
      <c r="E1175" s="190" t="s">
        <v>533</v>
      </c>
      <c r="F1175" s="30">
        <v>7.5</v>
      </c>
      <c r="G1175" s="30">
        <v>2.5</v>
      </c>
      <c r="H1175" s="30">
        <f t="shared" ref="H1175:H1192" si="474">IF(G1175&gt;0,(G1175*1.5)+F1175,"YOK")</f>
        <v>11.25</v>
      </c>
      <c r="I1175" s="22" t="s">
        <v>1100</v>
      </c>
      <c r="J1175" s="31"/>
      <c r="K1175" s="32">
        <v>1</v>
      </c>
      <c r="L1175" s="32"/>
      <c r="M1175" s="242"/>
      <c r="N1175" s="242"/>
    </row>
    <row r="1176" spans="1:16" s="52" customFormat="1" ht="39.950000000000003" customHeight="1">
      <c r="A1176" s="9">
        <v>7</v>
      </c>
      <c r="B1176" s="222" t="s">
        <v>979</v>
      </c>
      <c r="C1176" s="185" t="s">
        <v>3143</v>
      </c>
      <c r="D1176" s="185" t="s">
        <v>3144</v>
      </c>
      <c r="E1176" s="190" t="s">
        <v>533</v>
      </c>
      <c r="F1176" s="30">
        <v>7.5</v>
      </c>
      <c r="G1176" s="30">
        <v>2.5</v>
      </c>
      <c r="H1176" s="30">
        <f t="shared" si="474"/>
        <v>11.25</v>
      </c>
      <c r="I1176" s="22" t="s">
        <v>1100</v>
      </c>
      <c r="J1176" s="31"/>
      <c r="K1176" s="32">
        <v>1</v>
      </c>
      <c r="L1176" s="32"/>
      <c r="M1176" s="242"/>
      <c r="N1176" s="242"/>
    </row>
    <row r="1177" spans="1:16" s="52" customFormat="1" ht="39.950000000000003" customHeight="1">
      <c r="A1177" s="9">
        <v>8</v>
      </c>
      <c r="B1177" s="222" t="s">
        <v>979</v>
      </c>
      <c r="C1177" s="185" t="s">
        <v>3145</v>
      </c>
      <c r="D1177" s="185" t="s">
        <v>3146</v>
      </c>
      <c r="E1177" s="190" t="s">
        <v>533</v>
      </c>
      <c r="F1177" s="30">
        <v>7.5</v>
      </c>
      <c r="G1177" s="30">
        <v>2.5</v>
      </c>
      <c r="H1177" s="30">
        <f t="shared" si="474"/>
        <v>11.25</v>
      </c>
      <c r="I1177" s="22" t="s">
        <v>1100</v>
      </c>
      <c r="J1177" s="31"/>
      <c r="K1177" s="32">
        <v>1</v>
      </c>
      <c r="L1177" s="32"/>
      <c r="M1177" s="242"/>
      <c r="N1177" s="242"/>
    </row>
    <row r="1178" spans="1:16" s="52" customFormat="1" ht="39.950000000000003" customHeight="1">
      <c r="A1178" s="9">
        <v>9</v>
      </c>
      <c r="B1178" s="222" t="s">
        <v>979</v>
      </c>
      <c r="C1178" s="185" t="s">
        <v>3147</v>
      </c>
      <c r="D1178" s="185" t="s">
        <v>3148</v>
      </c>
      <c r="E1178" s="190" t="s">
        <v>1621</v>
      </c>
      <c r="F1178" s="30">
        <v>7.5</v>
      </c>
      <c r="G1178" s="30">
        <v>2.5</v>
      </c>
      <c r="H1178" s="30">
        <f t="shared" si="474"/>
        <v>11.25</v>
      </c>
      <c r="I1178" s="22" t="s">
        <v>1100</v>
      </c>
      <c r="J1178" s="31"/>
      <c r="K1178" s="32">
        <v>1</v>
      </c>
      <c r="L1178" s="32"/>
      <c r="M1178" s="242"/>
      <c r="N1178" s="242"/>
    </row>
    <row r="1179" spans="1:16" s="52" customFormat="1" ht="39.950000000000003" customHeight="1">
      <c r="A1179" s="9">
        <v>10</v>
      </c>
      <c r="B1179" s="222" t="s">
        <v>979</v>
      </c>
      <c r="C1179" s="185" t="s">
        <v>3149</v>
      </c>
      <c r="D1179" s="185" t="s">
        <v>3150</v>
      </c>
      <c r="E1179" s="190" t="s">
        <v>1621</v>
      </c>
      <c r="F1179" s="30">
        <v>7.5</v>
      </c>
      <c r="G1179" s="30">
        <v>2.5</v>
      </c>
      <c r="H1179" s="30">
        <f t="shared" si="474"/>
        <v>11.25</v>
      </c>
      <c r="I1179" s="22" t="s">
        <v>1100</v>
      </c>
      <c r="J1179" s="31"/>
      <c r="K1179" s="32">
        <v>1</v>
      </c>
      <c r="L1179" s="32"/>
      <c r="M1179" s="242"/>
      <c r="N1179" s="242"/>
    </row>
    <row r="1180" spans="1:16" s="52" customFormat="1" ht="39.950000000000003" customHeight="1">
      <c r="A1180" s="9">
        <v>11</v>
      </c>
      <c r="B1180" s="222" t="s">
        <v>979</v>
      </c>
      <c r="C1180" s="185" t="s">
        <v>3151</v>
      </c>
      <c r="D1180" s="185" t="s">
        <v>3152</v>
      </c>
      <c r="E1180" s="190" t="s">
        <v>2730</v>
      </c>
      <c r="F1180" s="30">
        <v>0</v>
      </c>
      <c r="G1180" s="30">
        <v>0</v>
      </c>
      <c r="H1180" s="30" t="str">
        <f t="shared" si="474"/>
        <v>YOK</v>
      </c>
      <c r="I1180" s="224" t="s">
        <v>3671</v>
      </c>
      <c r="J1180" s="31">
        <v>1</v>
      </c>
      <c r="K1180" s="32">
        <v>0</v>
      </c>
      <c r="L1180" s="32"/>
      <c r="M1180" s="242"/>
      <c r="N1180" s="242"/>
    </row>
    <row r="1181" spans="1:16" s="52" customFormat="1" ht="39.950000000000003" customHeight="1">
      <c r="A1181" s="9">
        <v>12</v>
      </c>
      <c r="B1181" s="222" t="s">
        <v>979</v>
      </c>
      <c r="C1181" s="50" t="s">
        <v>2845</v>
      </c>
      <c r="D1181" s="50" t="s">
        <v>2846</v>
      </c>
      <c r="E1181" s="51" t="s">
        <v>511</v>
      </c>
      <c r="F1181" s="30">
        <v>7.5</v>
      </c>
      <c r="G1181" s="30">
        <v>2.5</v>
      </c>
      <c r="H1181" s="30">
        <f>IF(G1181&gt;0,(G1181*1.5)+F1181,"YOK")</f>
        <v>11.25</v>
      </c>
      <c r="I1181" s="22" t="s">
        <v>1100</v>
      </c>
      <c r="J1181" s="31"/>
      <c r="K1181" s="32">
        <v>1</v>
      </c>
      <c r="L1181" s="32"/>
      <c r="M1181" s="33"/>
      <c r="N1181" s="33"/>
      <c r="O1181" s="21"/>
      <c r="P1181" s="21"/>
    </row>
    <row r="1182" spans="1:16" s="52" customFormat="1" ht="39.950000000000003" customHeight="1">
      <c r="A1182" s="9">
        <v>13</v>
      </c>
      <c r="B1182" s="222" t="s">
        <v>979</v>
      </c>
      <c r="C1182" s="185" t="s">
        <v>3155</v>
      </c>
      <c r="D1182" s="185" t="s">
        <v>3156</v>
      </c>
      <c r="E1182" s="190" t="s">
        <v>511</v>
      </c>
      <c r="F1182" s="30">
        <v>7.5</v>
      </c>
      <c r="G1182" s="30">
        <v>2.5</v>
      </c>
      <c r="H1182" s="30">
        <f t="shared" si="474"/>
        <v>11.25</v>
      </c>
      <c r="I1182" s="22" t="s">
        <v>1100</v>
      </c>
      <c r="J1182" s="31"/>
      <c r="K1182" s="32">
        <v>1</v>
      </c>
      <c r="L1182" s="32"/>
      <c r="M1182" s="242"/>
      <c r="N1182" s="242"/>
    </row>
    <row r="1183" spans="1:16" s="52" customFormat="1" ht="39.950000000000003" customHeight="1">
      <c r="A1183" s="9">
        <v>14</v>
      </c>
      <c r="B1183" s="222" t="s">
        <v>979</v>
      </c>
      <c r="C1183" s="185" t="s">
        <v>3157</v>
      </c>
      <c r="D1183" s="185" t="s">
        <v>3158</v>
      </c>
      <c r="E1183" s="190" t="s">
        <v>511</v>
      </c>
      <c r="F1183" s="30">
        <v>7.5</v>
      </c>
      <c r="G1183" s="30">
        <v>2.5</v>
      </c>
      <c r="H1183" s="30">
        <f t="shared" si="474"/>
        <v>11.25</v>
      </c>
      <c r="I1183" s="22" t="s">
        <v>1100</v>
      </c>
      <c r="J1183" s="31"/>
      <c r="K1183" s="32">
        <v>1</v>
      </c>
      <c r="L1183" s="32"/>
      <c r="M1183" s="242"/>
      <c r="N1183" s="242"/>
    </row>
    <row r="1184" spans="1:16" s="52" customFormat="1" ht="39.950000000000003" customHeight="1">
      <c r="A1184" s="9">
        <v>15</v>
      </c>
      <c r="B1184" s="222" t="s">
        <v>979</v>
      </c>
      <c r="C1184" s="185" t="s">
        <v>3159</v>
      </c>
      <c r="D1184" s="185" t="s">
        <v>3160</v>
      </c>
      <c r="E1184" s="190" t="s">
        <v>511</v>
      </c>
      <c r="F1184" s="30">
        <v>7.5</v>
      </c>
      <c r="G1184" s="30">
        <v>2.5</v>
      </c>
      <c r="H1184" s="30">
        <f t="shared" si="474"/>
        <v>11.25</v>
      </c>
      <c r="I1184" s="22" t="s">
        <v>1100</v>
      </c>
      <c r="J1184" s="31"/>
      <c r="K1184" s="32">
        <v>1</v>
      </c>
      <c r="L1184" s="32"/>
      <c r="M1184" s="242"/>
      <c r="N1184" s="242"/>
    </row>
    <row r="1185" spans="1:16" s="52" customFormat="1" ht="39.950000000000003" customHeight="1">
      <c r="A1185" s="9">
        <v>16</v>
      </c>
      <c r="B1185" s="222" t="s">
        <v>979</v>
      </c>
      <c r="C1185" s="185" t="s">
        <v>3163</v>
      </c>
      <c r="D1185" s="185" t="s">
        <v>3164</v>
      </c>
      <c r="E1185" s="190" t="s">
        <v>511</v>
      </c>
      <c r="F1185" s="30">
        <v>7.5</v>
      </c>
      <c r="G1185" s="30">
        <v>2.5</v>
      </c>
      <c r="H1185" s="30">
        <f t="shared" si="474"/>
        <v>11.25</v>
      </c>
      <c r="I1185" s="22" t="s">
        <v>1100</v>
      </c>
      <c r="J1185" s="31"/>
      <c r="K1185" s="32">
        <v>1</v>
      </c>
      <c r="L1185" s="32"/>
      <c r="M1185" s="242"/>
      <c r="N1185" s="242"/>
    </row>
    <row r="1186" spans="1:16" s="52" customFormat="1" ht="39.950000000000003" customHeight="1">
      <c r="A1186" s="9">
        <v>17</v>
      </c>
      <c r="B1186" s="222" t="s">
        <v>979</v>
      </c>
      <c r="C1186" s="185" t="s">
        <v>3165</v>
      </c>
      <c r="D1186" s="185" t="s">
        <v>3166</v>
      </c>
      <c r="E1186" s="190" t="s">
        <v>511</v>
      </c>
      <c r="F1186" s="30">
        <v>7.5</v>
      </c>
      <c r="G1186" s="30">
        <v>2.5</v>
      </c>
      <c r="H1186" s="30">
        <f t="shared" si="474"/>
        <v>11.25</v>
      </c>
      <c r="I1186" s="22" t="s">
        <v>1100</v>
      </c>
      <c r="J1186" s="31"/>
      <c r="K1186" s="32">
        <v>1</v>
      </c>
      <c r="L1186" s="32"/>
      <c r="M1186" s="242"/>
      <c r="N1186" s="242"/>
    </row>
    <row r="1187" spans="1:16" s="52" customFormat="1" ht="39.950000000000003" customHeight="1">
      <c r="A1187" s="9">
        <v>18</v>
      </c>
      <c r="B1187" s="222" t="s">
        <v>979</v>
      </c>
      <c r="C1187" s="185" t="s">
        <v>3161</v>
      </c>
      <c r="D1187" s="185" t="s">
        <v>3162</v>
      </c>
      <c r="E1187" s="190" t="s">
        <v>511</v>
      </c>
      <c r="F1187" s="30">
        <v>0</v>
      </c>
      <c r="G1187" s="30">
        <v>0</v>
      </c>
      <c r="H1187" s="30" t="str">
        <f t="shared" ref="H1187" si="475">IF(G1187&gt;0,(G1187*1.5)+F1187,"YOK")</f>
        <v>YOK</v>
      </c>
      <c r="I1187" s="224" t="s">
        <v>3671</v>
      </c>
      <c r="J1187" s="31">
        <v>1</v>
      </c>
      <c r="K1187" s="32">
        <v>0</v>
      </c>
      <c r="L1187" s="32"/>
      <c r="M1187" s="242"/>
      <c r="N1187" s="242"/>
    </row>
    <row r="1188" spans="1:16" s="52" customFormat="1" ht="39.950000000000003" customHeight="1">
      <c r="A1188" s="9">
        <v>19</v>
      </c>
      <c r="B1188" s="222" t="s">
        <v>979</v>
      </c>
      <c r="C1188" s="185" t="s">
        <v>3167</v>
      </c>
      <c r="D1188" s="185" t="s">
        <v>3168</v>
      </c>
      <c r="E1188" s="190" t="s">
        <v>165</v>
      </c>
      <c r="F1188" s="30">
        <v>7.5</v>
      </c>
      <c r="G1188" s="30">
        <v>2.5</v>
      </c>
      <c r="H1188" s="30">
        <f t="shared" si="474"/>
        <v>11.25</v>
      </c>
      <c r="I1188" s="22" t="s">
        <v>1100</v>
      </c>
      <c r="J1188" s="31"/>
      <c r="K1188" s="32">
        <v>1</v>
      </c>
      <c r="L1188" s="32"/>
      <c r="M1188" s="242"/>
      <c r="N1188" s="242"/>
    </row>
    <row r="1189" spans="1:16" s="52" customFormat="1" ht="39.950000000000003" customHeight="1">
      <c r="A1189" s="9">
        <v>20</v>
      </c>
      <c r="B1189" s="222" t="s">
        <v>979</v>
      </c>
      <c r="C1189" s="185" t="s">
        <v>3169</v>
      </c>
      <c r="D1189" s="185" t="s">
        <v>3170</v>
      </c>
      <c r="E1189" s="190" t="s">
        <v>165</v>
      </c>
      <c r="F1189" s="30">
        <v>7.5</v>
      </c>
      <c r="G1189" s="30">
        <v>2.5</v>
      </c>
      <c r="H1189" s="30">
        <f t="shared" si="474"/>
        <v>11.25</v>
      </c>
      <c r="I1189" s="22" t="s">
        <v>1100</v>
      </c>
      <c r="J1189" s="31"/>
      <c r="K1189" s="32">
        <v>1</v>
      </c>
      <c r="L1189" s="32"/>
      <c r="M1189" s="242"/>
      <c r="N1189" s="242"/>
    </row>
    <row r="1190" spans="1:16" s="52" customFormat="1" ht="39.950000000000003" customHeight="1">
      <c r="A1190" s="9">
        <v>21</v>
      </c>
      <c r="B1190" s="222" t="s">
        <v>979</v>
      </c>
      <c r="C1190" s="185" t="s">
        <v>3171</v>
      </c>
      <c r="D1190" s="185" t="s">
        <v>3172</v>
      </c>
      <c r="E1190" s="190" t="s">
        <v>165</v>
      </c>
      <c r="F1190" s="30">
        <v>7.5</v>
      </c>
      <c r="G1190" s="30">
        <v>2.5</v>
      </c>
      <c r="H1190" s="30">
        <f t="shared" si="474"/>
        <v>11.25</v>
      </c>
      <c r="I1190" s="22" t="s">
        <v>1100</v>
      </c>
      <c r="J1190" s="31"/>
      <c r="K1190" s="32">
        <v>1</v>
      </c>
      <c r="L1190" s="32"/>
      <c r="M1190" s="242"/>
      <c r="N1190" s="242"/>
    </row>
    <row r="1191" spans="1:16" s="52" customFormat="1" ht="39.950000000000003" customHeight="1">
      <c r="A1191" s="9">
        <v>22</v>
      </c>
      <c r="B1191" s="222" t="s">
        <v>979</v>
      </c>
      <c r="C1191" s="185" t="s">
        <v>3173</v>
      </c>
      <c r="D1191" s="185" t="s">
        <v>3174</v>
      </c>
      <c r="E1191" s="190" t="s">
        <v>165</v>
      </c>
      <c r="F1191" s="30">
        <v>7.5</v>
      </c>
      <c r="G1191" s="30">
        <v>2.5</v>
      </c>
      <c r="H1191" s="30">
        <f t="shared" ref="H1191" si="476">IF(G1191&gt;0,(G1191*1.5)+F1191,"YOK")</f>
        <v>11.25</v>
      </c>
      <c r="I1191" s="22" t="s">
        <v>1100</v>
      </c>
      <c r="J1191" s="31"/>
      <c r="K1191" s="32">
        <v>1</v>
      </c>
      <c r="L1191" s="32"/>
      <c r="M1191" s="242"/>
      <c r="N1191" s="242"/>
    </row>
    <row r="1192" spans="1:16" s="52" customFormat="1" ht="39.950000000000003" customHeight="1">
      <c r="A1192" s="9">
        <v>23</v>
      </c>
      <c r="B1192" s="222" t="s">
        <v>979</v>
      </c>
      <c r="C1192" s="185" t="s">
        <v>3175</v>
      </c>
      <c r="D1192" s="185" t="s">
        <v>3176</v>
      </c>
      <c r="E1192" s="190" t="s">
        <v>165</v>
      </c>
      <c r="F1192" s="30">
        <v>7.5</v>
      </c>
      <c r="G1192" s="30">
        <v>2.5</v>
      </c>
      <c r="H1192" s="30">
        <f t="shared" si="474"/>
        <v>11.25</v>
      </c>
      <c r="I1192" s="22" t="s">
        <v>1100</v>
      </c>
      <c r="J1192" s="31"/>
      <c r="K1192" s="32">
        <v>1</v>
      </c>
      <c r="L1192" s="32"/>
      <c r="M1192" s="242"/>
      <c r="N1192" s="242"/>
    </row>
    <row r="1193" spans="1:16" s="52" customFormat="1" ht="39.950000000000003" customHeight="1">
      <c r="A1193" s="9">
        <v>24</v>
      </c>
      <c r="B1193" s="222" t="s">
        <v>979</v>
      </c>
      <c r="C1193" s="185" t="s">
        <v>3177</v>
      </c>
      <c r="D1193" s="185" t="s">
        <v>3178</v>
      </c>
      <c r="E1193" s="190" t="s">
        <v>165</v>
      </c>
      <c r="F1193" s="30">
        <v>7.5</v>
      </c>
      <c r="G1193" s="30">
        <v>2.5</v>
      </c>
      <c r="H1193" s="30">
        <f t="shared" ref="H1193" si="477">IF(G1193&gt;0,(G1193*1.5)+F1193,"YOK")</f>
        <v>11.25</v>
      </c>
      <c r="I1193" s="22" t="s">
        <v>1100</v>
      </c>
      <c r="J1193" s="31"/>
      <c r="K1193" s="32">
        <v>1</v>
      </c>
      <c r="L1193" s="32"/>
      <c r="M1193" s="242"/>
      <c r="N1193" s="242"/>
    </row>
    <row r="1194" spans="1:16" s="52" customFormat="1" ht="39.950000000000003" customHeight="1">
      <c r="A1194" s="9">
        <v>25</v>
      </c>
      <c r="B1194" s="222" t="s">
        <v>979</v>
      </c>
      <c r="C1194" s="185" t="s">
        <v>3153</v>
      </c>
      <c r="D1194" s="185" t="s">
        <v>3154</v>
      </c>
      <c r="E1194" s="190" t="s">
        <v>2730</v>
      </c>
      <c r="F1194" s="30">
        <v>7.5</v>
      </c>
      <c r="G1194" s="30">
        <v>2.5</v>
      </c>
      <c r="H1194" s="30">
        <f>IF(G1194&gt;0,(G1194*1.5)+F1194,"YOK")</f>
        <v>11.25</v>
      </c>
      <c r="I1194" s="47" t="s">
        <v>1100</v>
      </c>
      <c r="J1194" s="31"/>
      <c r="K1194" s="32">
        <v>1</v>
      </c>
      <c r="L1194" s="32">
        <v>1</v>
      </c>
      <c r="M1194" s="242"/>
      <c r="N1194" s="242"/>
    </row>
    <row r="1195" spans="1:16" s="52" customFormat="1" ht="39.950000000000003" customHeight="1">
      <c r="A1195" s="9">
        <v>26</v>
      </c>
      <c r="B1195" s="222" t="s">
        <v>979</v>
      </c>
      <c r="C1195" s="185" t="s">
        <v>3179</v>
      </c>
      <c r="D1195" s="185" t="s">
        <v>3180</v>
      </c>
      <c r="E1195" s="190" t="s">
        <v>165</v>
      </c>
      <c r="F1195" s="30">
        <v>7.5</v>
      </c>
      <c r="G1195" s="30">
        <v>2.5</v>
      </c>
      <c r="H1195" s="30">
        <f t="shared" ref="H1195" si="478">IF(G1195&gt;0,(G1195*1.5)+F1195,"YOK")</f>
        <v>11.25</v>
      </c>
      <c r="I1195" s="47" t="s">
        <v>1100</v>
      </c>
      <c r="J1195" s="31"/>
      <c r="K1195" s="32">
        <v>1</v>
      </c>
      <c r="L1195" s="32">
        <v>1</v>
      </c>
      <c r="M1195" s="33"/>
      <c r="N1195" s="33"/>
      <c r="O1195" s="21"/>
      <c r="P1195" s="21"/>
    </row>
    <row r="1196" spans="1:16" ht="39.950000000000003" customHeight="1">
      <c r="A1196" s="40"/>
      <c r="B1196" s="262" t="s">
        <v>1301</v>
      </c>
      <c r="C1196" s="263"/>
      <c r="D1196" s="264"/>
      <c r="E1196" s="46"/>
      <c r="F1196" s="41"/>
      <c r="G1196" s="41"/>
      <c r="H1196" s="41"/>
      <c r="I1196" s="42"/>
      <c r="J1196" s="43">
        <f>SUM(J1170:J1195)</f>
        <v>2</v>
      </c>
      <c r="K1196" s="43">
        <f>SUM(K1170:K1195)</f>
        <v>24</v>
      </c>
      <c r="L1196" s="43">
        <f>SUM(L1170:L1195)</f>
        <v>2</v>
      </c>
      <c r="M1196" s="43">
        <f>SUM(M1170:M1195)</f>
        <v>0</v>
      </c>
      <c r="N1196" s="33"/>
      <c r="O1196" s="21"/>
      <c r="P1196" s="21"/>
    </row>
    <row r="1197" spans="1:16" s="52" customFormat="1" ht="39.950000000000003" customHeight="1">
      <c r="A1197" s="9">
        <v>1</v>
      </c>
      <c r="B1197" s="207" t="s">
        <v>979</v>
      </c>
      <c r="C1197" s="221" t="s">
        <v>1299</v>
      </c>
      <c r="D1197" s="50" t="s">
        <v>1300</v>
      </c>
      <c r="E1197" s="51" t="s">
        <v>510</v>
      </c>
      <c r="F1197" s="30" t="s">
        <v>17</v>
      </c>
      <c r="G1197" s="30"/>
      <c r="H1197" s="30"/>
      <c r="I1197" s="22" t="s">
        <v>1100</v>
      </c>
      <c r="J1197" s="31"/>
      <c r="K1197" s="32">
        <v>1</v>
      </c>
      <c r="L1197" s="32"/>
      <c r="M1197" s="33"/>
      <c r="N1197" s="33"/>
      <c r="O1197" s="21"/>
      <c r="P1197" s="21"/>
    </row>
    <row r="1198" spans="1:16" s="52" customFormat="1" ht="39.950000000000003" customHeight="1">
      <c r="A1198" s="9">
        <v>2</v>
      </c>
      <c r="B1198" s="207" t="s">
        <v>979</v>
      </c>
      <c r="C1198" s="221" t="s">
        <v>1626</v>
      </c>
      <c r="D1198" s="50" t="s">
        <v>1627</v>
      </c>
      <c r="E1198" s="51" t="s">
        <v>256</v>
      </c>
      <c r="F1198" s="30" t="s">
        <v>17</v>
      </c>
      <c r="G1198" s="30"/>
      <c r="H1198" s="30"/>
      <c r="I1198" s="22" t="s">
        <v>1100</v>
      </c>
      <c r="J1198" s="31"/>
      <c r="K1198" s="32">
        <v>1</v>
      </c>
      <c r="L1198" s="32"/>
      <c r="M1198" s="33"/>
      <c r="N1198" s="33"/>
      <c r="O1198" s="21"/>
      <c r="P1198" s="21"/>
    </row>
    <row r="1199" spans="1:16" s="52" customFormat="1" ht="39.950000000000003" customHeight="1">
      <c r="A1199" s="9">
        <v>3</v>
      </c>
      <c r="B1199" s="207">
        <v>6328</v>
      </c>
      <c r="C1199" s="221" t="s">
        <v>2369</v>
      </c>
      <c r="D1199" s="50" t="s">
        <v>2370</v>
      </c>
      <c r="E1199" s="51" t="s">
        <v>256</v>
      </c>
      <c r="F1199" s="30" t="s">
        <v>17</v>
      </c>
      <c r="G1199" s="30"/>
      <c r="H1199" s="235"/>
      <c r="I1199" s="224"/>
      <c r="J1199" s="31"/>
      <c r="K1199" s="32">
        <v>1</v>
      </c>
      <c r="L1199" s="32"/>
      <c r="M1199" s="33"/>
      <c r="N1199" s="33"/>
      <c r="O1199" s="21"/>
      <c r="P1199" s="21"/>
    </row>
    <row r="1200" spans="1:16" s="52" customFormat="1" ht="39.950000000000003" customHeight="1">
      <c r="A1200" s="9">
        <v>4</v>
      </c>
      <c r="B1200" s="207">
        <v>6329</v>
      </c>
      <c r="C1200" s="221" t="s">
        <v>2371</v>
      </c>
      <c r="D1200" s="50" t="s">
        <v>2372</v>
      </c>
      <c r="E1200" s="51" t="s">
        <v>256</v>
      </c>
      <c r="F1200" s="30" t="s">
        <v>17</v>
      </c>
      <c r="G1200" s="30"/>
      <c r="H1200" s="235"/>
      <c r="I1200" s="224"/>
      <c r="J1200" s="31"/>
      <c r="K1200" s="32">
        <v>1</v>
      </c>
      <c r="L1200" s="32"/>
      <c r="M1200" s="33"/>
      <c r="N1200" s="33"/>
      <c r="O1200" s="21"/>
      <c r="P1200" s="21"/>
    </row>
    <row r="1201" spans="1:16" s="52" customFormat="1" ht="39.950000000000003" customHeight="1">
      <c r="A1201" s="9">
        <v>5</v>
      </c>
      <c r="B1201" s="207">
        <v>6332</v>
      </c>
      <c r="C1201" s="221" t="s">
        <v>2373</v>
      </c>
      <c r="D1201" s="50" t="s">
        <v>2374</v>
      </c>
      <c r="E1201" s="51" t="s">
        <v>316</v>
      </c>
      <c r="F1201" s="30">
        <v>7.5</v>
      </c>
      <c r="G1201" s="30">
        <v>2.5</v>
      </c>
      <c r="H1201" s="30">
        <f t="shared" ref="H1201" si="479">IF(G1201&gt;0,(G1201*1.5)+F1201,"YOK")</f>
        <v>11.25</v>
      </c>
      <c r="I1201" s="49" t="s">
        <v>805</v>
      </c>
      <c r="J1201" s="31"/>
      <c r="K1201" s="32">
        <v>1</v>
      </c>
      <c r="L1201" s="32"/>
      <c r="M1201" s="33"/>
      <c r="N1201" s="33"/>
      <c r="O1201" s="21"/>
      <c r="P1201" s="21"/>
    </row>
    <row r="1202" spans="1:16" s="52" customFormat="1" ht="39.950000000000003" customHeight="1">
      <c r="A1202" s="9">
        <v>6</v>
      </c>
      <c r="B1202" s="207">
        <v>6333</v>
      </c>
      <c r="C1202" s="221" t="s">
        <v>2375</v>
      </c>
      <c r="D1202" s="50" t="s">
        <v>2376</v>
      </c>
      <c r="E1202" s="51" t="s">
        <v>316</v>
      </c>
      <c r="F1202" s="30">
        <v>0</v>
      </c>
      <c r="G1202" s="30">
        <v>0</v>
      </c>
      <c r="H1202" s="30" t="str">
        <f t="shared" ref="H1202" si="480">IF(G1202&gt;0,(G1202*1.5)+F1202,"YOK")</f>
        <v>YOK</v>
      </c>
      <c r="I1202" s="49" t="s">
        <v>1185</v>
      </c>
      <c r="J1202" s="31">
        <v>1</v>
      </c>
      <c r="K1202" s="32">
        <v>0</v>
      </c>
      <c r="L1202" s="32"/>
      <c r="M1202" s="33"/>
      <c r="N1202" s="33"/>
      <c r="O1202" s="21"/>
      <c r="P1202" s="21"/>
    </row>
    <row r="1203" spans="1:16" s="52" customFormat="1" ht="39.950000000000003" customHeight="1">
      <c r="A1203" s="9">
        <v>7</v>
      </c>
      <c r="B1203" s="207">
        <v>6334</v>
      </c>
      <c r="C1203" s="221" t="s">
        <v>2377</v>
      </c>
      <c r="D1203" s="50" t="s">
        <v>2378</v>
      </c>
      <c r="E1203" s="51" t="s">
        <v>316</v>
      </c>
      <c r="F1203" s="30">
        <v>7.5</v>
      </c>
      <c r="G1203" s="30">
        <v>2.5</v>
      </c>
      <c r="H1203" s="30">
        <f t="shared" ref="H1203:H1205" si="481">IF(G1203&gt;0,(G1203*1.5)+F1203,"YOK")</f>
        <v>11.25</v>
      </c>
      <c r="I1203" s="49" t="s">
        <v>805</v>
      </c>
      <c r="J1203" s="31"/>
      <c r="K1203" s="32">
        <v>1</v>
      </c>
      <c r="L1203" s="32"/>
      <c r="M1203" s="33"/>
      <c r="N1203" s="33"/>
      <c r="O1203" s="21"/>
      <c r="P1203" s="21"/>
    </row>
    <row r="1204" spans="1:16" s="52" customFormat="1" ht="39.950000000000003" customHeight="1">
      <c r="A1204" s="9">
        <v>8</v>
      </c>
      <c r="B1204" s="207">
        <v>6335</v>
      </c>
      <c r="C1204" s="221" t="s">
        <v>2379</v>
      </c>
      <c r="D1204" s="50" t="s">
        <v>2380</v>
      </c>
      <c r="E1204" s="51" t="s">
        <v>316</v>
      </c>
      <c r="F1204" s="30">
        <v>0</v>
      </c>
      <c r="G1204" s="30">
        <v>0</v>
      </c>
      <c r="H1204" s="30" t="str">
        <f t="shared" si="481"/>
        <v>YOK</v>
      </c>
      <c r="I1204" s="49" t="s">
        <v>1185</v>
      </c>
      <c r="J1204" s="31">
        <v>1</v>
      </c>
      <c r="K1204" s="32">
        <v>0</v>
      </c>
      <c r="L1204" s="32"/>
      <c r="M1204" s="33"/>
      <c r="N1204" s="33"/>
      <c r="O1204" s="21"/>
      <c r="P1204" s="21"/>
    </row>
    <row r="1205" spans="1:16" s="52" customFormat="1" ht="39.950000000000003" customHeight="1">
      <c r="A1205" s="9">
        <v>9</v>
      </c>
      <c r="B1205" s="207">
        <v>6349</v>
      </c>
      <c r="C1205" s="221" t="s">
        <v>2413</v>
      </c>
      <c r="D1205" s="50" t="s">
        <v>2414</v>
      </c>
      <c r="E1205" s="51" t="s">
        <v>316</v>
      </c>
      <c r="F1205" s="30">
        <v>7.5</v>
      </c>
      <c r="G1205" s="30">
        <v>2.5</v>
      </c>
      <c r="H1205" s="30">
        <f t="shared" si="481"/>
        <v>11.25</v>
      </c>
      <c r="I1205" s="49" t="s">
        <v>805</v>
      </c>
      <c r="J1205" s="31"/>
      <c r="K1205" s="32">
        <v>1</v>
      </c>
      <c r="L1205" s="32"/>
      <c r="M1205" s="33"/>
      <c r="N1205" s="33"/>
      <c r="O1205" s="21"/>
      <c r="P1205" s="21"/>
    </row>
    <row r="1206" spans="1:16" s="52" customFormat="1" ht="39.950000000000003" customHeight="1">
      <c r="A1206" s="9">
        <v>10</v>
      </c>
      <c r="B1206" s="207" t="s">
        <v>979</v>
      </c>
      <c r="C1206" s="221" t="s">
        <v>1429</v>
      </c>
      <c r="D1206" s="185" t="s">
        <v>1430</v>
      </c>
      <c r="E1206" s="51" t="s">
        <v>316</v>
      </c>
      <c r="F1206" s="30">
        <v>7.5</v>
      </c>
      <c r="G1206" s="30">
        <v>2.5</v>
      </c>
      <c r="H1206" s="30">
        <f t="shared" ref="H1206" si="482">IF(G1206&gt;0,(G1206*1.5)+F1206,"YOK")</f>
        <v>11.25</v>
      </c>
      <c r="I1206" s="22" t="s">
        <v>1100</v>
      </c>
      <c r="J1206" s="31"/>
      <c r="K1206" s="32">
        <v>1</v>
      </c>
      <c r="L1206" s="32"/>
      <c r="M1206" s="33"/>
      <c r="N1206" s="33"/>
      <c r="O1206" s="21"/>
      <c r="P1206" s="21"/>
    </row>
    <row r="1207" spans="1:16" s="52" customFormat="1" ht="39.950000000000003" customHeight="1">
      <c r="A1207" s="9">
        <v>11</v>
      </c>
      <c r="B1207" s="207" t="s">
        <v>979</v>
      </c>
      <c r="C1207" s="221" t="s">
        <v>2091</v>
      </c>
      <c r="D1207" s="185" t="s">
        <v>1787</v>
      </c>
      <c r="E1207" s="51" t="s">
        <v>316</v>
      </c>
      <c r="F1207" s="30">
        <v>7.5</v>
      </c>
      <c r="G1207" s="30">
        <v>2.5</v>
      </c>
      <c r="H1207" s="30">
        <f t="shared" ref="H1207:H1210" si="483">IF(G1207&gt;0,(G1207*1.5)+F1207,"YOK")</f>
        <v>11.25</v>
      </c>
      <c r="I1207" s="22" t="s">
        <v>1100</v>
      </c>
      <c r="J1207" s="31"/>
      <c r="K1207" s="32">
        <v>1</v>
      </c>
      <c r="L1207" s="32"/>
      <c r="M1207" s="33"/>
      <c r="N1207" s="33"/>
      <c r="O1207" s="21"/>
      <c r="P1207" s="21"/>
    </row>
    <row r="1208" spans="1:16" s="52" customFormat="1" ht="39.950000000000003" customHeight="1">
      <c r="A1208" s="9">
        <v>12</v>
      </c>
      <c r="B1208" s="207" t="s">
        <v>979</v>
      </c>
      <c r="C1208" s="221" t="s">
        <v>2094</v>
      </c>
      <c r="D1208" s="185" t="s">
        <v>2095</v>
      </c>
      <c r="E1208" s="51" t="s">
        <v>162</v>
      </c>
      <c r="F1208" s="30">
        <v>7.5</v>
      </c>
      <c r="G1208" s="30">
        <v>2.5</v>
      </c>
      <c r="H1208" s="30">
        <f t="shared" ref="H1208" si="484">IF(G1208&gt;0,(G1208*1.5)+F1208,"YOK")</f>
        <v>11.25</v>
      </c>
      <c r="I1208" s="22" t="s">
        <v>1100</v>
      </c>
      <c r="J1208" s="31"/>
      <c r="K1208" s="32">
        <v>1</v>
      </c>
      <c r="L1208" s="32"/>
      <c r="M1208" s="33"/>
      <c r="N1208" s="33"/>
      <c r="O1208" s="21"/>
      <c r="P1208" s="21"/>
    </row>
    <row r="1209" spans="1:16" s="52" customFormat="1" ht="39.950000000000003" customHeight="1">
      <c r="A1209" s="9">
        <v>13</v>
      </c>
      <c r="B1209" s="207" t="s">
        <v>979</v>
      </c>
      <c r="C1209" s="221" t="s">
        <v>2054</v>
      </c>
      <c r="D1209" s="50" t="s">
        <v>2055</v>
      </c>
      <c r="E1209" s="51" t="s">
        <v>1621</v>
      </c>
      <c r="F1209" s="30">
        <v>7.5</v>
      </c>
      <c r="G1209" s="30">
        <v>2.5</v>
      </c>
      <c r="H1209" s="30">
        <f t="shared" si="483"/>
        <v>11.25</v>
      </c>
      <c r="I1209" s="22" t="s">
        <v>1100</v>
      </c>
      <c r="J1209" s="31"/>
      <c r="K1209" s="32">
        <v>1</v>
      </c>
      <c r="L1209" s="32"/>
      <c r="M1209" s="33"/>
      <c r="N1209" s="33"/>
      <c r="O1209" s="21"/>
      <c r="P1209" s="21"/>
    </row>
    <row r="1210" spans="1:16" s="52" customFormat="1" ht="39.950000000000003" customHeight="1">
      <c r="A1210" s="9">
        <v>14</v>
      </c>
      <c r="B1210" s="207" t="s">
        <v>979</v>
      </c>
      <c r="C1210" s="221" t="s">
        <v>2092</v>
      </c>
      <c r="D1210" s="185" t="s">
        <v>2093</v>
      </c>
      <c r="E1210" s="51" t="s">
        <v>1621</v>
      </c>
      <c r="F1210" s="30">
        <v>7.5</v>
      </c>
      <c r="G1210" s="30">
        <v>2.5</v>
      </c>
      <c r="H1210" s="30">
        <f t="shared" si="483"/>
        <v>11.25</v>
      </c>
      <c r="I1210" s="22" t="s">
        <v>1100</v>
      </c>
      <c r="J1210" s="31"/>
      <c r="K1210" s="32">
        <v>1</v>
      </c>
      <c r="L1210" s="32"/>
      <c r="M1210" s="33"/>
      <c r="N1210" s="33"/>
      <c r="O1210" s="21"/>
      <c r="P1210" s="21"/>
    </row>
    <row r="1211" spans="1:16" s="52" customFormat="1" ht="39.950000000000003" customHeight="1">
      <c r="A1211" s="9">
        <v>15</v>
      </c>
      <c r="B1211" s="207" t="s">
        <v>979</v>
      </c>
      <c r="C1211" s="221" t="s">
        <v>1619</v>
      </c>
      <c r="D1211" s="50" t="s">
        <v>1620</v>
      </c>
      <c r="E1211" s="51" t="s">
        <v>1621</v>
      </c>
      <c r="F1211" s="30">
        <v>7.5</v>
      </c>
      <c r="G1211" s="30">
        <v>2.5</v>
      </c>
      <c r="H1211" s="30">
        <f t="shared" ref="H1211" si="485">IF(G1211&gt;0,(G1211*1.5)+F1211,"YOK")</f>
        <v>11.25</v>
      </c>
      <c r="I1211" s="22" t="s">
        <v>1100</v>
      </c>
      <c r="J1211" s="31"/>
      <c r="K1211" s="32">
        <v>1</v>
      </c>
      <c r="L1211" s="32"/>
      <c r="M1211" s="33"/>
      <c r="N1211" s="33"/>
      <c r="O1211" s="21"/>
      <c r="P1211" s="21"/>
    </row>
    <row r="1212" spans="1:16" s="52" customFormat="1" ht="39.950000000000003" customHeight="1">
      <c r="A1212" s="9">
        <v>16</v>
      </c>
      <c r="B1212" s="207" t="s">
        <v>979</v>
      </c>
      <c r="C1212" s="221" t="s">
        <v>1622</v>
      </c>
      <c r="D1212" s="50" t="s">
        <v>1623</v>
      </c>
      <c r="E1212" s="51" t="s">
        <v>1621</v>
      </c>
      <c r="F1212" s="30">
        <v>7.5</v>
      </c>
      <c r="G1212" s="30">
        <v>2.5</v>
      </c>
      <c r="H1212" s="30">
        <f t="shared" ref="H1212:H1213" si="486">IF(G1212&gt;0,(G1212*1.5)+F1212,"YOK")</f>
        <v>11.25</v>
      </c>
      <c r="I1212" s="47" t="s">
        <v>1100</v>
      </c>
      <c r="J1212" s="31"/>
      <c r="K1212" s="32">
        <v>1</v>
      </c>
      <c r="L1212" s="32">
        <v>1</v>
      </c>
      <c r="M1212" s="33"/>
      <c r="N1212" s="33"/>
      <c r="O1212" s="21"/>
      <c r="P1212" s="21"/>
    </row>
    <row r="1213" spans="1:16" s="52" customFormat="1" ht="39.950000000000003" customHeight="1">
      <c r="A1213" s="9">
        <v>17</v>
      </c>
      <c r="B1213" s="207" t="s">
        <v>979</v>
      </c>
      <c r="C1213" s="221" t="s">
        <v>1859</v>
      </c>
      <c r="D1213" s="50" t="s">
        <v>1860</v>
      </c>
      <c r="E1213" s="51" t="s">
        <v>511</v>
      </c>
      <c r="F1213" s="30">
        <v>7.5</v>
      </c>
      <c r="G1213" s="30">
        <v>2.5</v>
      </c>
      <c r="H1213" s="30">
        <f t="shared" si="486"/>
        <v>11.25</v>
      </c>
      <c r="I1213" s="22" t="s">
        <v>1100</v>
      </c>
      <c r="J1213" s="31"/>
      <c r="K1213" s="32">
        <v>1</v>
      </c>
      <c r="L1213" s="32"/>
      <c r="M1213" s="33"/>
      <c r="N1213" s="33"/>
      <c r="O1213" s="21"/>
      <c r="P1213" s="21"/>
    </row>
    <row r="1214" spans="1:16" s="52" customFormat="1" ht="39.950000000000003" customHeight="1">
      <c r="A1214" s="9">
        <v>18</v>
      </c>
      <c r="B1214" s="207" t="s">
        <v>979</v>
      </c>
      <c r="C1214" s="221" t="s">
        <v>2668</v>
      </c>
      <c r="D1214" s="50" t="s">
        <v>2669</v>
      </c>
      <c r="E1214" s="51" t="s">
        <v>511</v>
      </c>
      <c r="F1214" s="30">
        <v>7.5</v>
      </c>
      <c r="G1214" s="30">
        <v>2.5</v>
      </c>
      <c r="H1214" s="30">
        <f t="shared" ref="H1214:H1216" si="487">IF(G1214&gt;0,(G1214*1.5)+F1214,"YOK")</f>
        <v>11.25</v>
      </c>
      <c r="I1214" s="22" t="s">
        <v>1100</v>
      </c>
      <c r="J1214" s="31"/>
      <c r="K1214" s="32">
        <v>1</v>
      </c>
      <c r="L1214" s="32"/>
      <c r="M1214" s="33"/>
      <c r="N1214" s="33"/>
      <c r="O1214" s="21"/>
      <c r="P1214" s="21"/>
    </row>
    <row r="1215" spans="1:16" s="52" customFormat="1" ht="39.950000000000003" customHeight="1">
      <c r="A1215" s="9">
        <v>19</v>
      </c>
      <c r="B1215" s="207" t="s">
        <v>979</v>
      </c>
      <c r="C1215" s="221" t="s">
        <v>2670</v>
      </c>
      <c r="D1215" s="50" t="s">
        <v>2671</v>
      </c>
      <c r="E1215" s="51" t="s">
        <v>511</v>
      </c>
      <c r="F1215" s="30">
        <v>7.5</v>
      </c>
      <c r="G1215" s="30">
        <v>2.5</v>
      </c>
      <c r="H1215" s="30">
        <f t="shared" si="487"/>
        <v>11.25</v>
      </c>
      <c r="I1215" s="22" t="s">
        <v>1100</v>
      </c>
      <c r="J1215" s="31"/>
      <c r="K1215" s="32">
        <v>1</v>
      </c>
      <c r="L1215" s="32"/>
      <c r="M1215" s="33"/>
      <c r="N1215" s="33"/>
      <c r="O1215" s="21"/>
      <c r="P1215" s="21"/>
    </row>
    <row r="1216" spans="1:16" s="52" customFormat="1" ht="39.950000000000003" customHeight="1">
      <c r="A1216" s="9">
        <v>20</v>
      </c>
      <c r="B1216" s="207" t="s">
        <v>979</v>
      </c>
      <c r="C1216" s="221" t="s">
        <v>2672</v>
      </c>
      <c r="D1216" s="50" t="s">
        <v>2673</v>
      </c>
      <c r="E1216" s="51" t="s">
        <v>511</v>
      </c>
      <c r="F1216" s="30">
        <v>7.5</v>
      </c>
      <c r="G1216" s="30">
        <v>2.5</v>
      </c>
      <c r="H1216" s="30">
        <f t="shared" si="487"/>
        <v>11.25</v>
      </c>
      <c r="I1216" s="22" t="s">
        <v>1100</v>
      </c>
      <c r="J1216" s="31"/>
      <c r="K1216" s="32">
        <v>1</v>
      </c>
      <c r="L1216" s="32"/>
      <c r="M1216" s="33"/>
      <c r="N1216" s="33"/>
      <c r="O1216" s="21"/>
      <c r="P1216" s="21"/>
    </row>
    <row r="1217" spans="1:16" s="52" customFormat="1" ht="39.950000000000003" customHeight="1">
      <c r="A1217" s="9">
        <v>21</v>
      </c>
      <c r="B1217" s="207" t="s">
        <v>979</v>
      </c>
      <c r="C1217" s="221" t="s">
        <v>1884</v>
      </c>
      <c r="D1217" s="185" t="s">
        <v>1885</v>
      </c>
      <c r="E1217" s="51" t="s">
        <v>511</v>
      </c>
      <c r="F1217" s="30">
        <v>7.5</v>
      </c>
      <c r="G1217" s="30">
        <v>2.5</v>
      </c>
      <c r="H1217" s="30">
        <f>IF(G1217&gt;0,(G1217*1.5)+F1217,"YOK")</f>
        <v>11.25</v>
      </c>
      <c r="I1217" s="22" t="s">
        <v>1100</v>
      </c>
      <c r="J1217" s="31"/>
      <c r="K1217" s="32">
        <v>1</v>
      </c>
      <c r="L1217" s="32"/>
      <c r="M1217" s="33"/>
      <c r="N1217" s="33"/>
      <c r="O1217" s="21"/>
      <c r="P1217" s="21"/>
    </row>
    <row r="1218" spans="1:16" s="52" customFormat="1" ht="39.950000000000003" customHeight="1">
      <c r="A1218" s="9">
        <v>22</v>
      </c>
      <c r="B1218" s="207" t="s">
        <v>979</v>
      </c>
      <c r="C1218" s="221" t="s">
        <v>1613</v>
      </c>
      <c r="D1218" s="50" t="s">
        <v>1614</v>
      </c>
      <c r="E1218" s="51" t="s">
        <v>348</v>
      </c>
      <c r="F1218" s="30">
        <v>0</v>
      </c>
      <c r="G1218" s="30">
        <v>0</v>
      </c>
      <c r="H1218" s="30" t="str">
        <f>IF(G1218&gt;0,(G1218*1.5)+F1218,"YOK")</f>
        <v>YOK</v>
      </c>
      <c r="I1218" s="224" t="s">
        <v>3671</v>
      </c>
      <c r="J1218" s="31">
        <v>1</v>
      </c>
      <c r="K1218" s="32">
        <v>0</v>
      </c>
      <c r="L1218" s="32"/>
      <c r="M1218" s="33"/>
      <c r="N1218" s="33"/>
      <c r="O1218" s="21"/>
      <c r="P1218" s="21"/>
    </row>
    <row r="1219" spans="1:16" s="52" customFormat="1" ht="39.950000000000003" customHeight="1">
      <c r="A1219" s="9">
        <v>23</v>
      </c>
      <c r="B1219" s="207" t="s">
        <v>979</v>
      </c>
      <c r="C1219" s="221" t="s">
        <v>1615</v>
      </c>
      <c r="D1219" s="50" t="s">
        <v>1616</v>
      </c>
      <c r="E1219" s="51" t="s">
        <v>348</v>
      </c>
      <c r="F1219" s="30">
        <v>7.5</v>
      </c>
      <c r="G1219" s="30">
        <v>2.5</v>
      </c>
      <c r="H1219" s="30">
        <f t="shared" ref="H1219" si="488">IF(G1219&gt;0,(G1219*1.5)+F1219,"YOK")</f>
        <v>11.25</v>
      </c>
      <c r="I1219" s="22" t="s">
        <v>1100</v>
      </c>
      <c r="J1219" s="31"/>
      <c r="K1219" s="32">
        <v>1</v>
      </c>
      <c r="L1219" s="32"/>
      <c r="M1219" s="33"/>
      <c r="N1219" s="33"/>
      <c r="O1219" s="21"/>
      <c r="P1219" s="21"/>
    </row>
    <row r="1220" spans="1:16" s="52" customFormat="1" ht="39.950000000000003" customHeight="1">
      <c r="A1220" s="9">
        <v>24</v>
      </c>
      <c r="B1220" s="207" t="s">
        <v>979</v>
      </c>
      <c r="C1220" s="221" t="s">
        <v>1617</v>
      </c>
      <c r="D1220" s="50" t="s">
        <v>1618</v>
      </c>
      <c r="E1220" s="51" t="s">
        <v>348</v>
      </c>
      <c r="F1220" s="30">
        <v>7.5</v>
      </c>
      <c r="G1220" s="30">
        <v>2.5</v>
      </c>
      <c r="H1220" s="30">
        <f>IF(G1220&gt;0,(G1220*1.5)+F1220,"YOK")</f>
        <v>11.25</v>
      </c>
      <c r="I1220" s="22" t="s">
        <v>1100</v>
      </c>
      <c r="J1220" s="31"/>
      <c r="K1220" s="32">
        <v>1</v>
      </c>
      <c r="L1220" s="32"/>
      <c r="M1220" s="33"/>
      <c r="N1220" s="33"/>
      <c r="O1220" s="21"/>
      <c r="P1220" s="21"/>
    </row>
    <row r="1221" spans="1:16" s="52" customFormat="1" ht="39.950000000000003" customHeight="1">
      <c r="A1221" s="9">
        <v>25</v>
      </c>
      <c r="B1221" s="207" t="s">
        <v>979</v>
      </c>
      <c r="C1221" s="221" t="s">
        <v>1624</v>
      </c>
      <c r="D1221" s="185" t="s">
        <v>1625</v>
      </c>
      <c r="E1221" s="51" t="s">
        <v>306</v>
      </c>
      <c r="F1221" s="30">
        <v>7.5</v>
      </c>
      <c r="G1221" s="30">
        <v>2.5</v>
      </c>
      <c r="H1221" s="30">
        <f t="shared" ref="H1221" si="489">IF(G1221&gt;0,(G1221*1.5)+F1221,"YOK")</f>
        <v>11.25</v>
      </c>
      <c r="I1221" s="22" t="s">
        <v>1100</v>
      </c>
      <c r="J1221" s="31"/>
      <c r="K1221" s="32">
        <v>1</v>
      </c>
      <c r="L1221" s="32"/>
      <c r="M1221" s="33"/>
      <c r="N1221" s="33"/>
      <c r="O1221" s="21"/>
      <c r="P1221" s="21"/>
    </row>
    <row r="1222" spans="1:16" s="52" customFormat="1" ht="39.950000000000003" customHeight="1">
      <c r="A1222" s="9">
        <v>26</v>
      </c>
      <c r="B1222" s="207" t="s">
        <v>979</v>
      </c>
      <c r="C1222" s="221" t="s">
        <v>1783</v>
      </c>
      <c r="D1222" s="185" t="s">
        <v>1785</v>
      </c>
      <c r="E1222" s="51" t="s">
        <v>306</v>
      </c>
      <c r="F1222" s="30">
        <v>7.5</v>
      </c>
      <c r="G1222" s="30">
        <v>2.5</v>
      </c>
      <c r="H1222" s="30">
        <f t="shared" ref="H1222" si="490">IF(G1222&gt;0,(G1222*1.5)+F1222,"YOK")</f>
        <v>11.25</v>
      </c>
      <c r="I1222" s="22" t="s">
        <v>1100</v>
      </c>
      <c r="J1222" s="31"/>
      <c r="K1222" s="32">
        <v>1</v>
      </c>
      <c r="L1222" s="32"/>
      <c r="M1222" s="33"/>
      <c r="N1222" s="33"/>
      <c r="O1222" s="21"/>
      <c r="P1222" s="21"/>
    </row>
    <row r="1223" spans="1:16" s="52" customFormat="1" ht="39.950000000000003" customHeight="1">
      <c r="A1223" s="9">
        <v>27</v>
      </c>
      <c r="B1223" s="207" t="s">
        <v>979</v>
      </c>
      <c r="C1223" s="221" t="s">
        <v>2674</v>
      </c>
      <c r="D1223" s="185" t="s">
        <v>2675</v>
      </c>
      <c r="E1223" s="51" t="s">
        <v>165</v>
      </c>
      <c r="F1223" s="30">
        <v>7.5</v>
      </c>
      <c r="G1223" s="30">
        <v>2.5</v>
      </c>
      <c r="H1223" s="30">
        <f t="shared" ref="H1223" si="491">IF(G1223&gt;0,(G1223*1.5)+F1223,"YOK")</f>
        <v>11.25</v>
      </c>
      <c r="I1223" s="22" t="s">
        <v>1100</v>
      </c>
      <c r="J1223" s="31"/>
      <c r="K1223" s="32">
        <v>1</v>
      </c>
      <c r="L1223" s="32"/>
      <c r="M1223" s="33"/>
      <c r="N1223" s="33"/>
      <c r="O1223" s="21"/>
      <c r="P1223" s="21"/>
    </row>
    <row r="1224" spans="1:16" s="52" customFormat="1" ht="39.950000000000003" customHeight="1">
      <c r="A1224" s="9">
        <v>28</v>
      </c>
      <c r="B1224" s="207" t="s">
        <v>979</v>
      </c>
      <c r="C1224" s="221" t="s">
        <v>1784</v>
      </c>
      <c r="D1224" s="185" t="s">
        <v>1786</v>
      </c>
      <c r="E1224" s="51" t="s">
        <v>165</v>
      </c>
      <c r="F1224" s="30">
        <v>7.5</v>
      </c>
      <c r="G1224" s="30">
        <v>2.5</v>
      </c>
      <c r="H1224" s="30">
        <f t="shared" ref="H1224" si="492">IF(G1224&gt;0,(G1224*1.5)+F1224,"YOK")</f>
        <v>11.25</v>
      </c>
      <c r="I1224" s="22" t="s">
        <v>1100</v>
      </c>
      <c r="J1224" s="31"/>
      <c r="K1224" s="32">
        <v>1</v>
      </c>
      <c r="L1224" s="32"/>
      <c r="M1224" s="33"/>
      <c r="N1224" s="33"/>
      <c r="O1224" s="21"/>
      <c r="P1224" s="21"/>
    </row>
    <row r="1225" spans="1:16" s="52" customFormat="1" ht="39.950000000000003" customHeight="1">
      <c r="A1225" s="9">
        <v>29</v>
      </c>
      <c r="B1225" s="207">
        <v>6378</v>
      </c>
      <c r="C1225" s="221" t="s">
        <v>2456</v>
      </c>
      <c r="D1225" s="185" t="s">
        <v>2457</v>
      </c>
      <c r="E1225" s="51" t="s">
        <v>165</v>
      </c>
      <c r="F1225" s="30">
        <v>7.5</v>
      </c>
      <c r="G1225" s="30">
        <v>2.5</v>
      </c>
      <c r="H1225" s="30">
        <f t="shared" ref="H1225" si="493">IF(G1225&gt;0,(G1225*1.5)+F1225,"YOK")</f>
        <v>11.25</v>
      </c>
      <c r="I1225" s="49" t="s">
        <v>805</v>
      </c>
      <c r="J1225" s="31"/>
      <c r="K1225" s="32">
        <v>1</v>
      </c>
      <c r="L1225" s="32"/>
      <c r="M1225" s="33"/>
      <c r="N1225" s="33"/>
      <c r="O1225" s="21"/>
      <c r="P1225" s="21"/>
    </row>
    <row r="1226" spans="1:16" s="52" customFormat="1" ht="39.950000000000003" customHeight="1">
      <c r="A1226" s="9">
        <v>30</v>
      </c>
      <c r="B1226" s="207">
        <v>6383</v>
      </c>
      <c r="C1226" s="221" t="s">
        <v>2458</v>
      </c>
      <c r="D1226" s="185" t="s">
        <v>2459</v>
      </c>
      <c r="E1226" s="51" t="s">
        <v>165</v>
      </c>
      <c r="F1226" s="30">
        <v>7.5</v>
      </c>
      <c r="G1226" s="30">
        <v>2.5</v>
      </c>
      <c r="H1226" s="30">
        <f t="shared" ref="H1226" si="494">IF(G1226&gt;0,(G1226*1.5)+F1226,"YOK")</f>
        <v>11.25</v>
      </c>
      <c r="I1226" s="49" t="s">
        <v>805</v>
      </c>
      <c r="J1226" s="31"/>
      <c r="K1226" s="32">
        <v>1</v>
      </c>
      <c r="L1226" s="32"/>
      <c r="M1226" s="33"/>
      <c r="N1226" s="33"/>
      <c r="O1226" s="21"/>
      <c r="P1226" s="21"/>
    </row>
    <row r="1227" spans="1:16" s="52" customFormat="1" ht="39.950000000000003" customHeight="1">
      <c r="A1227" s="9">
        <v>31</v>
      </c>
      <c r="B1227" s="207">
        <v>6555</v>
      </c>
      <c r="C1227" s="243" t="s">
        <v>2752</v>
      </c>
      <c r="D1227" s="185" t="s">
        <v>2753</v>
      </c>
      <c r="E1227" s="51" t="s">
        <v>165</v>
      </c>
      <c r="F1227" s="30">
        <v>7.5</v>
      </c>
      <c r="G1227" s="30">
        <v>2.5</v>
      </c>
      <c r="H1227" s="30">
        <f t="shared" ref="H1227" si="495">IF(G1227&gt;0,(G1227*1.5)+F1227,"YOK")</f>
        <v>11.25</v>
      </c>
      <c r="I1227" s="49" t="s">
        <v>805</v>
      </c>
      <c r="J1227" s="31"/>
      <c r="K1227" s="32">
        <v>1</v>
      </c>
      <c r="L1227" s="32"/>
      <c r="M1227" s="33"/>
      <c r="N1227" s="33"/>
      <c r="O1227" s="21"/>
      <c r="P1227" s="21"/>
    </row>
    <row r="1228" spans="1:16" s="52" customFormat="1" ht="39.950000000000003" customHeight="1">
      <c r="A1228" s="9">
        <v>32</v>
      </c>
      <c r="B1228" s="207">
        <v>6559</v>
      </c>
      <c r="C1228" s="243" t="s">
        <v>2772</v>
      </c>
      <c r="D1228" s="185" t="s">
        <v>2773</v>
      </c>
      <c r="E1228" s="51" t="s">
        <v>165</v>
      </c>
      <c r="F1228" s="30">
        <v>7.5</v>
      </c>
      <c r="G1228" s="30">
        <v>2.5</v>
      </c>
      <c r="H1228" s="30">
        <f t="shared" ref="H1228" si="496">IF(G1228&gt;0,(G1228*1.5)+F1228,"YOK")</f>
        <v>11.25</v>
      </c>
      <c r="I1228" s="49" t="s">
        <v>805</v>
      </c>
      <c r="J1228" s="31"/>
      <c r="K1228" s="32">
        <v>1</v>
      </c>
      <c r="L1228" s="32"/>
      <c r="M1228" s="33"/>
      <c r="N1228" s="33"/>
      <c r="O1228" s="21"/>
      <c r="P1228" s="21"/>
    </row>
    <row r="1229" spans="1:16" s="52" customFormat="1" ht="39.950000000000003" customHeight="1">
      <c r="A1229" s="9">
        <v>33</v>
      </c>
      <c r="B1229" s="207">
        <v>6641</v>
      </c>
      <c r="C1229" s="243" t="s">
        <v>2930</v>
      </c>
      <c r="D1229" s="185" t="s">
        <v>2931</v>
      </c>
      <c r="E1229" s="51" t="s">
        <v>165</v>
      </c>
      <c r="F1229" s="30">
        <v>7.5</v>
      </c>
      <c r="G1229" s="30">
        <v>2.5</v>
      </c>
      <c r="H1229" s="30">
        <f t="shared" ref="H1229:H1230" si="497">IF(G1229&gt;0,(G1229*1.5)+F1229,"YOK")</f>
        <v>11.25</v>
      </c>
      <c r="I1229" s="49" t="s">
        <v>805</v>
      </c>
      <c r="J1229" s="31"/>
      <c r="K1229" s="32">
        <v>1</v>
      </c>
      <c r="L1229" s="32"/>
      <c r="M1229" s="33"/>
      <c r="N1229" s="33"/>
      <c r="O1229" s="21"/>
      <c r="P1229" s="21"/>
    </row>
    <row r="1230" spans="1:16" s="52" customFormat="1" ht="39.950000000000003" customHeight="1">
      <c r="A1230" s="9">
        <v>34</v>
      </c>
      <c r="B1230" s="207">
        <v>6642</v>
      </c>
      <c r="C1230" s="243" t="s">
        <v>2932</v>
      </c>
      <c r="D1230" s="185" t="s">
        <v>2933</v>
      </c>
      <c r="E1230" s="51" t="s">
        <v>165</v>
      </c>
      <c r="F1230" s="30">
        <v>7.5</v>
      </c>
      <c r="G1230" s="30">
        <v>2.5</v>
      </c>
      <c r="H1230" s="30">
        <f t="shared" si="497"/>
        <v>11.25</v>
      </c>
      <c r="I1230" s="49" t="s">
        <v>805</v>
      </c>
      <c r="J1230" s="31"/>
      <c r="K1230" s="32">
        <v>1</v>
      </c>
      <c r="L1230" s="32"/>
      <c r="M1230" s="33"/>
      <c r="N1230" s="33"/>
      <c r="O1230" s="21"/>
      <c r="P1230" s="21"/>
    </row>
    <row r="1231" spans="1:16" s="52" customFormat="1" ht="39.950000000000003" customHeight="1">
      <c r="A1231" s="9">
        <v>35</v>
      </c>
      <c r="B1231" s="207">
        <v>6643</v>
      </c>
      <c r="C1231" s="243" t="s">
        <v>2934</v>
      </c>
      <c r="D1231" s="185" t="s">
        <v>2935</v>
      </c>
      <c r="E1231" s="51" t="s">
        <v>165</v>
      </c>
      <c r="F1231" s="30">
        <v>7.5</v>
      </c>
      <c r="G1231" s="30">
        <v>2.5</v>
      </c>
      <c r="H1231" s="30">
        <f t="shared" ref="H1231" si="498">IF(G1231&gt;0,(G1231*1.5)+F1231,"YOK")</f>
        <v>11.25</v>
      </c>
      <c r="I1231" s="49" t="s">
        <v>805</v>
      </c>
      <c r="J1231" s="31"/>
      <c r="K1231" s="32">
        <v>1</v>
      </c>
      <c r="L1231" s="32"/>
      <c r="M1231" s="33"/>
      <c r="N1231" s="33"/>
      <c r="O1231" s="21"/>
      <c r="P1231" s="21"/>
    </row>
    <row r="1232" spans="1:16" s="52" customFormat="1" ht="39.950000000000003" customHeight="1">
      <c r="A1232" s="9">
        <v>36</v>
      </c>
      <c r="B1232" s="207">
        <v>6510</v>
      </c>
      <c r="C1232" s="221" t="s">
        <v>2131</v>
      </c>
      <c r="D1232" s="50" t="s">
        <v>2132</v>
      </c>
      <c r="E1232" s="51" t="s">
        <v>1621</v>
      </c>
      <c r="F1232" s="30">
        <v>7.5</v>
      </c>
      <c r="G1232" s="30">
        <v>2.5</v>
      </c>
      <c r="H1232" s="30">
        <f>IF(G1232&gt;0,(G1232*1.5)+F1232,"YOK")</f>
        <v>11.25</v>
      </c>
      <c r="I1232" s="49" t="s">
        <v>805</v>
      </c>
      <c r="J1232" s="31"/>
      <c r="K1232" s="32">
        <v>1</v>
      </c>
      <c r="L1232" s="32"/>
      <c r="M1232" s="33"/>
      <c r="N1232" s="33"/>
      <c r="O1232" s="21"/>
      <c r="P1232" s="21"/>
    </row>
    <row r="1233" spans="1:17" s="52" customFormat="1" ht="39.950000000000003" customHeight="1">
      <c r="A1233" s="9">
        <v>37</v>
      </c>
      <c r="B1233" s="207">
        <v>6511</v>
      </c>
      <c r="C1233" s="221" t="s">
        <v>2133</v>
      </c>
      <c r="D1233" s="50" t="s">
        <v>2134</v>
      </c>
      <c r="E1233" s="51" t="s">
        <v>511</v>
      </c>
      <c r="F1233" s="30">
        <v>7.5</v>
      </c>
      <c r="G1233" s="30">
        <v>2.5</v>
      </c>
      <c r="H1233" s="30">
        <f>IF(G1233&gt;0,(G1233*1.5)+F1233,"YOK")</f>
        <v>11.25</v>
      </c>
      <c r="I1233" s="49" t="s">
        <v>805</v>
      </c>
      <c r="J1233" s="31"/>
      <c r="K1233" s="32">
        <v>1</v>
      </c>
      <c r="L1233" s="32"/>
      <c r="M1233" s="33"/>
      <c r="N1233" s="33"/>
      <c r="O1233" s="21"/>
      <c r="P1233" s="21"/>
    </row>
    <row r="1234" spans="1:17" s="52" customFormat="1" ht="39.950000000000003" customHeight="1">
      <c r="A1234" s="9">
        <v>38</v>
      </c>
      <c r="B1234" s="207">
        <v>6330</v>
      </c>
      <c r="C1234" s="221" t="s">
        <v>2381</v>
      </c>
      <c r="D1234" s="185" t="s">
        <v>2382</v>
      </c>
      <c r="E1234" s="51" t="s">
        <v>162</v>
      </c>
      <c r="F1234" s="30">
        <v>0</v>
      </c>
      <c r="G1234" s="30">
        <v>0</v>
      </c>
      <c r="H1234" s="30" t="str">
        <f>IF(G1234&gt;0,(G1234*1.5)+F1234,"YOK")</f>
        <v>YOK</v>
      </c>
      <c r="I1234" s="49" t="s">
        <v>1185</v>
      </c>
      <c r="J1234" s="31">
        <v>1</v>
      </c>
      <c r="K1234" s="32">
        <v>0</v>
      </c>
      <c r="L1234" s="32"/>
      <c r="M1234" s="33"/>
      <c r="N1234" s="33"/>
      <c r="O1234" s="21"/>
      <c r="P1234" s="21"/>
    </row>
    <row r="1235" spans="1:17" s="52" customFormat="1" ht="39.950000000000003" customHeight="1">
      <c r="A1235" s="9">
        <v>39</v>
      </c>
      <c r="B1235" s="207">
        <v>6575</v>
      </c>
      <c r="C1235" s="243" t="s">
        <v>2776</v>
      </c>
      <c r="D1235" s="50" t="s">
        <v>2777</v>
      </c>
      <c r="E1235" s="51" t="s">
        <v>306</v>
      </c>
      <c r="F1235" s="30">
        <v>7.5</v>
      </c>
      <c r="G1235" s="30">
        <v>2.5</v>
      </c>
      <c r="H1235" s="30">
        <f>IF(G1235&gt;0,(G1235*1.5)+F1235,"YOK")</f>
        <v>11.25</v>
      </c>
      <c r="I1235" s="49" t="s">
        <v>805</v>
      </c>
      <c r="J1235" s="31"/>
      <c r="K1235" s="32">
        <v>1</v>
      </c>
      <c r="L1235" s="32"/>
      <c r="M1235" s="33"/>
      <c r="N1235" s="33"/>
      <c r="O1235" s="21"/>
      <c r="P1235" s="21"/>
    </row>
    <row r="1236" spans="1:17" s="52" customFormat="1" ht="39.950000000000003" customHeight="1">
      <c r="A1236" s="9">
        <v>40</v>
      </c>
      <c r="B1236" s="207">
        <v>6577</v>
      </c>
      <c r="C1236" s="243" t="s">
        <v>2778</v>
      </c>
      <c r="D1236" s="50" t="s">
        <v>2779</v>
      </c>
      <c r="E1236" s="51" t="s">
        <v>306</v>
      </c>
      <c r="F1236" s="30">
        <v>7.5</v>
      </c>
      <c r="G1236" s="30">
        <v>2.5</v>
      </c>
      <c r="H1236" s="30">
        <f>IF(G1236&gt;0,(G1236*1.5)+F1236,"YOK")</f>
        <v>11.25</v>
      </c>
      <c r="I1236" s="49" t="s">
        <v>805</v>
      </c>
      <c r="J1236" s="31"/>
      <c r="K1236" s="32">
        <v>1</v>
      </c>
      <c r="L1236" s="32"/>
      <c r="M1236" s="33"/>
      <c r="N1236" s="33"/>
      <c r="O1236" s="21"/>
      <c r="P1236" s="21"/>
    </row>
    <row r="1237" spans="1:17" s="52" customFormat="1" ht="39.950000000000003" customHeight="1">
      <c r="A1237" s="9">
        <v>41</v>
      </c>
      <c r="B1237" s="207">
        <v>6834</v>
      </c>
      <c r="C1237" s="243" t="s">
        <v>3610</v>
      </c>
      <c r="D1237" s="185" t="s">
        <v>3611</v>
      </c>
      <c r="E1237" s="51" t="s">
        <v>306</v>
      </c>
      <c r="F1237" s="30">
        <v>7.5</v>
      </c>
      <c r="G1237" s="30">
        <v>2.5</v>
      </c>
      <c r="H1237" s="30">
        <f t="shared" ref="H1237:H1238" si="499">IF(G1237&gt;0,(G1237*1.5)+F1237,"YOK")</f>
        <v>11.25</v>
      </c>
      <c r="I1237" s="47" t="s">
        <v>132</v>
      </c>
      <c r="J1237" s="31"/>
      <c r="K1237" s="32">
        <v>1</v>
      </c>
      <c r="L1237" s="32">
        <v>1</v>
      </c>
      <c r="M1237" s="33"/>
      <c r="N1237" s="33"/>
      <c r="O1237" s="21"/>
      <c r="P1237" s="21"/>
    </row>
    <row r="1238" spans="1:17" s="52" customFormat="1" ht="39.950000000000003" customHeight="1">
      <c r="A1238" s="9">
        <v>42</v>
      </c>
      <c r="B1238" s="207">
        <v>6835</v>
      </c>
      <c r="C1238" s="243" t="s">
        <v>3612</v>
      </c>
      <c r="D1238" s="185" t="s">
        <v>3613</v>
      </c>
      <c r="E1238" s="51" t="s">
        <v>306</v>
      </c>
      <c r="F1238" s="30">
        <v>7.5</v>
      </c>
      <c r="G1238" s="30">
        <v>2.5</v>
      </c>
      <c r="H1238" s="30">
        <f t="shared" si="499"/>
        <v>11.25</v>
      </c>
      <c r="I1238" s="47" t="s">
        <v>132</v>
      </c>
      <c r="J1238" s="31"/>
      <c r="K1238" s="32">
        <v>1</v>
      </c>
      <c r="L1238" s="32">
        <v>1</v>
      </c>
      <c r="M1238" s="33"/>
      <c r="N1238" s="33"/>
      <c r="O1238" s="21"/>
      <c r="P1238" s="21"/>
    </row>
    <row r="1239" spans="1:17" s="52" customFormat="1" ht="39.950000000000003" customHeight="1">
      <c r="A1239" s="9">
        <v>43</v>
      </c>
      <c r="B1239" s="207">
        <v>6749</v>
      </c>
      <c r="C1239" s="243" t="s">
        <v>3297</v>
      </c>
      <c r="D1239" s="185" t="s">
        <v>3298</v>
      </c>
      <c r="E1239" s="51" t="s">
        <v>306</v>
      </c>
      <c r="F1239" s="30">
        <v>7.5</v>
      </c>
      <c r="G1239" s="30">
        <v>2.5</v>
      </c>
      <c r="H1239" s="30">
        <f t="shared" ref="H1239:H1240" si="500">IF(G1239&gt;0,(G1239*1.5)+F1239,"YOK")</f>
        <v>11.25</v>
      </c>
      <c r="I1239" s="47" t="s">
        <v>132</v>
      </c>
      <c r="J1239" s="31"/>
      <c r="K1239" s="32">
        <v>1</v>
      </c>
      <c r="L1239" s="32">
        <v>1</v>
      </c>
      <c r="M1239" s="33"/>
      <c r="N1239" s="33"/>
      <c r="O1239" s="21"/>
      <c r="P1239" s="21"/>
    </row>
    <row r="1240" spans="1:17" s="52" customFormat="1" ht="39.950000000000003" customHeight="1">
      <c r="A1240" s="9">
        <v>44</v>
      </c>
      <c r="B1240" s="207">
        <v>6750</v>
      </c>
      <c r="C1240" s="243" t="s">
        <v>3299</v>
      </c>
      <c r="D1240" s="185" t="s">
        <v>3300</v>
      </c>
      <c r="E1240" s="51" t="s">
        <v>306</v>
      </c>
      <c r="F1240" s="30">
        <v>7.5</v>
      </c>
      <c r="G1240" s="30">
        <v>2.5</v>
      </c>
      <c r="H1240" s="30">
        <f t="shared" si="500"/>
        <v>11.25</v>
      </c>
      <c r="I1240" s="47" t="s">
        <v>132</v>
      </c>
      <c r="J1240" s="31"/>
      <c r="K1240" s="32">
        <v>1</v>
      </c>
      <c r="L1240" s="32">
        <v>1</v>
      </c>
      <c r="M1240" s="33"/>
      <c r="N1240" s="33"/>
      <c r="O1240" s="21"/>
      <c r="P1240" s="21"/>
    </row>
    <row r="1241" spans="1:17" s="52" customFormat="1" ht="39.950000000000003" customHeight="1">
      <c r="A1241" s="9">
        <v>45</v>
      </c>
      <c r="B1241" s="207">
        <v>6576</v>
      </c>
      <c r="C1241" s="243" t="s">
        <v>2780</v>
      </c>
      <c r="D1241" s="185" t="s">
        <v>2781</v>
      </c>
      <c r="E1241" s="51" t="s">
        <v>162</v>
      </c>
      <c r="F1241" s="30">
        <v>7.5</v>
      </c>
      <c r="G1241" s="30">
        <v>2.5</v>
      </c>
      <c r="H1241" s="30">
        <f>IF(G1241&gt;0,(G1241*1.5)+F1241,"YOK")</f>
        <v>11.25</v>
      </c>
      <c r="I1241" s="47" t="s">
        <v>132</v>
      </c>
      <c r="J1241" s="31"/>
      <c r="K1241" s="32">
        <v>1</v>
      </c>
      <c r="L1241" s="32">
        <v>1</v>
      </c>
      <c r="M1241" s="33"/>
      <c r="N1241" s="33"/>
      <c r="O1241" s="21"/>
      <c r="P1241" s="21"/>
    </row>
    <row r="1242" spans="1:17" s="52" customFormat="1" ht="39.950000000000003" customHeight="1">
      <c r="A1242" s="9">
        <v>46</v>
      </c>
      <c r="B1242" s="207">
        <v>6659</v>
      </c>
      <c r="C1242" s="243" t="s">
        <v>2938</v>
      </c>
      <c r="D1242" s="185" t="s">
        <v>2939</v>
      </c>
      <c r="E1242" s="51" t="s">
        <v>165</v>
      </c>
      <c r="F1242" s="30">
        <v>7.5</v>
      </c>
      <c r="G1242" s="30">
        <v>2.5</v>
      </c>
      <c r="H1242" s="30">
        <f>IF(G1242&gt;0,(G1242*1.5)+F1242,"YOK")</f>
        <v>11.25</v>
      </c>
      <c r="I1242" s="49" t="s">
        <v>805</v>
      </c>
      <c r="J1242" s="31"/>
      <c r="K1242" s="32">
        <v>1</v>
      </c>
      <c r="L1242" s="32"/>
      <c r="M1242" s="33"/>
      <c r="N1242" s="33"/>
      <c r="O1242" s="21"/>
      <c r="P1242" s="21"/>
    </row>
    <row r="1243" spans="1:17" s="52" customFormat="1" ht="39.950000000000003" customHeight="1">
      <c r="A1243" s="9">
        <v>47</v>
      </c>
      <c r="B1243" s="207">
        <v>6574</v>
      </c>
      <c r="C1243" s="243" t="s">
        <v>2774</v>
      </c>
      <c r="D1243" s="185" t="s">
        <v>2775</v>
      </c>
      <c r="E1243" s="51" t="s">
        <v>165</v>
      </c>
      <c r="F1243" s="30">
        <v>7.5</v>
      </c>
      <c r="G1243" s="30">
        <v>2.5</v>
      </c>
      <c r="H1243" s="30">
        <f>IF(G1243&gt;0,(G1243*1.5)+F1243,"YOK")</f>
        <v>11.25</v>
      </c>
      <c r="I1243" s="49" t="s">
        <v>805</v>
      </c>
      <c r="J1243" s="31"/>
      <c r="K1243" s="32">
        <v>1</v>
      </c>
      <c r="L1243" s="32"/>
      <c r="M1243" s="33"/>
      <c r="N1243" s="33"/>
      <c r="O1243" s="21"/>
      <c r="P1243" s="21"/>
    </row>
    <row r="1244" spans="1:17" ht="39.950000000000003" customHeight="1">
      <c r="A1244" s="40"/>
      <c r="B1244" s="262" t="s">
        <v>537</v>
      </c>
      <c r="C1244" s="263"/>
      <c r="D1244" s="264"/>
      <c r="E1244" s="46"/>
      <c r="F1244" s="41"/>
      <c r="G1244" s="41"/>
      <c r="H1244" s="41"/>
      <c r="I1244" s="42"/>
      <c r="J1244" s="43">
        <f>SUM(J1197:J1243)</f>
        <v>4</v>
      </c>
      <c r="K1244" s="43">
        <f>SUM(K1197:K1243)</f>
        <v>43</v>
      </c>
      <c r="L1244" s="43">
        <f>SUM(L1197:L1243)</f>
        <v>6</v>
      </c>
      <c r="M1244" s="43">
        <f>SUM(M1197:M1243)</f>
        <v>0</v>
      </c>
      <c r="N1244" s="33"/>
      <c r="O1244" s="21"/>
      <c r="P1244" s="21"/>
    </row>
    <row r="1245" spans="1:17" s="52" customFormat="1" ht="39.950000000000003" customHeight="1">
      <c r="A1245" s="9">
        <v>1</v>
      </c>
      <c r="B1245" s="207">
        <v>5554</v>
      </c>
      <c r="C1245" s="50" t="s">
        <v>909</v>
      </c>
      <c r="D1245" s="50" t="s">
        <v>910</v>
      </c>
      <c r="E1245" s="51" t="s">
        <v>521</v>
      </c>
      <c r="F1245" s="30" t="s">
        <v>17</v>
      </c>
      <c r="G1245" s="30"/>
      <c r="H1245" s="30"/>
      <c r="I1245" s="49" t="s">
        <v>255</v>
      </c>
      <c r="J1245" s="31"/>
      <c r="K1245" s="32">
        <v>1</v>
      </c>
      <c r="L1245" s="32"/>
      <c r="M1245" s="33"/>
      <c r="N1245" s="33"/>
      <c r="O1245" s="21"/>
      <c r="P1245" s="21"/>
    </row>
    <row r="1246" spans="1:17" s="52" customFormat="1" ht="39.950000000000003" customHeight="1">
      <c r="A1246" s="9">
        <v>2</v>
      </c>
      <c r="B1246" s="207">
        <v>6170</v>
      </c>
      <c r="C1246" s="50" t="s">
        <v>2017</v>
      </c>
      <c r="D1246" s="50" t="s">
        <v>2018</v>
      </c>
      <c r="E1246" s="51" t="s">
        <v>532</v>
      </c>
      <c r="F1246" s="30" t="s">
        <v>17</v>
      </c>
      <c r="G1246" s="30"/>
      <c r="H1246" s="30"/>
      <c r="I1246" s="49" t="s">
        <v>255</v>
      </c>
      <c r="J1246" s="31"/>
      <c r="K1246" s="32">
        <v>1</v>
      </c>
      <c r="L1246" s="32"/>
      <c r="M1246" s="33"/>
      <c r="N1246" s="33"/>
      <c r="O1246" s="21"/>
      <c r="P1246" s="21"/>
      <c r="Q1246" s="21"/>
    </row>
    <row r="1247" spans="1:17" s="52" customFormat="1" ht="39.950000000000003" customHeight="1">
      <c r="A1247" s="9">
        <v>3</v>
      </c>
      <c r="B1247" s="207">
        <v>6529</v>
      </c>
      <c r="C1247" s="185" t="s">
        <v>2664</v>
      </c>
      <c r="D1247" s="50" t="s">
        <v>2665</v>
      </c>
      <c r="E1247" s="51" t="s">
        <v>532</v>
      </c>
      <c r="F1247" s="30" t="s">
        <v>17</v>
      </c>
      <c r="G1247" s="30"/>
      <c r="H1247" s="30"/>
      <c r="I1247" s="49" t="s">
        <v>255</v>
      </c>
      <c r="J1247" s="31"/>
      <c r="K1247" s="32">
        <v>1</v>
      </c>
      <c r="L1247" s="32"/>
      <c r="M1247" s="33"/>
      <c r="N1247" s="33"/>
      <c r="O1247" s="21"/>
      <c r="P1247" s="21"/>
      <c r="Q1247" s="21"/>
    </row>
    <row r="1248" spans="1:17" s="52" customFormat="1" ht="39.950000000000003" customHeight="1">
      <c r="A1248" s="9">
        <v>4</v>
      </c>
      <c r="B1248" s="207">
        <v>4482</v>
      </c>
      <c r="C1248" s="50" t="s">
        <v>538</v>
      </c>
      <c r="D1248" s="50" t="s">
        <v>539</v>
      </c>
      <c r="E1248" s="51" t="s">
        <v>349</v>
      </c>
      <c r="F1248" s="30">
        <v>7.5</v>
      </c>
      <c r="G1248" s="30">
        <v>2.5</v>
      </c>
      <c r="H1248" s="30">
        <f t="shared" ref="H1248:H1260" si="501">IF(G1248&gt;0,(G1248*1.5)+F1248,"YOK")</f>
        <v>11.25</v>
      </c>
      <c r="I1248" s="49" t="s">
        <v>788</v>
      </c>
      <c r="J1248" s="31"/>
      <c r="K1248" s="32">
        <v>1</v>
      </c>
      <c r="L1248" s="32"/>
      <c r="M1248" s="33"/>
      <c r="N1248" s="33"/>
      <c r="O1248" s="21"/>
      <c r="P1248" s="21"/>
    </row>
    <row r="1249" spans="1:16" s="52" customFormat="1" ht="39.950000000000003" customHeight="1">
      <c r="A1249" s="9">
        <v>5</v>
      </c>
      <c r="B1249" s="207">
        <v>5593</v>
      </c>
      <c r="C1249" s="50" t="s">
        <v>982</v>
      </c>
      <c r="D1249" s="50" t="s">
        <v>991</v>
      </c>
      <c r="E1249" s="51" t="s">
        <v>349</v>
      </c>
      <c r="F1249" s="30">
        <v>7.5</v>
      </c>
      <c r="G1249" s="30">
        <v>2.5</v>
      </c>
      <c r="H1249" s="30">
        <f t="shared" ref="H1249" si="502">IF(G1249&gt;0,(G1249*1.5)+F1249,"YOK")</f>
        <v>11.25</v>
      </c>
      <c r="I1249" s="49" t="s">
        <v>788</v>
      </c>
      <c r="J1249" s="31"/>
      <c r="K1249" s="32">
        <v>1</v>
      </c>
      <c r="L1249" s="32"/>
      <c r="M1249" s="33"/>
      <c r="N1249" s="33"/>
      <c r="O1249" s="21"/>
      <c r="P1249" s="21"/>
    </row>
    <row r="1250" spans="1:16" s="52" customFormat="1" ht="39.950000000000003" customHeight="1">
      <c r="A1250" s="9">
        <v>6</v>
      </c>
      <c r="B1250" s="207">
        <v>4588</v>
      </c>
      <c r="C1250" s="50" t="s">
        <v>549</v>
      </c>
      <c r="D1250" s="50" t="s">
        <v>550</v>
      </c>
      <c r="E1250" s="51" t="s">
        <v>349</v>
      </c>
      <c r="F1250" s="30">
        <v>7.5</v>
      </c>
      <c r="G1250" s="30">
        <v>2.5</v>
      </c>
      <c r="H1250" s="30">
        <f t="shared" ref="H1250" si="503">IF(G1250&gt;0,(G1250*1.5)+F1250,"YOK")</f>
        <v>11.25</v>
      </c>
      <c r="I1250" s="49" t="s">
        <v>788</v>
      </c>
      <c r="J1250" s="31"/>
      <c r="K1250" s="32">
        <v>1</v>
      </c>
      <c r="L1250" s="32"/>
      <c r="M1250" s="33"/>
      <c r="N1250" s="33"/>
      <c r="O1250" s="21"/>
      <c r="P1250" s="21"/>
    </row>
    <row r="1251" spans="1:16" s="52" customFormat="1" ht="39.950000000000003" customHeight="1">
      <c r="A1251" s="9">
        <v>7</v>
      </c>
      <c r="B1251" s="207">
        <v>5679</v>
      </c>
      <c r="C1251" s="50" t="s">
        <v>1125</v>
      </c>
      <c r="D1251" s="50" t="s">
        <v>1126</v>
      </c>
      <c r="E1251" s="51" t="s">
        <v>349</v>
      </c>
      <c r="F1251" s="30">
        <v>7.5</v>
      </c>
      <c r="G1251" s="30">
        <v>2.5</v>
      </c>
      <c r="H1251" s="30">
        <f t="shared" ref="H1251" si="504">IF(G1251&gt;0,(G1251*1.5)+F1251,"YOK")</f>
        <v>11.25</v>
      </c>
      <c r="I1251" s="49" t="s">
        <v>788</v>
      </c>
      <c r="J1251" s="31"/>
      <c r="K1251" s="32">
        <v>1</v>
      </c>
      <c r="L1251" s="32"/>
      <c r="M1251" s="33"/>
      <c r="N1251" s="33"/>
      <c r="O1251" s="21"/>
      <c r="P1251" s="21"/>
    </row>
    <row r="1252" spans="1:16" s="52" customFormat="1" ht="39.950000000000003" customHeight="1">
      <c r="A1252" s="9">
        <v>8</v>
      </c>
      <c r="B1252" s="207">
        <v>5739</v>
      </c>
      <c r="C1252" s="50" t="s">
        <v>1232</v>
      </c>
      <c r="D1252" s="50" t="s">
        <v>1231</v>
      </c>
      <c r="E1252" s="51" t="s">
        <v>349</v>
      </c>
      <c r="F1252" s="30">
        <v>7.5</v>
      </c>
      <c r="G1252" s="30">
        <v>2.5</v>
      </c>
      <c r="H1252" s="30">
        <f t="shared" ref="H1252" si="505">IF(G1252&gt;0,(G1252*1.5)+F1252,"YOK")</f>
        <v>11.25</v>
      </c>
      <c r="I1252" s="49" t="s">
        <v>788</v>
      </c>
      <c r="J1252" s="31"/>
      <c r="K1252" s="32">
        <v>1</v>
      </c>
      <c r="L1252" s="32"/>
      <c r="M1252" s="33"/>
      <c r="N1252" s="33"/>
      <c r="O1252" s="21"/>
      <c r="P1252" s="21"/>
    </row>
    <row r="1253" spans="1:16" s="52" customFormat="1" ht="39.950000000000003" customHeight="1">
      <c r="A1253" s="9">
        <v>9</v>
      </c>
      <c r="B1253" s="207">
        <v>6250</v>
      </c>
      <c r="C1253" s="50" t="s">
        <v>2194</v>
      </c>
      <c r="D1253" s="50" t="s">
        <v>2195</v>
      </c>
      <c r="E1253" s="51" t="s">
        <v>349</v>
      </c>
      <c r="F1253" s="30">
        <v>7.5</v>
      </c>
      <c r="G1253" s="30">
        <v>2.5</v>
      </c>
      <c r="H1253" s="30">
        <f t="shared" ref="H1253" si="506">IF(G1253&gt;0,(G1253*1.5)+F1253,"YOK")</f>
        <v>11.25</v>
      </c>
      <c r="I1253" s="49" t="s">
        <v>788</v>
      </c>
      <c r="J1253" s="31"/>
      <c r="K1253" s="32">
        <v>1</v>
      </c>
      <c r="L1253" s="32"/>
      <c r="M1253" s="33"/>
      <c r="N1253" s="33"/>
      <c r="O1253" s="21"/>
      <c r="P1253" s="21"/>
    </row>
    <row r="1254" spans="1:16" s="52" customFormat="1" ht="39.950000000000003" customHeight="1">
      <c r="A1254" s="9">
        <v>10</v>
      </c>
      <c r="B1254" s="207">
        <v>6723</v>
      </c>
      <c r="C1254" s="185" t="s">
        <v>3203</v>
      </c>
      <c r="D1254" s="50" t="s">
        <v>3204</v>
      </c>
      <c r="E1254" s="51" t="s">
        <v>349</v>
      </c>
      <c r="F1254" s="30">
        <v>7.5</v>
      </c>
      <c r="G1254" s="30">
        <v>2.5</v>
      </c>
      <c r="H1254" s="30">
        <f t="shared" ref="H1254" si="507">IF(G1254&gt;0,(G1254*1.5)+F1254,"YOK")</f>
        <v>11.25</v>
      </c>
      <c r="I1254" s="49" t="s">
        <v>788</v>
      </c>
      <c r="J1254" s="31"/>
      <c r="K1254" s="32">
        <v>1</v>
      </c>
      <c r="L1254" s="32"/>
      <c r="M1254" s="33"/>
      <c r="N1254" s="33"/>
      <c r="O1254" s="21"/>
      <c r="P1254" s="21"/>
    </row>
    <row r="1255" spans="1:16" s="52" customFormat="1" ht="39.950000000000003" customHeight="1">
      <c r="A1255" s="9">
        <v>11</v>
      </c>
      <c r="B1255" s="207">
        <v>4483</v>
      </c>
      <c r="C1255" s="50" t="s">
        <v>542</v>
      </c>
      <c r="D1255" s="50" t="s">
        <v>543</v>
      </c>
      <c r="E1255" s="51" t="s">
        <v>298</v>
      </c>
      <c r="F1255" s="30">
        <v>7.5</v>
      </c>
      <c r="G1255" s="30">
        <v>2.5</v>
      </c>
      <c r="H1255" s="30">
        <f t="shared" ref="H1255" si="508">IF(G1255&gt;0,(G1255*1.5)+F1255,"YOK")</f>
        <v>11.25</v>
      </c>
      <c r="I1255" s="49" t="s">
        <v>788</v>
      </c>
      <c r="J1255" s="31"/>
      <c r="K1255" s="32">
        <v>1</v>
      </c>
      <c r="L1255" s="32"/>
      <c r="M1255" s="33"/>
      <c r="N1255" s="33"/>
      <c r="O1255" s="21"/>
      <c r="P1255" s="21"/>
    </row>
    <row r="1256" spans="1:16" s="52" customFormat="1" ht="39.950000000000003" customHeight="1">
      <c r="A1256" s="9">
        <v>12</v>
      </c>
      <c r="B1256" s="207">
        <v>5591</v>
      </c>
      <c r="C1256" s="50" t="s">
        <v>986</v>
      </c>
      <c r="D1256" s="50" t="s">
        <v>989</v>
      </c>
      <c r="E1256" s="51" t="s">
        <v>298</v>
      </c>
      <c r="F1256" s="30">
        <v>7.5</v>
      </c>
      <c r="G1256" s="30">
        <v>2.5</v>
      </c>
      <c r="H1256" s="30">
        <f t="shared" ref="H1256" si="509">IF(G1256&gt;0,(G1256*1.5)+F1256,"YOK")</f>
        <v>11.25</v>
      </c>
      <c r="I1256" s="49" t="s">
        <v>788</v>
      </c>
      <c r="J1256" s="31"/>
      <c r="K1256" s="32">
        <v>1</v>
      </c>
      <c r="L1256" s="32"/>
      <c r="M1256" s="33"/>
      <c r="N1256" s="33"/>
      <c r="O1256" s="21"/>
      <c r="P1256" s="21"/>
    </row>
    <row r="1257" spans="1:16" s="52" customFormat="1" ht="39.950000000000003" customHeight="1">
      <c r="A1257" s="9">
        <v>13</v>
      </c>
      <c r="B1257" s="207">
        <v>5590</v>
      </c>
      <c r="C1257" s="50" t="s">
        <v>983</v>
      </c>
      <c r="D1257" s="50" t="s">
        <v>988</v>
      </c>
      <c r="E1257" s="51" t="s">
        <v>512</v>
      </c>
      <c r="F1257" s="30">
        <v>7.5</v>
      </c>
      <c r="G1257" s="30">
        <v>2.5</v>
      </c>
      <c r="H1257" s="30">
        <f t="shared" ref="H1257" si="510">IF(G1257&gt;0,(G1257*1.5)+F1257,"YOK")</f>
        <v>11.25</v>
      </c>
      <c r="I1257" s="49" t="s">
        <v>788</v>
      </c>
      <c r="J1257" s="31"/>
      <c r="K1257" s="32">
        <v>1</v>
      </c>
      <c r="L1257" s="32"/>
      <c r="M1257" s="33"/>
      <c r="N1257" s="33"/>
      <c r="O1257" s="21"/>
      <c r="P1257" s="21"/>
    </row>
    <row r="1258" spans="1:16" s="52" customFormat="1" ht="39.950000000000003" customHeight="1">
      <c r="A1258" s="9">
        <v>14</v>
      </c>
      <c r="B1258" s="207">
        <v>5592</v>
      </c>
      <c r="C1258" s="50" t="s">
        <v>984</v>
      </c>
      <c r="D1258" s="50" t="s">
        <v>990</v>
      </c>
      <c r="E1258" s="51" t="s">
        <v>512</v>
      </c>
      <c r="F1258" s="30">
        <v>7.5</v>
      </c>
      <c r="G1258" s="30">
        <v>2.5</v>
      </c>
      <c r="H1258" s="30">
        <f t="shared" ref="H1258" si="511">IF(G1258&gt;0,(G1258*1.5)+F1258,"YOK")</f>
        <v>11.25</v>
      </c>
      <c r="I1258" s="49" t="s">
        <v>788</v>
      </c>
      <c r="J1258" s="31"/>
      <c r="K1258" s="32">
        <v>1</v>
      </c>
      <c r="L1258" s="32"/>
      <c r="M1258" s="33"/>
      <c r="N1258" s="33"/>
      <c r="O1258" s="21"/>
      <c r="P1258" s="21"/>
    </row>
    <row r="1259" spans="1:16" s="52" customFormat="1" ht="39.950000000000003" customHeight="1">
      <c r="A1259" s="9">
        <v>15</v>
      </c>
      <c r="B1259" s="207">
        <v>5852</v>
      </c>
      <c r="C1259" s="50" t="s">
        <v>544</v>
      </c>
      <c r="D1259" s="50" t="s">
        <v>545</v>
      </c>
      <c r="E1259" s="51" t="s">
        <v>512</v>
      </c>
      <c r="F1259" s="30">
        <v>7.5</v>
      </c>
      <c r="G1259" s="30">
        <v>2.5</v>
      </c>
      <c r="H1259" s="30">
        <f t="shared" ref="H1259" si="512">IF(G1259&gt;0,(G1259*1.5)+F1259,"YOK")</f>
        <v>11.25</v>
      </c>
      <c r="I1259" s="49" t="s">
        <v>788</v>
      </c>
      <c r="J1259" s="31"/>
      <c r="K1259" s="32">
        <v>1</v>
      </c>
      <c r="L1259" s="32"/>
      <c r="M1259" s="33"/>
      <c r="N1259" s="33"/>
      <c r="O1259" s="21"/>
      <c r="P1259" s="21"/>
    </row>
    <row r="1260" spans="1:16" s="52" customFormat="1" ht="39.950000000000003" customHeight="1">
      <c r="A1260" s="9">
        <v>16</v>
      </c>
      <c r="B1260" s="207">
        <v>4708</v>
      </c>
      <c r="C1260" s="50" t="s">
        <v>546</v>
      </c>
      <c r="D1260" s="50" t="s">
        <v>547</v>
      </c>
      <c r="E1260" s="51" t="s">
        <v>512</v>
      </c>
      <c r="F1260" s="30">
        <v>7.5</v>
      </c>
      <c r="G1260" s="30">
        <v>2.5</v>
      </c>
      <c r="H1260" s="30">
        <f t="shared" si="501"/>
        <v>11.25</v>
      </c>
      <c r="I1260" s="49" t="s">
        <v>789</v>
      </c>
      <c r="J1260" s="31"/>
      <c r="K1260" s="32">
        <v>1</v>
      </c>
      <c r="L1260" s="32"/>
      <c r="M1260" s="33"/>
      <c r="N1260" s="33"/>
      <c r="O1260" s="21"/>
      <c r="P1260" s="21"/>
    </row>
    <row r="1261" spans="1:16" s="52" customFormat="1" ht="39.950000000000003" customHeight="1">
      <c r="A1261" s="9">
        <v>17</v>
      </c>
      <c r="B1261" s="207">
        <v>5665</v>
      </c>
      <c r="C1261" s="50" t="s">
        <v>548</v>
      </c>
      <c r="D1261" s="50" t="s">
        <v>958</v>
      </c>
      <c r="E1261" s="51" t="s">
        <v>512</v>
      </c>
      <c r="F1261" s="30">
        <v>7.5</v>
      </c>
      <c r="G1261" s="30">
        <v>2.5</v>
      </c>
      <c r="H1261" s="30">
        <f t="shared" ref="H1261" si="513">IF(G1261&gt;0,(G1261*1.5)+F1261,"YOK")</f>
        <v>11.25</v>
      </c>
      <c r="I1261" s="49" t="s">
        <v>789</v>
      </c>
      <c r="J1261" s="31"/>
      <c r="K1261" s="32">
        <v>1</v>
      </c>
      <c r="L1261" s="32"/>
      <c r="M1261" s="33"/>
      <c r="N1261" s="33"/>
      <c r="O1261" s="21"/>
      <c r="P1261" s="21"/>
    </row>
    <row r="1262" spans="1:16" s="52" customFormat="1" ht="39.950000000000003" customHeight="1">
      <c r="A1262" s="9">
        <v>18</v>
      </c>
      <c r="B1262" s="207">
        <v>5643</v>
      </c>
      <c r="C1262" s="50" t="s">
        <v>1061</v>
      </c>
      <c r="D1262" s="50" t="s">
        <v>1062</v>
      </c>
      <c r="E1262" s="51" t="s">
        <v>512</v>
      </c>
      <c r="F1262" s="30">
        <v>7.5</v>
      </c>
      <c r="G1262" s="30">
        <v>2.5</v>
      </c>
      <c r="H1262" s="30">
        <f t="shared" ref="H1262" si="514">IF(G1262&gt;0,(G1262*1.5)+F1262,"YOK")</f>
        <v>11.25</v>
      </c>
      <c r="I1262" s="49" t="s">
        <v>789</v>
      </c>
      <c r="J1262" s="31"/>
      <c r="K1262" s="32">
        <v>1</v>
      </c>
      <c r="L1262" s="32"/>
      <c r="M1262" s="32"/>
      <c r="N1262" s="33"/>
      <c r="O1262" s="21"/>
      <c r="P1262" s="21"/>
    </row>
    <row r="1263" spans="1:16" s="52" customFormat="1" ht="39.950000000000003" customHeight="1">
      <c r="A1263" s="9">
        <v>19</v>
      </c>
      <c r="B1263" s="207">
        <v>5808</v>
      </c>
      <c r="C1263" s="50" t="s">
        <v>1247</v>
      </c>
      <c r="D1263" s="50" t="s">
        <v>1246</v>
      </c>
      <c r="E1263" s="51" t="s">
        <v>512</v>
      </c>
      <c r="F1263" s="30">
        <v>7.5</v>
      </c>
      <c r="G1263" s="30">
        <v>2.5</v>
      </c>
      <c r="H1263" s="30">
        <f t="shared" ref="H1263" si="515">IF(G1263&gt;0,(G1263*1.5)+F1263,"YOK")</f>
        <v>11.25</v>
      </c>
      <c r="I1263" s="49" t="s">
        <v>789</v>
      </c>
      <c r="J1263" s="31"/>
      <c r="K1263" s="32">
        <v>1</v>
      </c>
      <c r="L1263" s="32"/>
      <c r="M1263" s="33"/>
      <c r="N1263" s="33"/>
      <c r="O1263" s="21"/>
      <c r="P1263" s="21"/>
    </row>
    <row r="1264" spans="1:16" s="52" customFormat="1" ht="39.950000000000003" customHeight="1">
      <c r="A1264" s="9">
        <v>20</v>
      </c>
      <c r="B1264" s="207">
        <v>6096</v>
      </c>
      <c r="C1264" s="50" t="s">
        <v>1815</v>
      </c>
      <c r="D1264" s="50" t="s">
        <v>1816</v>
      </c>
      <c r="E1264" s="51" t="s">
        <v>512</v>
      </c>
      <c r="F1264" s="30">
        <v>7.5</v>
      </c>
      <c r="G1264" s="30">
        <v>2.5</v>
      </c>
      <c r="H1264" s="30">
        <f t="shared" ref="H1264" si="516">IF(G1264&gt;0,(G1264*1.5)+F1264,"YOK")</f>
        <v>11.25</v>
      </c>
      <c r="I1264" s="49" t="s">
        <v>789</v>
      </c>
      <c r="J1264" s="31"/>
      <c r="K1264" s="32">
        <v>1</v>
      </c>
      <c r="L1264" s="32"/>
      <c r="M1264" s="33"/>
      <c r="N1264" s="33"/>
      <c r="O1264"/>
      <c r="P1264" s="21"/>
    </row>
    <row r="1265" spans="1:16" s="52" customFormat="1" ht="39.950000000000003" customHeight="1">
      <c r="A1265" s="9">
        <v>21</v>
      </c>
      <c r="B1265" s="207">
        <v>6403</v>
      </c>
      <c r="C1265" s="50" t="s">
        <v>2476</v>
      </c>
      <c r="D1265" s="50" t="s">
        <v>2477</v>
      </c>
      <c r="E1265" s="51" t="s">
        <v>512</v>
      </c>
      <c r="F1265" s="30">
        <v>7.5</v>
      </c>
      <c r="G1265" s="30">
        <v>2.5</v>
      </c>
      <c r="H1265" s="30">
        <f t="shared" ref="H1265" si="517">IF(G1265&gt;0,(G1265*1.5)+F1265,"YOK")</f>
        <v>11.25</v>
      </c>
      <c r="I1265" s="49" t="s">
        <v>789</v>
      </c>
      <c r="J1265" s="31"/>
      <c r="K1265" s="32">
        <v>1</v>
      </c>
      <c r="L1265" s="32"/>
      <c r="M1265" s="33"/>
      <c r="N1265" s="33"/>
      <c r="O1265"/>
      <c r="P1265" s="21"/>
    </row>
    <row r="1266" spans="1:16" s="52" customFormat="1" ht="39.950000000000003" customHeight="1">
      <c r="A1266" s="9">
        <v>22</v>
      </c>
      <c r="B1266" s="207">
        <v>6404</v>
      </c>
      <c r="C1266" s="50" t="s">
        <v>2478</v>
      </c>
      <c r="D1266" s="50" t="s">
        <v>2479</v>
      </c>
      <c r="E1266" s="51" t="s">
        <v>512</v>
      </c>
      <c r="F1266" s="30">
        <v>7.5</v>
      </c>
      <c r="G1266" s="30">
        <v>2.5</v>
      </c>
      <c r="H1266" s="30">
        <f t="shared" ref="H1266" si="518">IF(G1266&gt;0,(G1266*1.5)+F1266,"YOK")</f>
        <v>11.25</v>
      </c>
      <c r="I1266" s="49" t="s">
        <v>789</v>
      </c>
      <c r="J1266" s="31"/>
      <c r="K1266" s="32">
        <v>1</v>
      </c>
      <c r="L1266" s="32"/>
      <c r="M1266" s="33"/>
      <c r="N1266" s="33"/>
      <c r="O1266"/>
      <c r="P1266" s="21"/>
    </row>
    <row r="1267" spans="1:16" s="52" customFormat="1" ht="39.950000000000003" customHeight="1">
      <c r="A1267" s="9">
        <v>23</v>
      </c>
      <c r="B1267" s="207">
        <v>6405</v>
      </c>
      <c r="C1267" s="50" t="s">
        <v>2480</v>
      </c>
      <c r="D1267" s="50" t="s">
        <v>2481</v>
      </c>
      <c r="E1267" s="51" t="s">
        <v>512</v>
      </c>
      <c r="F1267" s="30">
        <v>7.5</v>
      </c>
      <c r="G1267" s="30">
        <v>2.5</v>
      </c>
      <c r="H1267" s="30">
        <f t="shared" ref="H1267" si="519">IF(G1267&gt;0,(G1267*1.5)+F1267,"YOK")</f>
        <v>11.25</v>
      </c>
      <c r="I1267" s="49" t="s">
        <v>789</v>
      </c>
      <c r="J1267" s="31"/>
      <c r="K1267" s="32">
        <v>1</v>
      </c>
      <c r="L1267" s="32"/>
      <c r="M1267" s="33"/>
      <c r="N1267" s="33"/>
      <c r="O1267"/>
      <c r="P1267" s="21"/>
    </row>
    <row r="1268" spans="1:16" s="52" customFormat="1" ht="39.950000000000003" customHeight="1">
      <c r="A1268" s="9">
        <v>24</v>
      </c>
      <c r="B1268" s="207">
        <v>6406</v>
      </c>
      <c r="C1268" s="50" t="s">
        <v>2482</v>
      </c>
      <c r="D1268" s="50" t="s">
        <v>2483</v>
      </c>
      <c r="E1268" s="51" t="s">
        <v>512</v>
      </c>
      <c r="F1268" s="30">
        <v>7.5</v>
      </c>
      <c r="G1268" s="30">
        <v>2.5</v>
      </c>
      <c r="H1268" s="30">
        <f t="shared" ref="H1268" si="520">IF(G1268&gt;0,(G1268*1.5)+F1268,"YOK")</f>
        <v>11.25</v>
      </c>
      <c r="I1268" s="49" t="s">
        <v>789</v>
      </c>
      <c r="J1268" s="31"/>
      <c r="K1268" s="32">
        <v>1</v>
      </c>
      <c r="L1268" s="32"/>
      <c r="M1268" s="33"/>
      <c r="N1268" s="33"/>
      <c r="O1268"/>
      <c r="P1268" s="21"/>
    </row>
    <row r="1269" spans="1:16" s="52" customFormat="1" ht="39.950000000000003" customHeight="1">
      <c r="A1269" s="9">
        <v>25</v>
      </c>
      <c r="B1269" s="207">
        <v>6528</v>
      </c>
      <c r="C1269" s="185" t="s">
        <v>2666</v>
      </c>
      <c r="D1269" s="50" t="s">
        <v>2667</v>
      </c>
      <c r="E1269" s="51" t="s">
        <v>512</v>
      </c>
      <c r="F1269" s="30">
        <v>7.5</v>
      </c>
      <c r="G1269" s="30">
        <v>2.5</v>
      </c>
      <c r="H1269" s="30">
        <f t="shared" ref="H1269" si="521">IF(G1269&gt;0,(G1269*1.5)+F1269,"YOK")</f>
        <v>11.25</v>
      </c>
      <c r="I1269" s="49" t="s">
        <v>789</v>
      </c>
      <c r="J1269" s="31"/>
      <c r="K1269" s="32">
        <v>1</v>
      </c>
      <c r="L1269" s="32"/>
      <c r="M1269" s="33"/>
      <c r="N1269" s="33"/>
      <c r="O1269"/>
      <c r="P1269" s="21"/>
    </row>
    <row r="1270" spans="1:16" s="52" customFormat="1" ht="39.950000000000003" customHeight="1">
      <c r="A1270" s="9">
        <v>26</v>
      </c>
      <c r="B1270" s="207">
        <v>4383</v>
      </c>
      <c r="C1270" s="50" t="s">
        <v>551</v>
      </c>
      <c r="D1270" s="50" t="s">
        <v>552</v>
      </c>
      <c r="E1270" s="51" t="s">
        <v>162</v>
      </c>
      <c r="F1270" s="30">
        <v>7.5</v>
      </c>
      <c r="G1270" s="30">
        <v>2.5</v>
      </c>
      <c r="H1270" s="30">
        <f t="shared" ref="H1270:H1275" si="522">IF(G1270&gt;0,(G1270*1.5)+F1270,"YOK")</f>
        <v>11.25</v>
      </c>
      <c r="I1270" s="49" t="s">
        <v>789</v>
      </c>
      <c r="J1270" s="31"/>
      <c r="K1270" s="32">
        <v>1</v>
      </c>
      <c r="L1270" s="32"/>
      <c r="M1270" s="33"/>
      <c r="N1270" s="33"/>
      <c r="O1270" s="21"/>
      <c r="P1270" s="21"/>
    </row>
    <row r="1271" spans="1:16" s="52" customFormat="1" ht="39.950000000000003" customHeight="1">
      <c r="A1271" s="9">
        <v>27</v>
      </c>
      <c r="B1271" s="207">
        <v>6095</v>
      </c>
      <c r="C1271" s="50" t="s">
        <v>1813</v>
      </c>
      <c r="D1271" s="50" t="s">
        <v>1814</v>
      </c>
      <c r="E1271" s="51" t="s">
        <v>162</v>
      </c>
      <c r="F1271" s="30">
        <v>7.5</v>
      </c>
      <c r="G1271" s="30">
        <v>2.5</v>
      </c>
      <c r="H1271" s="30">
        <f t="shared" si="522"/>
        <v>11.25</v>
      </c>
      <c r="I1271" s="49" t="s">
        <v>789</v>
      </c>
      <c r="J1271" s="31"/>
      <c r="K1271" s="32">
        <v>1</v>
      </c>
      <c r="L1271" s="32"/>
      <c r="M1271" s="33"/>
      <c r="N1271" s="33"/>
      <c r="O1271" s="21"/>
      <c r="P1271" s="21"/>
    </row>
    <row r="1272" spans="1:16" s="52" customFormat="1" ht="39.950000000000003" customHeight="1">
      <c r="A1272" s="9">
        <v>28</v>
      </c>
      <c r="B1272" s="207">
        <v>6166</v>
      </c>
      <c r="C1272" s="50" t="s">
        <v>2019</v>
      </c>
      <c r="D1272" s="50" t="s">
        <v>2020</v>
      </c>
      <c r="E1272" s="51" t="s">
        <v>162</v>
      </c>
      <c r="F1272" s="30">
        <v>7.5</v>
      </c>
      <c r="G1272" s="30">
        <v>2.5</v>
      </c>
      <c r="H1272" s="30">
        <f t="shared" ref="H1272" si="523">IF(G1272&gt;0,(G1272*1.5)+F1272,"YOK")</f>
        <v>11.25</v>
      </c>
      <c r="I1272" s="49" t="s">
        <v>789</v>
      </c>
      <c r="J1272" s="31"/>
      <c r="K1272" s="32">
        <v>1</v>
      </c>
      <c r="L1272" s="32"/>
      <c r="M1272" s="33"/>
      <c r="N1272"/>
      <c r="O1272" s="21"/>
      <c r="P1272" s="21"/>
    </row>
    <row r="1273" spans="1:16" s="52" customFormat="1" ht="39.950000000000003" customHeight="1">
      <c r="A1273" s="9">
        <v>29</v>
      </c>
      <c r="B1273" s="207">
        <v>6182</v>
      </c>
      <c r="C1273" s="50" t="s">
        <v>2040</v>
      </c>
      <c r="D1273" s="50" t="s">
        <v>2041</v>
      </c>
      <c r="E1273" s="51" t="s">
        <v>162</v>
      </c>
      <c r="F1273" s="30">
        <v>7.5</v>
      </c>
      <c r="G1273" s="30">
        <v>2.5</v>
      </c>
      <c r="H1273" s="30">
        <f t="shared" ref="H1273" si="524">IF(G1273&gt;0,(G1273*1.5)+F1273,"YOK")</f>
        <v>11.25</v>
      </c>
      <c r="I1273" s="49" t="s">
        <v>789</v>
      </c>
      <c r="J1273" s="31"/>
      <c r="K1273" s="32">
        <v>1</v>
      </c>
      <c r="L1273" s="32"/>
      <c r="M1273" s="33"/>
      <c r="N1273" s="33"/>
      <c r="O1273" s="21"/>
      <c r="P1273" s="21"/>
    </row>
    <row r="1274" spans="1:16" s="52" customFormat="1" ht="39.950000000000003" customHeight="1">
      <c r="A1274" s="9">
        <v>30</v>
      </c>
      <c r="B1274" s="207">
        <v>5962</v>
      </c>
      <c r="C1274" s="50" t="s">
        <v>1544</v>
      </c>
      <c r="D1274" s="50" t="s">
        <v>1543</v>
      </c>
      <c r="E1274" s="51" t="s">
        <v>162</v>
      </c>
      <c r="F1274" s="30">
        <v>7.5</v>
      </c>
      <c r="G1274" s="30">
        <v>2.5</v>
      </c>
      <c r="H1274" s="30">
        <f>IF(G1274&gt;0,(G1274*1.5)+F1274,"YOK")</f>
        <v>11.25</v>
      </c>
      <c r="I1274" s="49" t="s">
        <v>789</v>
      </c>
      <c r="J1274" s="31"/>
      <c r="K1274" s="32">
        <v>1</v>
      </c>
      <c r="L1274" s="32"/>
      <c r="M1274" s="33"/>
      <c r="N1274" s="33"/>
      <c r="O1274" s="21"/>
      <c r="P1274" s="21"/>
    </row>
    <row r="1275" spans="1:16" s="52" customFormat="1" ht="39.950000000000003" customHeight="1">
      <c r="A1275" s="9">
        <v>31</v>
      </c>
      <c r="B1275" s="207">
        <v>5997</v>
      </c>
      <c r="C1275" s="50" t="s">
        <v>1634</v>
      </c>
      <c r="D1275" s="50" t="s">
        <v>1635</v>
      </c>
      <c r="E1275" s="51" t="s">
        <v>511</v>
      </c>
      <c r="F1275" s="30">
        <v>7.5</v>
      </c>
      <c r="G1275" s="30">
        <v>2.5</v>
      </c>
      <c r="H1275" s="30">
        <f t="shared" si="522"/>
        <v>11.25</v>
      </c>
      <c r="I1275" s="49" t="s">
        <v>789</v>
      </c>
      <c r="J1275" s="31"/>
      <c r="K1275" s="32">
        <v>1</v>
      </c>
      <c r="L1275" s="32"/>
      <c r="M1275" s="33"/>
      <c r="N1275" s="33"/>
      <c r="O1275"/>
      <c r="P1275" s="21"/>
    </row>
    <row r="1276" spans="1:16" s="52" customFormat="1" ht="39.950000000000003" customHeight="1">
      <c r="A1276" s="9">
        <v>32</v>
      </c>
      <c r="B1276" s="207">
        <v>5963</v>
      </c>
      <c r="C1276" s="50" t="s">
        <v>1545</v>
      </c>
      <c r="D1276" s="50" t="s">
        <v>1542</v>
      </c>
      <c r="E1276" s="51" t="s">
        <v>511</v>
      </c>
      <c r="F1276" s="30">
        <v>7.5</v>
      </c>
      <c r="G1276" s="30">
        <v>2.5</v>
      </c>
      <c r="H1276" s="30">
        <f t="shared" ref="H1276" si="525">IF(G1276&gt;0,(G1276*1.5)+F1276,"YOK")</f>
        <v>11.25</v>
      </c>
      <c r="I1276" s="49" t="s">
        <v>789</v>
      </c>
      <c r="J1276" s="31"/>
      <c r="K1276" s="32">
        <v>1</v>
      </c>
      <c r="L1276" s="32"/>
      <c r="M1276" s="33"/>
      <c r="N1276" s="33"/>
      <c r="O1276"/>
      <c r="P1276" s="21"/>
    </row>
    <row r="1277" spans="1:16" s="52" customFormat="1" ht="39.950000000000003" customHeight="1">
      <c r="A1277" s="9">
        <v>33</v>
      </c>
      <c r="B1277" s="207">
        <v>6270</v>
      </c>
      <c r="C1277" s="50" t="s">
        <v>2192</v>
      </c>
      <c r="D1277" s="50" t="s">
        <v>2193</v>
      </c>
      <c r="E1277" s="51" t="s">
        <v>511</v>
      </c>
      <c r="F1277" s="30">
        <v>7.5</v>
      </c>
      <c r="G1277" s="30">
        <v>2.5</v>
      </c>
      <c r="H1277" s="30">
        <f t="shared" ref="H1277" si="526">IF(G1277&gt;0,(G1277*1.5)+F1277,"YOK")</f>
        <v>11.25</v>
      </c>
      <c r="I1277" s="49" t="s">
        <v>789</v>
      </c>
      <c r="J1277" s="31"/>
      <c r="K1277" s="32">
        <v>1</v>
      </c>
      <c r="L1277" s="32"/>
      <c r="M1277" s="33"/>
      <c r="N1277" s="33"/>
      <c r="O1277"/>
      <c r="P1277" s="21"/>
    </row>
    <row r="1278" spans="1:16" s="52" customFormat="1" ht="39.950000000000003" customHeight="1">
      <c r="A1278" s="9">
        <v>34</v>
      </c>
      <c r="B1278" s="207">
        <v>6195</v>
      </c>
      <c r="C1278" s="50" t="s">
        <v>2079</v>
      </c>
      <c r="D1278" s="50" t="s">
        <v>2080</v>
      </c>
      <c r="E1278" s="51" t="s">
        <v>511</v>
      </c>
      <c r="F1278" s="30">
        <v>7.5</v>
      </c>
      <c r="G1278" s="30">
        <v>2.5</v>
      </c>
      <c r="H1278" s="30">
        <f t="shared" ref="H1278:H1280" si="527">IF(G1278&gt;0,(G1278*1.5)+F1278,"YOK")</f>
        <v>11.25</v>
      </c>
      <c r="I1278" s="49" t="s">
        <v>789</v>
      </c>
      <c r="J1278" s="31"/>
      <c r="K1278" s="32">
        <v>1</v>
      </c>
      <c r="L1278" s="32"/>
      <c r="M1278" s="33"/>
      <c r="N1278" s="33"/>
      <c r="O1278"/>
      <c r="P1278" s="21"/>
    </row>
    <row r="1279" spans="1:16" s="52" customFormat="1" ht="39.950000000000003" customHeight="1">
      <c r="A1279" s="9">
        <v>35</v>
      </c>
      <c r="B1279" s="207">
        <v>6123</v>
      </c>
      <c r="C1279" s="50" t="s">
        <v>1875</v>
      </c>
      <c r="D1279" s="50" t="s">
        <v>1876</v>
      </c>
      <c r="E1279" s="51" t="s">
        <v>511</v>
      </c>
      <c r="F1279" s="30">
        <v>7.5</v>
      </c>
      <c r="G1279" s="30">
        <v>0</v>
      </c>
      <c r="H1279" s="30">
        <v>7.5</v>
      </c>
      <c r="I1279" s="16" t="s">
        <v>3661</v>
      </c>
      <c r="J1279" s="31">
        <v>1</v>
      </c>
      <c r="K1279" s="32">
        <v>0</v>
      </c>
      <c r="L1279" s="32"/>
      <c r="M1279" s="33"/>
      <c r="N1279" s="33"/>
      <c r="O1279"/>
      <c r="P1279" s="21"/>
    </row>
    <row r="1280" spans="1:16" s="52" customFormat="1" ht="39.950000000000003" customHeight="1">
      <c r="A1280" s="9">
        <v>36</v>
      </c>
      <c r="B1280" s="207">
        <v>5717</v>
      </c>
      <c r="C1280" s="50" t="s">
        <v>1181</v>
      </c>
      <c r="D1280" s="50" t="s">
        <v>1182</v>
      </c>
      <c r="E1280" s="51" t="s">
        <v>349</v>
      </c>
      <c r="F1280" s="30">
        <v>7.5</v>
      </c>
      <c r="G1280" s="30">
        <v>2.5</v>
      </c>
      <c r="H1280" s="30">
        <f t="shared" si="527"/>
        <v>11.25</v>
      </c>
      <c r="I1280" s="49" t="s">
        <v>789</v>
      </c>
      <c r="J1280" s="31"/>
      <c r="K1280" s="32">
        <v>1</v>
      </c>
      <c r="L1280" s="32"/>
      <c r="M1280" s="33"/>
      <c r="N1280" s="33"/>
      <c r="O1280" s="21"/>
      <c r="P1280" s="21"/>
    </row>
    <row r="1281" spans="1:17" s="52" customFormat="1" ht="39.950000000000003" customHeight="1">
      <c r="A1281" s="9">
        <v>37</v>
      </c>
      <c r="B1281" s="207">
        <v>6724</v>
      </c>
      <c r="C1281" s="185" t="s">
        <v>3205</v>
      </c>
      <c r="D1281" s="50" t="s">
        <v>3206</v>
      </c>
      <c r="E1281" s="51" t="s">
        <v>162</v>
      </c>
      <c r="F1281" s="30">
        <v>7.5</v>
      </c>
      <c r="G1281" s="30">
        <v>2.5</v>
      </c>
      <c r="H1281" s="30">
        <f t="shared" ref="H1281" si="528">IF(G1281&gt;0,(G1281*1.5)+F1281,"YOK")</f>
        <v>11.25</v>
      </c>
      <c r="I1281" s="47" t="s">
        <v>132</v>
      </c>
      <c r="J1281" s="31"/>
      <c r="K1281" s="32">
        <v>1</v>
      </c>
      <c r="L1281" s="32">
        <v>1</v>
      </c>
      <c r="M1281" s="33"/>
      <c r="N1281" s="33"/>
      <c r="O1281" s="21"/>
      <c r="P1281" s="21"/>
    </row>
    <row r="1282" spans="1:17" s="52" customFormat="1" ht="39.950000000000003" customHeight="1">
      <c r="A1282" s="9">
        <v>38</v>
      </c>
      <c r="B1282" s="207">
        <v>6679</v>
      </c>
      <c r="C1282" s="185" t="s">
        <v>3032</v>
      </c>
      <c r="D1282" s="50" t="s">
        <v>3033</v>
      </c>
      <c r="E1282" s="51" t="s">
        <v>512</v>
      </c>
      <c r="F1282" s="30">
        <v>7.5</v>
      </c>
      <c r="G1282" s="30">
        <v>2.5</v>
      </c>
      <c r="H1282" s="30">
        <f>IF(G1282&gt;0,(G1282*1.5)+F1282,"YOK")</f>
        <v>11.25</v>
      </c>
      <c r="I1282" s="47" t="s">
        <v>132</v>
      </c>
      <c r="J1282" s="31"/>
      <c r="K1282" s="32">
        <v>1</v>
      </c>
      <c r="L1282" s="32">
        <v>1</v>
      </c>
      <c r="M1282" s="33"/>
      <c r="N1282" s="33"/>
      <c r="O1282"/>
      <c r="P1282" s="21"/>
    </row>
    <row r="1283" spans="1:17" s="52" customFormat="1" ht="39.950000000000003" customHeight="1">
      <c r="A1283" s="9">
        <v>39</v>
      </c>
      <c r="B1283" s="207">
        <v>6660</v>
      </c>
      <c r="C1283" s="185" t="s">
        <v>2940</v>
      </c>
      <c r="D1283" s="50" t="s">
        <v>2941</v>
      </c>
      <c r="E1283" s="51" t="s">
        <v>162</v>
      </c>
      <c r="F1283" s="30">
        <v>7.5</v>
      </c>
      <c r="G1283" s="30">
        <v>2.5</v>
      </c>
      <c r="H1283" s="30">
        <f t="shared" ref="H1283" si="529">IF(G1283&gt;0,(G1283*1.5)+F1283,"YOK")</f>
        <v>11.25</v>
      </c>
      <c r="I1283" s="47" t="s">
        <v>132</v>
      </c>
      <c r="J1283" s="31"/>
      <c r="K1283" s="32">
        <v>1</v>
      </c>
      <c r="L1283" s="32">
        <v>1</v>
      </c>
      <c r="M1283" s="33"/>
      <c r="N1283" s="33"/>
      <c r="O1283" s="21"/>
      <c r="P1283" s="21"/>
    </row>
    <row r="1284" spans="1:17" s="52" customFormat="1" ht="39.950000000000003" customHeight="1">
      <c r="A1284" s="9">
        <v>40</v>
      </c>
      <c r="B1284" s="207">
        <v>5704</v>
      </c>
      <c r="C1284" s="50" t="s">
        <v>1163</v>
      </c>
      <c r="D1284" s="50" t="s">
        <v>1164</v>
      </c>
      <c r="E1284" s="51" t="s">
        <v>511</v>
      </c>
      <c r="F1284" s="30">
        <v>7.5</v>
      </c>
      <c r="G1284" s="30">
        <v>2.5</v>
      </c>
      <c r="H1284" s="30">
        <f>IF(G1284&gt;0,(G1284*1.5)+F1284,"YOK")</f>
        <v>11.25</v>
      </c>
      <c r="I1284" s="47" t="s">
        <v>132</v>
      </c>
      <c r="J1284" s="31"/>
      <c r="K1284" s="32">
        <v>1</v>
      </c>
      <c r="L1284" s="32">
        <v>1</v>
      </c>
      <c r="M1284" s="33"/>
      <c r="N1284" s="33"/>
      <c r="O1284" s="21"/>
      <c r="P1284" s="21"/>
    </row>
    <row r="1285" spans="1:17" s="52" customFormat="1" ht="39.950000000000003" customHeight="1">
      <c r="A1285" s="9">
        <v>41</v>
      </c>
      <c r="B1285" s="207">
        <v>6311</v>
      </c>
      <c r="C1285" s="50" t="s">
        <v>2322</v>
      </c>
      <c r="D1285" s="50" t="s">
        <v>2323</v>
      </c>
      <c r="E1285" s="51" t="s">
        <v>533</v>
      </c>
      <c r="F1285" s="30">
        <v>7.5</v>
      </c>
      <c r="G1285" s="30">
        <v>2.5</v>
      </c>
      <c r="H1285" s="30">
        <f>IF(G1285&gt;0,(G1285*1.5)+F1285,"YOK")</f>
        <v>11.25</v>
      </c>
      <c r="I1285" s="47" t="s">
        <v>132</v>
      </c>
      <c r="J1285" s="31"/>
      <c r="K1285" s="32">
        <v>1</v>
      </c>
      <c r="L1285" s="32">
        <v>1</v>
      </c>
      <c r="M1285" s="33"/>
      <c r="N1285" s="33"/>
      <c r="O1285" s="21"/>
      <c r="P1285" s="21"/>
    </row>
    <row r="1286" spans="1:17" s="52" customFormat="1" ht="39.950000000000003" customHeight="1">
      <c r="A1286" s="9">
        <v>42</v>
      </c>
      <c r="B1286" s="207">
        <v>6194</v>
      </c>
      <c r="C1286" s="50" t="s">
        <v>2078</v>
      </c>
      <c r="D1286" s="50" t="s">
        <v>2077</v>
      </c>
      <c r="E1286" s="51" t="s">
        <v>511</v>
      </c>
      <c r="F1286" s="30">
        <v>7.5</v>
      </c>
      <c r="G1286" s="30">
        <v>2.5</v>
      </c>
      <c r="H1286" s="30">
        <f>IF(G1286&gt;0,(G1286*1.5)+F1286,"YOK")</f>
        <v>11.25</v>
      </c>
      <c r="I1286" s="47" t="s">
        <v>132</v>
      </c>
      <c r="J1286" s="31"/>
      <c r="K1286" s="32">
        <v>1</v>
      </c>
      <c r="L1286" s="32">
        <v>1</v>
      </c>
      <c r="M1286" s="33"/>
      <c r="N1286" s="33"/>
      <c r="O1286"/>
      <c r="P1286" s="21"/>
    </row>
    <row r="1287" spans="1:17" s="52" customFormat="1" ht="39.950000000000003" customHeight="1">
      <c r="A1287" s="9">
        <v>43</v>
      </c>
      <c r="B1287" s="207">
        <v>6196</v>
      </c>
      <c r="C1287" s="50" t="s">
        <v>2082</v>
      </c>
      <c r="D1287" s="50" t="s">
        <v>2081</v>
      </c>
      <c r="E1287" s="51" t="s">
        <v>511</v>
      </c>
      <c r="F1287" s="30">
        <v>7.5</v>
      </c>
      <c r="G1287" s="30">
        <v>2.5</v>
      </c>
      <c r="H1287" s="30">
        <f>IF(G1287&gt;0,(G1287*1.5)+F1287,"YOK")</f>
        <v>11.25</v>
      </c>
      <c r="I1287" s="47" t="s">
        <v>132</v>
      </c>
      <c r="J1287" s="31"/>
      <c r="K1287" s="32">
        <v>1</v>
      </c>
      <c r="L1287" s="32">
        <v>1</v>
      </c>
      <c r="M1287" s="33"/>
      <c r="N1287" s="33"/>
      <c r="O1287"/>
      <c r="P1287" s="21"/>
    </row>
    <row r="1288" spans="1:17" s="52" customFormat="1" ht="39.950000000000003" customHeight="1">
      <c r="A1288" s="9">
        <v>44</v>
      </c>
      <c r="B1288" s="207">
        <v>5589</v>
      </c>
      <c r="C1288" s="50" t="s">
        <v>985</v>
      </c>
      <c r="D1288" s="50" t="s">
        <v>987</v>
      </c>
      <c r="E1288" s="51" t="s">
        <v>298</v>
      </c>
      <c r="F1288" s="30">
        <v>7.5</v>
      </c>
      <c r="G1288" s="30">
        <v>2.5</v>
      </c>
      <c r="H1288" s="30">
        <f t="shared" ref="H1288" si="530">IF(G1288&gt;0,(G1288*1.5)+F1288,"YOK")</f>
        <v>11.25</v>
      </c>
      <c r="I1288" s="47" t="s">
        <v>132</v>
      </c>
      <c r="J1288" s="31"/>
      <c r="K1288" s="32">
        <v>1</v>
      </c>
      <c r="L1288" s="32">
        <v>1</v>
      </c>
      <c r="M1288" s="33"/>
      <c r="N1288" s="33"/>
      <c r="O1288" s="21"/>
      <c r="P1288" s="21"/>
    </row>
    <row r="1289" spans="1:17" ht="39.950000000000003" customHeight="1">
      <c r="A1289" s="40"/>
      <c r="B1289" s="262" t="s">
        <v>2678</v>
      </c>
      <c r="C1289" s="263"/>
      <c r="D1289" s="264"/>
      <c r="E1289" s="46"/>
      <c r="F1289" s="41"/>
      <c r="G1289" s="41"/>
      <c r="H1289" s="41"/>
      <c r="I1289" s="42"/>
      <c r="J1289" s="43">
        <f>SUM(J1245:J1288)</f>
        <v>1</v>
      </c>
      <c r="K1289" s="43">
        <f>SUM(K1245:K1288)</f>
        <v>43</v>
      </c>
      <c r="L1289" s="43">
        <f>SUM(L1245:L1288)</f>
        <v>8</v>
      </c>
      <c r="M1289" s="43">
        <f>SUM(M1245:M1288)</f>
        <v>0</v>
      </c>
      <c r="N1289" s="33"/>
      <c r="O1289" s="21"/>
      <c r="P1289" s="21"/>
    </row>
    <row r="1290" spans="1:17" s="52" customFormat="1" ht="39.950000000000003" customHeight="1">
      <c r="A1290" s="9">
        <v>1</v>
      </c>
      <c r="B1290" s="207" t="s">
        <v>979</v>
      </c>
      <c r="C1290" s="11" t="s">
        <v>2759</v>
      </c>
      <c r="D1290" s="11" t="s">
        <v>2760</v>
      </c>
      <c r="E1290" s="12" t="s">
        <v>521</v>
      </c>
      <c r="F1290" s="30" t="s">
        <v>17</v>
      </c>
      <c r="G1290" s="30"/>
      <c r="H1290" s="30"/>
      <c r="I1290" s="22" t="s">
        <v>2761</v>
      </c>
      <c r="J1290" s="32"/>
      <c r="K1290" s="32">
        <v>1</v>
      </c>
      <c r="L1290" s="32"/>
      <c r="M1290" s="32"/>
      <c r="N1290" s="32"/>
      <c r="O1290" s="21"/>
      <c r="P1290" s="21"/>
      <c r="Q1290" s="21"/>
    </row>
    <row r="1291" spans="1:17" s="52" customFormat="1" ht="39.950000000000003" customHeight="1">
      <c r="A1291" s="9">
        <v>2</v>
      </c>
      <c r="B1291" s="207">
        <v>6530</v>
      </c>
      <c r="C1291" s="11" t="s">
        <v>2679</v>
      </c>
      <c r="D1291" s="11" t="s">
        <v>2680</v>
      </c>
      <c r="E1291" s="12" t="s">
        <v>2710</v>
      </c>
      <c r="F1291" s="30" t="s">
        <v>17</v>
      </c>
      <c r="G1291" s="30"/>
      <c r="H1291" s="30"/>
      <c r="I1291" s="49"/>
      <c r="J1291" s="32"/>
      <c r="K1291" s="32">
        <v>1</v>
      </c>
      <c r="L1291" s="32"/>
      <c r="M1291" s="32"/>
      <c r="N1291" s="32"/>
      <c r="O1291" s="21"/>
      <c r="P1291" s="21"/>
      <c r="Q1291" s="21"/>
    </row>
    <row r="1292" spans="1:17" s="52" customFormat="1" ht="39.950000000000003" customHeight="1">
      <c r="A1292" s="9">
        <v>3</v>
      </c>
      <c r="B1292" s="207">
        <v>6696</v>
      </c>
      <c r="C1292" s="231" t="s">
        <v>3069</v>
      </c>
      <c r="D1292" s="11" t="s">
        <v>3070</v>
      </c>
      <c r="E1292" s="12" t="s">
        <v>2508</v>
      </c>
      <c r="F1292" s="30" t="s">
        <v>17</v>
      </c>
      <c r="G1292" s="30"/>
      <c r="H1292" s="30"/>
      <c r="I1292" s="49"/>
      <c r="J1292" s="32"/>
      <c r="K1292" s="32">
        <v>1</v>
      </c>
      <c r="L1292" s="32"/>
      <c r="M1292" s="32"/>
      <c r="N1292" s="32"/>
      <c r="O1292" s="21"/>
      <c r="P1292" s="21"/>
      <c r="Q1292" s="21"/>
    </row>
    <row r="1293" spans="1:17" s="52" customFormat="1" ht="39.950000000000003" customHeight="1">
      <c r="A1293" s="9">
        <v>4</v>
      </c>
      <c r="B1293" s="207">
        <v>6820</v>
      </c>
      <c r="C1293" s="231" t="s">
        <v>3602</v>
      </c>
      <c r="D1293" s="11" t="s">
        <v>3603</v>
      </c>
      <c r="E1293" s="12" t="s">
        <v>2508</v>
      </c>
      <c r="F1293" s="30" t="s">
        <v>17</v>
      </c>
      <c r="G1293" s="30"/>
      <c r="H1293" s="30"/>
      <c r="I1293" s="49"/>
      <c r="J1293" s="31"/>
      <c r="K1293" s="32">
        <v>1</v>
      </c>
      <c r="L1293" s="32"/>
      <c r="M1293" s="33"/>
      <c r="N1293" s="33"/>
      <c r="O1293" s="21"/>
      <c r="P1293" s="21"/>
    </row>
    <row r="1294" spans="1:17" s="52" customFormat="1" ht="39.950000000000003" customHeight="1">
      <c r="A1294" s="9">
        <v>5</v>
      </c>
      <c r="B1294" s="207">
        <v>6825</v>
      </c>
      <c r="C1294" s="231" t="s">
        <v>3614</v>
      </c>
      <c r="D1294" s="11" t="s">
        <v>3615</v>
      </c>
      <c r="E1294" s="51" t="s">
        <v>162</v>
      </c>
      <c r="F1294" s="30">
        <v>7.5</v>
      </c>
      <c r="G1294" s="30">
        <v>2.5</v>
      </c>
      <c r="H1294" s="30">
        <f t="shared" ref="H1294" si="531">IF(G1294&gt;0,(G1294*1.5)+F1294,"YOK")</f>
        <v>11.25</v>
      </c>
      <c r="I1294" s="47" t="s">
        <v>132</v>
      </c>
      <c r="J1294" s="31"/>
      <c r="K1294" s="32">
        <v>1</v>
      </c>
      <c r="L1294" s="32">
        <v>1</v>
      </c>
      <c r="M1294" s="33"/>
      <c r="N1294" s="33"/>
      <c r="O1294" s="21"/>
      <c r="P1294" s="21"/>
    </row>
    <row r="1295" spans="1:17" s="52" customFormat="1" ht="39.950000000000003" customHeight="1">
      <c r="A1295" s="9">
        <v>6</v>
      </c>
      <c r="B1295" s="207">
        <v>6531</v>
      </c>
      <c r="C1295" s="11" t="s">
        <v>2681</v>
      </c>
      <c r="D1295" s="11" t="s">
        <v>2682</v>
      </c>
      <c r="E1295" s="12" t="s">
        <v>298</v>
      </c>
      <c r="F1295" s="30">
        <v>7.5</v>
      </c>
      <c r="G1295" s="30">
        <v>2.5</v>
      </c>
      <c r="H1295" s="30">
        <f t="shared" ref="H1295" si="532">IF(G1295&gt;0,(G1295*1.5)+F1295,"YOK")</f>
        <v>11.25</v>
      </c>
      <c r="I1295" s="49" t="s">
        <v>2715</v>
      </c>
      <c r="J1295" s="32"/>
      <c r="K1295" s="32">
        <v>1</v>
      </c>
      <c r="L1295" s="32"/>
      <c r="M1295" s="32"/>
      <c r="N1295" s="32"/>
      <c r="O1295" s="21"/>
      <c r="P1295" s="21"/>
      <c r="Q1295" s="21"/>
    </row>
    <row r="1296" spans="1:17" s="52" customFormat="1" ht="39.950000000000003" customHeight="1">
      <c r="A1296" s="9">
        <v>7</v>
      </c>
      <c r="B1296" s="207">
        <v>6532</v>
      </c>
      <c r="C1296" s="11" t="s">
        <v>2683</v>
      </c>
      <c r="D1296" s="11" t="s">
        <v>2684</v>
      </c>
      <c r="E1296" s="12" t="s">
        <v>298</v>
      </c>
      <c r="F1296" s="30">
        <v>7.5</v>
      </c>
      <c r="G1296" s="30">
        <v>2.5</v>
      </c>
      <c r="H1296" s="30">
        <f t="shared" ref="H1296:H1307" si="533">IF(G1296&gt;0,(G1296*1.5)+F1296,"YOK")</f>
        <v>11.25</v>
      </c>
      <c r="I1296" s="49" t="s">
        <v>2715</v>
      </c>
      <c r="J1296" s="32"/>
      <c r="K1296" s="32">
        <v>1</v>
      </c>
      <c r="L1296" s="32"/>
      <c r="M1296" s="32"/>
      <c r="N1296" s="32"/>
      <c r="O1296" s="21"/>
      <c r="P1296" s="21"/>
      <c r="Q1296" s="21"/>
    </row>
    <row r="1297" spans="1:17" s="52" customFormat="1" ht="39.950000000000003" customHeight="1">
      <c r="A1297" s="9">
        <v>8</v>
      </c>
      <c r="B1297" s="207">
        <v>6843</v>
      </c>
      <c r="C1297" s="11" t="s">
        <v>2685</v>
      </c>
      <c r="D1297" s="11" t="s">
        <v>2686</v>
      </c>
      <c r="E1297" s="12" t="s">
        <v>298</v>
      </c>
      <c r="F1297" s="30">
        <v>7.5</v>
      </c>
      <c r="G1297" s="30">
        <v>2.5</v>
      </c>
      <c r="H1297" s="30">
        <f t="shared" ref="H1297" si="534">IF(G1297&gt;0,(G1297*1.5)+F1297,"YOK")</f>
        <v>11.25</v>
      </c>
      <c r="I1297" s="49" t="s">
        <v>2715</v>
      </c>
      <c r="J1297" s="32"/>
      <c r="K1297" s="32">
        <v>1</v>
      </c>
      <c r="L1297" s="32"/>
      <c r="M1297" s="32"/>
      <c r="N1297" s="32"/>
      <c r="O1297" s="21"/>
      <c r="P1297" s="21"/>
      <c r="Q1297" s="21"/>
    </row>
    <row r="1298" spans="1:17" s="52" customFormat="1" ht="39.950000000000003" customHeight="1">
      <c r="A1298" s="9">
        <v>9</v>
      </c>
      <c r="B1298" s="207">
        <v>6538</v>
      </c>
      <c r="C1298" s="11" t="s">
        <v>2720</v>
      </c>
      <c r="D1298" s="11" t="s">
        <v>2687</v>
      </c>
      <c r="E1298" s="12" t="s">
        <v>298</v>
      </c>
      <c r="F1298" s="30">
        <v>0</v>
      </c>
      <c r="G1298" s="30">
        <v>0</v>
      </c>
      <c r="H1298" s="30" t="str">
        <f t="shared" ref="H1298" si="535">IF(G1298&gt;0,(G1298*1.5)+F1298,"YOK")</f>
        <v>YOK</v>
      </c>
      <c r="I1298" s="49" t="s">
        <v>1185</v>
      </c>
      <c r="J1298" s="32">
        <v>1</v>
      </c>
      <c r="K1298" s="32">
        <v>0</v>
      </c>
      <c r="L1298" s="32"/>
      <c r="M1298" s="32"/>
      <c r="N1298" s="32"/>
      <c r="O1298" s="21"/>
      <c r="P1298" s="21"/>
      <c r="Q1298" s="21"/>
    </row>
    <row r="1299" spans="1:17" s="52" customFormat="1" ht="39.950000000000003" customHeight="1">
      <c r="A1299" s="9">
        <v>10</v>
      </c>
      <c r="B1299" s="207">
        <v>6542</v>
      </c>
      <c r="C1299" s="11" t="s">
        <v>2688</v>
      </c>
      <c r="D1299" s="11" t="s">
        <v>2689</v>
      </c>
      <c r="E1299" s="12" t="s">
        <v>298</v>
      </c>
      <c r="F1299" s="30">
        <v>7.5</v>
      </c>
      <c r="G1299" s="30">
        <v>2.5</v>
      </c>
      <c r="H1299" s="30">
        <f t="shared" si="533"/>
        <v>11.25</v>
      </c>
      <c r="I1299" s="49" t="s">
        <v>2715</v>
      </c>
      <c r="J1299" s="32"/>
      <c r="K1299" s="32">
        <v>1</v>
      </c>
      <c r="L1299" s="32"/>
      <c r="M1299" s="32"/>
      <c r="N1299" s="32"/>
      <c r="O1299" s="21"/>
      <c r="P1299" s="21"/>
      <c r="Q1299" s="21"/>
    </row>
    <row r="1300" spans="1:17" s="52" customFormat="1" ht="39.950000000000003" customHeight="1">
      <c r="A1300" s="9">
        <v>11</v>
      </c>
      <c r="B1300" s="207">
        <v>6545</v>
      </c>
      <c r="C1300" s="11" t="s">
        <v>2690</v>
      </c>
      <c r="D1300" s="11" t="s">
        <v>2691</v>
      </c>
      <c r="E1300" s="12" t="s">
        <v>298</v>
      </c>
      <c r="F1300" s="30">
        <v>7.5</v>
      </c>
      <c r="G1300" s="30">
        <v>2.5</v>
      </c>
      <c r="H1300" s="30">
        <f t="shared" ref="H1300" si="536">IF(G1300&gt;0,(G1300*1.5)+F1300,"YOK")</f>
        <v>11.25</v>
      </c>
      <c r="I1300" s="49" t="s">
        <v>2715</v>
      </c>
      <c r="J1300" s="32"/>
      <c r="K1300" s="32">
        <v>1</v>
      </c>
      <c r="L1300" s="32"/>
      <c r="M1300" s="32"/>
      <c r="N1300" s="32"/>
      <c r="O1300" s="21"/>
      <c r="P1300" s="21"/>
      <c r="Q1300" s="21"/>
    </row>
    <row r="1301" spans="1:17" s="52" customFormat="1" ht="39.950000000000003" customHeight="1">
      <c r="A1301" s="9">
        <v>12</v>
      </c>
      <c r="B1301" s="207">
        <v>6550</v>
      </c>
      <c r="C1301" s="231" t="s">
        <v>2721</v>
      </c>
      <c r="D1301" s="11" t="s">
        <v>2722</v>
      </c>
      <c r="E1301" s="12" t="s">
        <v>298</v>
      </c>
      <c r="F1301" s="30">
        <v>7.5</v>
      </c>
      <c r="G1301" s="30">
        <v>2.5</v>
      </c>
      <c r="H1301" s="30">
        <f t="shared" ref="H1301" si="537">IF(G1301&gt;0,(G1301*1.5)+F1301,"YOK")</f>
        <v>11.25</v>
      </c>
      <c r="I1301" s="49" t="s">
        <v>2715</v>
      </c>
      <c r="J1301" s="32"/>
      <c r="K1301" s="32">
        <v>1</v>
      </c>
      <c r="L1301" s="32"/>
      <c r="M1301" s="32"/>
      <c r="N1301" s="32"/>
      <c r="O1301" s="21"/>
      <c r="P1301" s="21"/>
      <c r="Q1301" s="21"/>
    </row>
    <row r="1302" spans="1:17" s="52" customFormat="1" ht="39.950000000000003" customHeight="1">
      <c r="A1302" s="9">
        <v>13</v>
      </c>
      <c r="B1302" s="207">
        <v>6535</v>
      </c>
      <c r="C1302" s="231" t="s">
        <v>2692</v>
      </c>
      <c r="D1302" s="11" t="s">
        <v>2693</v>
      </c>
      <c r="E1302" s="12" t="s">
        <v>1719</v>
      </c>
      <c r="F1302" s="30">
        <v>7.5</v>
      </c>
      <c r="G1302" s="30">
        <v>2.5</v>
      </c>
      <c r="H1302" s="30">
        <f t="shared" ref="H1302" si="538">IF(G1302&gt;0,(G1302*1.5)+F1302,"YOK")</f>
        <v>11.25</v>
      </c>
      <c r="I1302" s="49" t="s">
        <v>2715</v>
      </c>
      <c r="J1302" s="32"/>
      <c r="K1302" s="32">
        <v>1</v>
      </c>
      <c r="L1302" s="32"/>
      <c r="M1302" s="32"/>
      <c r="N1302" s="32"/>
      <c r="O1302" s="21"/>
      <c r="P1302" s="21"/>
      <c r="Q1302" s="21"/>
    </row>
    <row r="1303" spans="1:17" s="52" customFormat="1" ht="39.950000000000003" customHeight="1">
      <c r="A1303" s="9">
        <v>14</v>
      </c>
      <c r="B1303" s="207">
        <v>6536</v>
      </c>
      <c r="C1303" s="231" t="s">
        <v>2694</v>
      </c>
      <c r="D1303" s="11" t="s">
        <v>2695</v>
      </c>
      <c r="E1303" s="12" t="s">
        <v>1719</v>
      </c>
      <c r="F1303" s="30">
        <v>7.5</v>
      </c>
      <c r="G1303" s="30">
        <v>2.5</v>
      </c>
      <c r="H1303" s="30">
        <f t="shared" ref="H1303" si="539">IF(G1303&gt;0,(G1303*1.5)+F1303,"YOK")</f>
        <v>11.25</v>
      </c>
      <c r="I1303" s="49" t="s">
        <v>2715</v>
      </c>
      <c r="J1303" s="32"/>
      <c r="K1303" s="32">
        <v>1</v>
      </c>
      <c r="L1303" s="32"/>
      <c r="M1303" s="32"/>
      <c r="N1303" s="32"/>
      <c r="O1303" s="21"/>
      <c r="P1303" s="21"/>
      <c r="Q1303" s="21"/>
    </row>
    <row r="1304" spans="1:17" s="52" customFormat="1" ht="39.950000000000003" customHeight="1">
      <c r="A1304" s="9">
        <v>15</v>
      </c>
      <c r="B1304" s="207">
        <v>6537</v>
      </c>
      <c r="C1304" s="231" t="s">
        <v>2696</v>
      </c>
      <c r="D1304" s="11" t="s">
        <v>2697</v>
      </c>
      <c r="E1304" s="12" t="s">
        <v>1719</v>
      </c>
      <c r="F1304" s="30">
        <v>7.5</v>
      </c>
      <c r="G1304" s="30">
        <v>2.5</v>
      </c>
      <c r="H1304" s="30">
        <f t="shared" ref="H1304" si="540">IF(G1304&gt;0,(G1304*1.5)+F1304,"YOK")</f>
        <v>11.25</v>
      </c>
      <c r="I1304" s="49" t="s">
        <v>2715</v>
      </c>
      <c r="J1304" s="32"/>
      <c r="K1304" s="32">
        <v>1</v>
      </c>
      <c r="L1304" s="32"/>
      <c r="M1304" s="32"/>
      <c r="N1304" s="32"/>
      <c r="O1304" s="21"/>
      <c r="P1304" s="21"/>
      <c r="Q1304" s="21"/>
    </row>
    <row r="1305" spans="1:17" s="52" customFormat="1" ht="39.950000000000003" customHeight="1">
      <c r="A1305" s="9">
        <v>16</v>
      </c>
      <c r="B1305" s="207" t="s">
        <v>979</v>
      </c>
      <c r="C1305" s="231" t="s">
        <v>2757</v>
      </c>
      <c r="D1305" s="11" t="s">
        <v>2758</v>
      </c>
      <c r="E1305" s="12" t="s">
        <v>1719</v>
      </c>
      <c r="F1305" s="30">
        <v>7.5</v>
      </c>
      <c r="G1305" s="30">
        <v>2.5</v>
      </c>
      <c r="H1305" s="30">
        <f t="shared" ref="H1305" si="541">IF(G1305&gt;0,(G1305*1.5)+F1305,"YOK")</f>
        <v>11.25</v>
      </c>
      <c r="I1305" s="22" t="s">
        <v>2574</v>
      </c>
      <c r="J1305" s="32"/>
      <c r="K1305" s="32">
        <v>1</v>
      </c>
      <c r="L1305" s="32"/>
      <c r="M1305" s="32"/>
      <c r="N1305" s="32"/>
      <c r="O1305" s="21"/>
      <c r="P1305" s="21"/>
      <c r="Q1305" s="21"/>
    </row>
    <row r="1306" spans="1:17" s="52" customFormat="1" ht="39.950000000000003" customHeight="1">
      <c r="A1306" s="9">
        <v>17</v>
      </c>
      <c r="B1306" s="207">
        <v>6539</v>
      </c>
      <c r="C1306" s="231" t="s">
        <v>2698</v>
      </c>
      <c r="D1306" s="11" t="s">
        <v>2699</v>
      </c>
      <c r="E1306" s="12" t="s">
        <v>1719</v>
      </c>
      <c r="F1306" s="30">
        <v>7.5</v>
      </c>
      <c r="G1306" s="30">
        <v>2.5</v>
      </c>
      <c r="H1306" s="30">
        <f t="shared" si="533"/>
        <v>11.25</v>
      </c>
      <c r="I1306" s="49" t="s">
        <v>2715</v>
      </c>
      <c r="J1306" s="32"/>
      <c r="K1306" s="32">
        <v>1</v>
      </c>
      <c r="L1306" s="32"/>
      <c r="M1306" s="32"/>
      <c r="N1306" s="32"/>
      <c r="O1306" s="21"/>
      <c r="P1306" s="21"/>
      <c r="Q1306" s="21"/>
    </row>
    <row r="1307" spans="1:17" s="52" customFormat="1" ht="39.950000000000003" customHeight="1">
      <c r="A1307" s="9">
        <v>18</v>
      </c>
      <c r="B1307" s="207">
        <v>6541</v>
      </c>
      <c r="C1307" s="231" t="s">
        <v>2700</v>
      </c>
      <c r="D1307" s="11" t="s">
        <v>2701</v>
      </c>
      <c r="E1307" s="12" t="s">
        <v>1719</v>
      </c>
      <c r="F1307" s="30">
        <v>7.5</v>
      </c>
      <c r="G1307" s="30">
        <v>2.5</v>
      </c>
      <c r="H1307" s="30">
        <f t="shared" si="533"/>
        <v>11.25</v>
      </c>
      <c r="I1307" s="49" t="s">
        <v>2715</v>
      </c>
      <c r="J1307" s="32"/>
      <c r="K1307" s="32">
        <v>1</v>
      </c>
      <c r="L1307" s="32"/>
      <c r="M1307" s="32"/>
      <c r="N1307" s="32"/>
      <c r="O1307" s="21"/>
      <c r="P1307" s="21"/>
      <c r="Q1307" s="21"/>
    </row>
    <row r="1308" spans="1:17" s="52" customFormat="1" ht="39.950000000000003" customHeight="1">
      <c r="A1308" s="9">
        <v>19</v>
      </c>
      <c r="B1308" s="207">
        <v>6544</v>
      </c>
      <c r="C1308" s="231" t="s">
        <v>2702</v>
      </c>
      <c r="D1308" s="11" t="s">
        <v>2703</v>
      </c>
      <c r="E1308" s="12" t="s">
        <v>1719</v>
      </c>
      <c r="F1308" s="30">
        <v>7.5</v>
      </c>
      <c r="G1308" s="30">
        <v>2.5</v>
      </c>
      <c r="H1308" s="30">
        <f t="shared" ref="H1308" si="542">IF(G1308&gt;0,(G1308*1.5)+F1308,"YOK")</f>
        <v>11.25</v>
      </c>
      <c r="I1308" s="49" t="s">
        <v>2715</v>
      </c>
      <c r="J1308" s="32"/>
      <c r="K1308" s="32">
        <v>1</v>
      </c>
      <c r="L1308" s="32"/>
      <c r="M1308" s="32"/>
      <c r="N1308" s="32"/>
      <c r="O1308" s="21"/>
      <c r="P1308" s="21"/>
      <c r="Q1308" s="21"/>
    </row>
    <row r="1309" spans="1:17" s="52" customFormat="1" ht="39.950000000000003" customHeight="1">
      <c r="A1309" s="9">
        <v>20</v>
      </c>
      <c r="B1309" s="207">
        <v>6534</v>
      </c>
      <c r="C1309" s="231" t="s">
        <v>2704</v>
      </c>
      <c r="D1309" s="11" t="s">
        <v>2705</v>
      </c>
      <c r="E1309" s="12" t="s">
        <v>2711</v>
      </c>
      <c r="F1309" s="30">
        <v>7.5</v>
      </c>
      <c r="G1309" s="30">
        <v>2.5</v>
      </c>
      <c r="H1309" s="30">
        <f t="shared" ref="H1309" si="543">IF(G1309&gt;0,(G1309*1.5)+F1309,"YOK")</f>
        <v>11.25</v>
      </c>
      <c r="I1309" s="49" t="s">
        <v>2715</v>
      </c>
      <c r="J1309" s="32"/>
      <c r="K1309" s="32">
        <v>1</v>
      </c>
      <c r="L1309" s="32"/>
      <c r="M1309" s="32"/>
      <c r="N1309" s="32"/>
      <c r="O1309" s="21"/>
      <c r="P1309" s="21"/>
      <c r="Q1309" s="21"/>
    </row>
    <row r="1310" spans="1:17" s="52" customFormat="1" ht="39.950000000000003" customHeight="1">
      <c r="A1310" s="9">
        <v>21</v>
      </c>
      <c r="B1310" s="207">
        <v>6540</v>
      </c>
      <c r="C1310" s="231" t="s">
        <v>2706</v>
      </c>
      <c r="D1310" s="11" t="s">
        <v>2707</v>
      </c>
      <c r="E1310" s="12" t="s">
        <v>2711</v>
      </c>
      <c r="F1310" s="30">
        <v>7.5</v>
      </c>
      <c r="G1310" s="30">
        <v>2.5</v>
      </c>
      <c r="H1310" s="30">
        <f t="shared" ref="H1310" si="544">IF(G1310&gt;0,(G1310*1.5)+F1310,"YOK")</f>
        <v>11.25</v>
      </c>
      <c r="I1310" s="49" t="s">
        <v>2715</v>
      </c>
      <c r="J1310" s="32"/>
      <c r="K1310" s="32">
        <v>1</v>
      </c>
      <c r="L1310" s="32"/>
      <c r="M1310" s="32"/>
      <c r="N1310" s="32"/>
      <c r="O1310" s="21"/>
      <c r="P1310" s="21"/>
      <c r="Q1310" s="21"/>
    </row>
    <row r="1311" spans="1:17" s="52" customFormat="1" ht="39.950000000000003" customHeight="1">
      <c r="A1311" s="9">
        <v>22</v>
      </c>
      <c r="B1311" s="207">
        <v>6543</v>
      </c>
      <c r="C1311" s="231" t="s">
        <v>2708</v>
      </c>
      <c r="D1311" s="11" t="s">
        <v>2709</v>
      </c>
      <c r="E1311" s="12" t="s">
        <v>2711</v>
      </c>
      <c r="F1311" s="30">
        <v>7.5</v>
      </c>
      <c r="G1311" s="30">
        <v>2.5</v>
      </c>
      <c r="H1311" s="30">
        <f t="shared" ref="H1311" si="545">IF(G1311&gt;0,(G1311*1.5)+F1311,"YOK")</f>
        <v>11.25</v>
      </c>
      <c r="I1311" s="49" t="s">
        <v>2715</v>
      </c>
      <c r="J1311" s="32"/>
      <c r="K1311" s="32">
        <v>1</v>
      </c>
      <c r="L1311" s="32"/>
      <c r="M1311" s="32"/>
      <c r="N1311" s="32"/>
      <c r="O1311" s="21"/>
      <c r="P1311" s="21"/>
      <c r="Q1311" s="21"/>
    </row>
    <row r="1312" spans="1:17" s="52" customFormat="1" ht="39.950000000000003" customHeight="1">
      <c r="A1312" s="9">
        <v>23</v>
      </c>
      <c r="B1312" s="207">
        <v>6548</v>
      </c>
      <c r="C1312" s="231" t="s">
        <v>2716</v>
      </c>
      <c r="D1312" s="11" t="s">
        <v>2717</v>
      </c>
      <c r="E1312" s="12" t="s">
        <v>2711</v>
      </c>
      <c r="F1312" s="30">
        <v>7.5</v>
      </c>
      <c r="G1312" s="30">
        <v>2.5</v>
      </c>
      <c r="H1312" s="30">
        <f t="shared" ref="H1312" si="546">IF(G1312&gt;0,(G1312*1.5)+F1312,"YOK")</f>
        <v>11.25</v>
      </c>
      <c r="I1312" s="49" t="s">
        <v>2715</v>
      </c>
      <c r="J1312" s="32"/>
      <c r="K1312" s="32">
        <v>1</v>
      </c>
      <c r="L1312" s="32"/>
      <c r="M1312" s="32"/>
      <c r="N1312" s="32"/>
      <c r="O1312" s="21"/>
      <c r="P1312" s="21"/>
      <c r="Q1312" s="21"/>
    </row>
    <row r="1313" spans="1:17" s="52" customFormat="1" ht="39.950000000000003" customHeight="1">
      <c r="A1313" s="9">
        <v>24</v>
      </c>
      <c r="B1313" s="207">
        <v>6549</v>
      </c>
      <c r="C1313" s="231" t="s">
        <v>2718</v>
      </c>
      <c r="D1313" s="11" t="s">
        <v>2719</v>
      </c>
      <c r="E1313" s="12" t="s">
        <v>2711</v>
      </c>
      <c r="F1313" s="30">
        <v>7.5</v>
      </c>
      <c r="G1313" s="30">
        <v>2.5</v>
      </c>
      <c r="H1313" s="30">
        <f t="shared" ref="H1313:H1314" si="547">IF(G1313&gt;0,(G1313*1.5)+F1313,"YOK")</f>
        <v>11.25</v>
      </c>
      <c r="I1313" s="49" t="s">
        <v>2715</v>
      </c>
      <c r="J1313" s="32"/>
      <c r="K1313" s="32">
        <v>1</v>
      </c>
      <c r="L1313" s="32"/>
      <c r="M1313" s="32"/>
      <c r="N1313" s="32"/>
      <c r="O1313" s="21"/>
      <c r="P1313" s="21"/>
      <c r="Q1313" s="21"/>
    </row>
    <row r="1314" spans="1:17" s="52" customFormat="1" ht="39.950000000000003" customHeight="1">
      <c r="A1314" s="9">
        <v>25</v>
      </c>
      <c r="B1314" s="207">
        <v>6671</v>
      </c>
      <c r="C1314" s="231" t="s">
        <v>2974</v>
      </c>
      <c r="D1314" s="11" t="s">
        <v>2977</v>
      </c>
      <c r="E1314" s="12" t="s">
        <v>2711</v>
      </c>
      <c r="F1314" s="30">
        <v>7.5</v>
      </c>
      <c r="G1314" s="30">
        <v>2.5</v>
      </c>
      <c r="H1314" s="30">
        <f t="shared" si="547"/>
        <v>11.25</v>
      </c>
      <c r="I1314" s="49" t="s">
        <v>2715</v>
      </c>
      <c r="J1314" s="32"/>
      <c r="K1314" s="32">
        <v>1</v>
      </c>
      <c r="L1314" s="32"/>
      <c r="M1314" s="32"/>
      <c r="N1314" s="32"/>
      <c r="O1314" s="21"/>
      <c r="P1314" s="21"/>
      <c r="Q1314" s="21"/>
    </row>
    <row r="1315" spans="1:17" s="52" customFormat="1" ht="39.950000000000003" customHeight="1">
      <c r="A1315" s="9">
        <v>26</v>
      </c>
      <c r="B1315" s="207">
        <v>6672</v>
      </c>
      <c r="C1315" s="231" t="s">
        <v>2975</v>
      </c>
      <c r="D1315" s="11" t="s">
        <v>2978</v>
      </c>
      <c r="E1315" s="12" t="s">
        <v>2711</v>
      </c>
      <c r="F1315" s="30">
        <v>7.5</v>
      </c>
      <c r="G1315" s="30">
        <v>2.5</v>
      </c>
      <c r="H1315" s="30">
        <f t="shared" ref="H1315" si="548">IF(G1315&gt;0,(G1315*1.5)+F1315,"YOK")</f>
        <v>11.25</v>
      </c>
      <c r="I1315" s="49" t="s">
        <v>2715</v>
      </c>
      <c r="J1315" s="32"/>
      <c r="K1315" s="32">
        <v>1</v>
      </c>
      <c r="L1315" s="32"/>
      <c r="M1315" s="32"/>
      <c r="N1315" s="32"/>
      <c r="O1315" s="21"/>
      <c r="P1315" s="21"/>
      <c r="Q1315" s="21"/>
    </row>
    <row r="1316" spans="1:17" s="52" customFormat="1" ht="39.950000000000003" customHeight="1">
      <c r="A1316" s="9">
        <v>27</v>
      </c>
      <c r="B1316" s="207">
        <v>6673</v>
      </c>
      <c r="C1316" s="231" t="s">
        <v>2976</v>
      </c>
      <c r="D1316" s="11" t="s">
        <v>2979</v>
      </c>
      <c r="E1316" s="12" t="s">
        <v>2711</v>
      </c>
      <c r="F1316" s="30">
        <v>7.5</v>
      </c>
      <c r="G1316" s="30">
        <v>2.5</v>
      </c>
      <c r="H1316" s="30">
        <f t="shared" ref="H1316" si="549">IF(G1316&gt;0,(G1316*1.5)+F1316,"YOK")</f>
        <v>11.25</v>
      </c>
      <c r="I1316" s="49" t="s">
        <v>2715</v>
      </c>
      <c r="J1316" s="32"/>
      <c r="K1316" s="32">
        <v>1</v>
      </c>
      <c r="L1316" s="32"/>
      <c r="M1316" s="32"/>
      <c r="N1316" s="32"/>
      <c r="O1316" s="21"/>
      <c r="P1316" s="21"/>
      <c r="Q1316" s="21"/>
    </row>
    <row r="1317" spans="1:17" s="52" customFormat="1" ht="39.950000000000003" customHeight="1">
      <c r="A1317" s="9">
        <v>28</v>
      </c>
      <c r="B1317" s="207">
        <v>6693</v>
      </c>
      <c r="C1317" s="231" t="s">
        <v>3071</v>
      </c>
      <c r="D1317" s="11" t="s">
        <v>3072</v>
      </c>
      <c r="E1317" s="12" t="s">
        <v>2711</v>
      </c>
      <c r="F1317" s="30">
        <v>7.5</v>
      </c>
      <c r="G1317" s="30">
        <v>2.5</v>
      </c>
      <c r="H1317" s="30">
        <f t="shared" ref="H1317:H1332" si="550">IF(G1317&gt;0,(G1317*1.5)+F1317,"YOK")</f>
        <v>11.25</v>
      </c>
      <c r="I1317" s="49" t="s">
        <v>2715</v>
      </c>
      <c r="J1317" s="32"/>
      <c r="K1317" s="32">
        <v>1</v>
      </c>
      <c r="L1317" s="32"/>
      <c r="M1317" s="32"/>
      <c r="N1317" s="32"/>
      <c r="O1317" s="21"/>
      <c r="P1317" s="21"/>
      <c r="Q1317" s="21"/>
    </row>
    <row r="1318" spans="1:17" s="52" customFormat="1" ht="39.950000000000003" customHeight="1">
      <c r="A1318" s="9">
        <v>29</v>
      </c>
      <c r="B1318" s="207">
        <v>6721</v>
      </c>
      <c r="C1318" s="231" t="s">
        <v>3196</v>
      </c>
      <c r="D1318" s="11" t="s">
        <v>3195</v>
      </c>
      <c r="E1318" s="12" t="s">
        <v>2711</v>
      </c>
      <c r="F1318" s="30">
        <v>7.5</v>
      </c>
      <c r="G1318" s="30">
        <v>2.5</v>
      </c>
      <c r="H1318" s="30">
        <f t="shared" ref="H1318" si="551">IF(G1318&gt;0,(G1318*1.5)+F1318,"YOK")</f>
        <v>11.25</v>
      </c>
      <c r="I1318" s="49" t="s">
        <v>2715</v>
      </c>
      <c r="J1318" s="32"/>
      <c r="K1318" s="32">
        <v>1</v>
      </c>
      <c r="L1318" s="32"/>
      <c r="M1318" s="32"/>
      <c r="N1318" s="32"/>
      <c r="O1318" s="21"/>
      <c r="P1318" s="21"/>
      <c r="Q1318" s="21"/>
    </row>
    <row r="1319" spans="1:17" s="52" customFormat="1" ht="39.950000000000003" customHeight="1">
      <c r="A1319" s="9">
        <v>30</v>
      </c>
      <c r="B1319" s="207">
        <v>6722</v>
      </c>
      <c r="C1319" s="231" t="s">
        <v>3197</v>
      </c>
      <c r="D1319" s="11" t="s">
        <v>3198</v>
      </c>
      <c r="E1319" s="12" t="s">
        <v>2711</v>
      </c>
      <c r="F1319" s="30">
        <v>7.5</v>
      </c>
      <c r="G1319" s="30">
        <v>2.5</v>
      </c>
      <c r="H1319" s="30">
        <f t="shared" ref="H1319" si="552">IF(G1319&gt;0,(G1319*1.5)+F1319,"YOK")</f>
        <v>11.25</v>
      </c>
      <c r="I1319" s="49" t="s">
        <v>2715</v>
      </c>
      <c r="J1319" s="32"/>
      <c r="K1319" s="32">
        <v>1</v>
      </c>
      <c r="L1319" s="32"/>
      <c r="M1319" s="32"/>
      <c r="N1319" s="32"/>
      <c r="O1319" s="21"/>
      <c r="P1319" s="21"/>
      <c r="Q1319" s="21"/>
    </row>
    <row r="1320" spans="1:17" s="52" customFormat="1" ht="39.950000000000003" customHeight="1">
      <c r="A1320" s="9">
        <v>31</v>
      </c>
      <c r="B1320" s="207">
        <v>6755</v>
      </c>
      <c r="C1320" s="231" t="s">
        <v>3258</v>
      </c>
      <c r="D1320" s="11" t="s">
        <v>3259</v>
      </c>
      <c r="E1320" s="12" t="s">
        <v>2711</v>
      </c>
      <c r="F1320" s="30">
        <v>7.5</v>
      </c>
      <c r="G1320" s="30">
        <v>2.5</v>
      </c>
      <c r="H1320" s="30">
        <f t="shared" ref="H1320" si="553">IF(G1320&gt;0,(G1320*1.5)+F1320,"YOK")</f>
        <v>11.25</v>
      </c>
      <c r="I1320" s="49" t="s">
        <v>2715</v>
      </c>
      <c r="J1320" s="32"/>
      <c r="K1320" s="32">
        <v>1</v>
      </c>
      <c r="L1320" s="32"/>
      <c r="M1320" s="32"/>
      <c r="N1320" s="32"/>
      <c r="O1320" s="21"/>
      <c r="P1320" s="21"/>
      <c r="Q1320" s="21"/>
    </row>
    <row r="1321" spans="1:17" s="52" customFormat="1" ht="39.950000000000003" customHeight="1">
      <c r="A1321" s="9">
        <v>32</v>
      </c>
      <c r="B1321" s="207">
        <v>6756</v>
      </c>
      <c r="C1321" s="231" t="s">
        <v>3260</v>
      </c>
      <c r="D1321" s="11" t="s">
        <v>3261</v>
      </c>
      <c r="E1321" s="12" t="s">
        <v>2711</v>
      </c>
      <c r="F1321" s="30">
        <v>7.5</v>
      </c>
      <c r="G1321" s="30">
        <v>2.5</v>
      </c>
      <c r="H1321" s="30">
        <f t="shared" ref="H1321" si="554">IF(G1321&gt;0,(G1321*1.5)+F1321,"YOK")</f>
        <v>11.25</v>
      </c>
      <c r="I1321" s="49" t="s">
        <v>2715</v>
      </c>
      <c r="J1321" s="32"/>
      <c r="K1321" s="32">
        <v>1</v>
      </c>
      <c r="L1321" s="32"/>
      <c r="M1321" s="32"/>
      <c r="N1321" s="32"/>
      <c r="O1321" s="21"/>
      <c r="P1321" s="21"/>
      <c r="Q1321" s="21"/>
    </row>
    <row r="1322" spans="1:17" s="52" customFormat="1" ht="39.950000000000003" customHeight="1">
      <c r="A1322" s="9">
        <v>33</v>
      </c>
      <c r="B1322" s="207">
        <v>6757</v>
      </c>
      <c r="C1322" s="231" t="s">
        <v>3262</v>
      </c>
      <c r="D1322" s="11" t="s">
        <v>3263</v>
      </c>
      <c r="E1322" s="12" t="s">
        <v>2711</v>
      </c>
      <c r="F1322" s="30">
        <v>7.5</v>
      </c>
      <c r="G1322" s="30">
        <v>2.5</v>
      </c>
      <c r="H1322" s="30">
        <f t="shared" ref="H1322" si="555">IF(G1322&gt;0,(G1322*1.5)+F1322,"YOK")</f>
        <v>11.25</v>
      </c>
      <c r="I1322" s="49" t="s">
        <v>2715</v>
      </c>
      <c r="J1322" s="32"/>
      <c r="K1322" s="32">
        <v>1</v>
      </c>
      <c r="L1322" s="32"/>
      <c r="M1322" s="32"/>
      <c r="N1322" s="32"/>
      <c r="O1322" s="21"/>
      <c r="P1322" s="21"/>
      <c r="Q1322" s="21"/>
    </row>
    <row r="1323" spans="1:17" s="52" customFormat="1" ht="39.950000000000003" customHeight="1">
      <c r="A1323" s="9">
        <v>34</v>
      </c>
      <c r="B1323" s="207">
        <v>6807</v>
      </c>
      <c r="C1323" s="231" t="s">
        <v>3326</v>
      </c>
      <c r="D1323" s="11" t="s">
        <v>3327</v>
      </c>
      <c r="E1323" s="12" t="s">
        <v>2711</v>
      </c>
      <c r="F1323" s="30">
        <v>7.5</v>
      </c>
      <c r="G1323" s="30">
        <v>2.5</v>
      </c>
      <c r="H1323" s="30">
        <f>IF(G1323&gt;0,(G1323*1.5)+F1323,"YOK")</f>
        <v>11.25</v>
      </c>
      <c r="I1323" s="47" t="s">
        <v>132</v>
      </c>
      <c r="J1323" s="31"/>
      <c r="K1323" s="32">
        <v>1</v>
      </c>
      <c r="L1323" s="32">
        <v>1</v>
      </c>
      <c r="M1323" s="32"/>
      <c r="N1323" s="32"/>
      <c r="O1323" s="21"/>
      <c r="P1323" s="21"/>
      <c r="Q1323" s="21"/>
    </row>
    <row r="1324" spans="1:17" s="52" customFormat="1" ht="39.950000000000003" customHeight="1">
      <c r="A1324" s="9">
        <v>35</v>
      </c>
      <c r="B1324" s="207">
        <v>6826</v>
      </c>
      <c r="C1324" s="231" t="s">
        <v>3616</v>
      </c>
      <c r="D1324" s="11" t="s">
        <v>3617</v>
      </c>
      <c r="E1324" s="12" t="s">
        <v>2711</v>
      </c>
      <c r="F1324" s="30">
        <v>7.5</v>
      </c>
      <c r="G1324" s="30">
        <v>2.5</v>
      </c>
      <c r="H1324" s="30">
        <f t="shared" ref="H1324:H1326" si="556">IF(G1324&gt;0,(G1324*1.5)+F1324,"YOK")</f>
        <v>11.25</v>
      </c>
      <c r="I1324" s="47" t="s">
        <v>132</v>
      </c>
      <c r="J1324" s="31"/>
      <c r="K1324" s="32">
        <v>1</v>
      </c>
      <c r="L1324" s="32">
        <v>1</v>
      </c>
      <c r="M1324" s="32"/>
      <c r="N1324" s="32"/>
      <c r="O1324" s="21"/>
      <c r="P1324" s="21"/>
      <c r="Q1324" s="21"/>
    </row>
    <row r="1325" spans="1:17" s="52" customFormat="1" ht="39.950000000000003" customHeight="1">
      <c r="A1325" s="9">
        <v>36</v>
      </c>
      <c r="B1325" s="207">
        <v>6827</v>
      </c>
      <c r="C1325" s="231" t="s">
        <v>3618</v>
      </c>
      <c r="D1325" s="11" t="s">
        <v>3619</v>
      </c>
      <c r="E1325" s="12" t="s">
        <v>2711</v>
      </c>
      <c r="F1325" s="30">
        <v>7.5</v>
      </c>
      <c r="G1325" s="30">
        <v>2.5</v>
      </c>
      <c r="H1325" s="30">
        <f t="shared" si="556"/>
        <v>11.25</v>
      </c>
      <c r="I1325" s="47" t="s">
        <v>132</v>
      </c>
      <c r="J1325" s="31"/>
      <c r="K1325" s="32">
        <v>1</v>
      </c>
      <c r="L1325" s="32">
        <v>1</v>
      </c>
      <c r="M1325" s="32"/>
      <c r="N1325" s="32"/>
      <c r="O1325" s="21"/>
      <c r="P1325" s="21"/>
      <c r="Q1325" s="21"/>
    </row>
    <row r="1326" spans="1:17" s="52" customFormat="1" ht="39.950000000000003" customHeight="1">
      <c r="A1326" s="9">
        <v>37</v>
      </c>
      <c r="B1326" s="207">
        <v>6828</v>
      </c>
      <c r="C1326" s="231" t="s">
        <v>3620</v>
      </c>
      <c r="D1326" s="11" t="s">
        <v>3621</v>
      </c>
      <c r="E1326" s="12" t="s">
        <v>2711</v>
      </c>
      <c r="F1326" s="30">
        <v>7.5</v>
      </c>
      <c r="G1326" s="30">
        <v>2.5</v>
      </c>
      <c r="H1326" s="30">
        <f t="shared" si="556"/>
        <v>11.25</v>
      </c>
      <c r="I1326" s="47" t="s">
        <v>132</v>
      </c>
      <c r="J1326" s="31"/>
      <c r="K1326" s="32">
        <v>1</v>
      </c>
      <c r="L1326" s="32">
        <v>1</v>
      </c>
      <c r="M1326" s="32"/>
      <c r="N1326" s="32"/>
      <c r="O1326" s="21"/>
      <c r="P1326" s="21"/>
      <c r="Q1326" s="21"/>
    </row>
    <row r="1327" spans="1:17" s="52" customFormat="1" ht="39.950000000000003" customHeight="1">
      <c r="A1327" s="9">
        <v>38</v>
      </c>
      <c r="B1327" s="207">
        <v>6697</v>
      </c>
      <c r="C1327" s="231" t="s">
        <v>3073</v>
      </c>
      <c r="D1327" s="11" t="s">
        <v>3074</v>
      </c>
      <c r="E1327" s="12" t="s">
        <v>2711</v>
      </c>
      <c r="F1327" s="30">
        <v>7.5</v>
      </c>
      <c r="G1327" s="30">
        <v>2.5</v>
      </c>
      <c r="H1327" s="30">
        <f t="shared" ref="H1327" si="557">IF(G1327&gt;0,(G1327*1.5)+F1327,"YOK")</f>
        <v>11.25</v>
      </c>
      <c r="I1327" s="49" t="s">
        <v>2715</v>
      </c>
      <c r="J1327" s="32"/>
      <c r="K1327" s="32">
        <v>1</v>
      </c>
      <c r="L1327" s="32"/>
      <c r="M1327" s="32"/>
      <c r="N1327" s="32"/>
      <c r="O1327" s="21"/>
      <c r="P1327" s="21"/>
      <c r="Q1327" s="21"/>
    </row>
    <row r="1328" spans="1:17" s="52" customFormat="1" ht="39.950000000000003" customHeight="1">
      <c r="A1328" s="9">
        <v>39</v>
      </c>
      <c r="B1328" s="207">
        <v>6698</v>
      </c>
      <c r="C1328" s="231" t="s">
        <v>3075</v>
      </c>
      <c r="D1328" s="11" t="s">
        <v>3076</v>
      </c>
      <c r="E1328" s="12" t="s">
        <v>2711</v>
      </c>
      <c r="F1328" s="30">
        <v>7.5</v>
      </c>
      <c r="G1328" s="30">
        <v>2.5</v>
      </c>
      <c r="H1328" s="30">
        <f t="shared" ref="H1328" si="558">IF(G1328&gt;0,(G1328*1.5)+F1328,"YOK")</f>
        <v>11.25</v>
      </c>
      <c r="I1328" s="49" t="s">
        <v>2715</v>
      </c>
      <c r="J1328" s="32"/>
      <c r="K1328" s="32">
        <v>1</v>
      </c>
      <c r="L1328" s="32"/>
      <c r="M1328" s="32"/>
      <c r="N1328" s="32"/>
      <c r="O1328" s="21"/>
      <c r="P1328" s="21"/>
      <c r="Q1328" s="21"/>
    </row>
    <row r="1329" spans="1:17" s="52" customFormat="1" ht="39.950000000000003" customHeight="1">
      <c r="A1329" s="9">
        <v>40</v>
      </c>
      <c r="B1329" s="207">
        <v>6699</v>
      </c>
      <c r="C1329" s="231" t="s">
        <v>3077</v>
      </c>
      <c r="D1329" s="11" t="s">
        <v>3078</v>
      </c>
      <c r="E1329" s="12" t="s">
        <v>2711</v>
      </c>
      <c r="F1329" s="30">
        <v>7.5</v>
      </c>
      <c r="G1329" s="30">
        <v>2.5</v>
      </c>
      <c r="H1329" s="30">
        <f t="shared" ref="H1329:H1330" si="559">IF(G1329&gt;0,(G1329*1.5)+F1329,"YOK")</f>
        <v>11.25</v>
      </c>
      <c r="I1329" s="49" t="s">
        <v>2715</v>
      </c>
      <c r="J1329" s="32"/>
      <c r="K1329" s="32">
        <v>1</v>
      </c>
      <c r="L1329" s="32"/>
      <c r="M1329" s="32"/>
      <c r="N1329" s="32"/>
      <c r="O1329" s="21"/>
      <c r="P1329" s="21"/>
      <c r="Q1329" s="21"/>
    </row>
    <row r="1330" spans="1:17" s="52" customFormat="1" ht="39.950000000000003" customHeight="1">
      <c r="A1330" s="9">
        <v>41</v>
      </c>
      <c r="B1330" s="207">
        <v>6700</v>
      </c>
      <c r="C1330" s="231" t="s">
        <v>3079</v>
      </c>
      <c r="D1330" s="11" t="s">
        <v>3080</v>
      </c>
      <c r="E1330" s="12" t="s">
        <v>2711</v>
      </c>
      <c r="F1330" s="30">
        <v>7.5</v>
      </c>
      <c r="G1330" s="30">
        <v>2.5</v>
      </c>
      <c r="H1330" s="30">
        <f t="shared" si="559"/>
        <v>11.25</v>
      </c>
      <c r="I1330" s="49" t="s">
        <v>2715</v>
      </c>
      <c r="J1330" s="32"/>
      <c r="K1330" s="32">
        <v>1</v>
      </c>
      <c r="L1330" s="32"/>
      <c r="M1330" s="32"/>
      <c r="N1330" s="32"/>
      <c r="O1330" s="21"/>
      <c r="P1330" s="21"/>
      <c r="Q1330" s="21"/>
    </row>
    <row r="1331" spans="1:17" s="52" customFormat="1" ht="39.950000000000003" customHeight="1">
      <c r="A1331" s="9">
        <v>42</v>
      </c>
      <c r="B1331" s="207">
        <v>6701</v>
      </c>
      <c r="C1331" s="231" t="s">
        <v>3081</v>
      </c>
      <c r="D1331" s="11" t="s">
        <v>3082</v>
      </c>
      <c r="E1331" s="12" t="s">
        <v>2711</v>
      </c>
      <c r="F1331" s="30">
        <v>0</v>
      </c>
      <c r="G1331" s="30">
        <v>0</v>
      </c>
      <c r="H1331" s="30" t="str">
        <f t="shared" si="550"/>
        <v>YOK</v>
      </c>
      <c r="I1331" s="49" t="s">
        <v>1185</v>
      </c>
      <c r="J1331" s="32">
        <v>1</v>
      </c>
      <c r="K1331" s="32">
        <v>0</v>
      </c>
      <c r="L1331" s="32"/>
      <c r="M1331" s="32"/>
      <c r="N1331" s="32"/>
      <c r="O1331" s="21"/>
      <c r="P1331" s="21"/>
      <c r="Q1331" s="21"/>
    </row>
    <row r="1332" spans="1:17" s="52" customFormat="1" ht="39.950000000000003" customHeight="1">
      <c r="A1332" s="9">
        <v>43</v>
      </c>
      <c r="B1332" s="207">
        <v>6702</v>
      </c>
      <c r="C1332" s="231" t="s">
        <v>3083</v>
      </c>
      <c r="D1332" s="11" t="s">
        <v>3084</v>
      </c>
      <c r="E1332" s="12" t="s">
        <v>2711</v>
      </c>
      <c r="F1332" s="30">
        <v>7.5</v>
      </c>
      <c r="G1332" s="30">
        <v>2.5</v>
      </c>
      <c r="H1332" s="30">
        <f t="shared" si="550"/>
        <v>11.25</v>
      </c>
      <c r="I1332" s="49" t="s">
        <v>2715</v>
      </c>
      <c r="J1332" s="32"/>
      <c r="K1332" s="32">
        <v>1</v>
      </c>
      <c r="L1332" s="32"/>
      <c r="M1332" s="32"/>
      <c r="N1332" s="32"/>
      <c r="O1332" s="21"/>
      <c r="P1332" s="21"/>
      <c r="Q1332" s="21"/>
    </row>
    <row r="1333" spans="1:17" ht="39.950000000000003" customHeight="1">
      <c r="A1333" s="40"/>
      <c r="B1333" s="262" t="s">
        <v>553</v>
      </c>
      <c r="C1333" s="263"/>
      <c r="D1333" s="264"/>
      <c r="E1333" s="46"/>
      <c r="F1333" s="41"/>
      <c r="G1333" s="41"/>
      <c r="H1333" s="41"/>
      <c r="I1333" s="42"/>
      <c r="J1333" s="204">
        <f>SUM(J1290:J1332)</f>
        <v>2</v>
      </c>
      <c r="K1333" s="204">
        <f>SUM(K1290:K1332)</f>
        <v>41</v>
      </c>
      <c r="L1333" s="204">
        <f>SUM(L1290:L1332)</f>
        <v>5</v>
      </c>
      <c r="M1333" s="204">
        <f>SUM(M1290:M1332)</f>
        <v>0</v>
      </c>
      <c r="N1333" s="204"/>
      <c r="O1333" s="21"/>
      <c r="P1333" s="21"/>
    </row>
    <row r="1334" spans="1:17" s="52" customFormat="1" ht="39.950000000000003" customHeight="1">
      <c r="A1334" s="9">
        <v>1</v>
      </c>
      <c r="B1334" s="207">
        <v>6678</v>
      </c>
      <c r="C1334" s="231" t="s">
        <v>3030</v>
      </c>
      <c r="D1334" s="11" t="s">
        <v>3031</v>
      </c>
      <c r="E1334" s="12" t="s">
        <v>521</v>
      </c>
      <c r="F1334" s="30" t="s">
        <v>17</v>
      </c>
      <c r="G1334" s="30"/>
      <c r="H1334" s="30"/>
      <c r="I1334" s="49" t="s">
        <v>255</v>
      </c>
      <c r="J1334" s="31"/>
      <c r="K1334" s="32">
        <v>1</v>
      </c>
      <c r="L1334" s="32"/>
      <c r="M1334" s="33"/>
      <c r="N1334" s="33"/>
      <c r="O1334" s="21"/>
      <c r="P1334" s="21"/>
      <c r="Q1334" s="21"/>
    </row>
    <row r="1335" spans="1:17" s="52" customFormat="1" ht="39.950000000000003" customHeight="1">
      <c r="A1335" s="9">
        <v>2</v>
      </c>
      <c r="B1335" s="207">
        <v>5264</v>
      </c>
      <c r="C1335" s="11" t="s">
        <v>554</v>
      </c>
      <c r="D1335" s="11" t="s">
        <v>555</v>
      </c>
      <c r="E1335" s="12" t="s">
        <v>510</v>
      </c>
      <c r="F1335" s="30" t="s">
        <v>17</v>
      </c>
      <c r="G1335" s="30"/>
      <c r="H1335" s="30"/>
      <c r="I1335" s="49" t="s">
        <v>255</v>
      </c>
      <c r="J1335" s="31"/>
      <c r="K1335" s="32">
        <v>1</v>
      </c>
      <c r="L1335" s="32"/>
      <c r="M1335" s="33"/>
      <c r="N1335" s="33"/>
      <c r="O1335" s="21"/>
      <c r="P1335" s="21"/>
      <c r="Q1335" s="21"/>
    </row>
    <row r="1336" spans="1:17" s="52" customFormat="1" ht="39.950000000000003" customHeight="1">
      <c r="A1336" s="9">
        <v>3</v>
      </c>
      <c r="B1336" s="207">
        <v>4545</v>
      </c>
      <c r="C1336" s="11" t="s">
        <v>560</v>
      </c>
      <c r="D1336" s="11" t="s">
        <v>561</v>
      </c>
      <c r="E1336" s="12" t="s">
        <v>349</v>
      </c>
      <c r="F1336" s="30">
        <v>7.5</v>
      </c>
      <c r="G1336" s="30">
        <v>2.5</v>
      </c>
      <c r="H1336" s="30">
        <f t="shared" ref="H1336:H1337" si="560">IF(G1336&gt;0,(G1336*1.5)+F1336,"YOK")</f>
        <v>11.25</v>
      </c>
      <c r="I1336" s="49" t="s">
        <v>789</v>
      </c>
      <c r="J1336" s="31"/>
      <c r="K1336" s="32">
        <v>1</v>
      </c>
      <c r="L1336" s="32"/>
      <c r="M1336" s="33"/>
      <c r="N1336"/>
      <c r="O1336" s="21"/>
      <c r="P1336" s="21"/>
      <c r="Q1336" s="21"/>
    </row>
    <row r="1337" spans="1:17" s="52" customFormat="1" ht="39.950000000000003" customHeight="1">
      <c r="A1337" s="9">
        <v>4</v>
      </c>
      <c r="B1337" s="207">
        <v>5367</v>
      </c>
      <c r="C1337" s="11" t="s">
        <v>746</v>
      </c>
      <c r="D1337" s="11" t="s">
        <v>747</v>
      </c>
      <c r="E1337" s="12" t="s">
        <v>349</v>
      </c>
      <c r="F1337" s="30">
        <v>7.5</v>
      </c>
      <c r="G1337" s="30">
        <v>2.5</v>
      </c>
      <c r="H1337" s="30">
        <f t="shared" si="560"/>
        <v>11.25</v>
      </c>
      <c r="I1337" s="49" t="s">
        <v>789</v>
      </c>
      <c r="J1337" s="31"/>
      <c r="K1337" s="32">
        <v>1</v>
      </c>
      <c r="L1337" s="32"/>
      <c r="M1337" s="32"/>
      <c r="N1337" s="33"/>
      <c r="O1337" s="21"/>
      <c r="P1337" s="21"/>
      <c r="Q1337" s="21"/>
    </row>
    <row r="1338" spans="1:17" s="52" customFormat="1" ht="39.950000000000003" customHeight="1">
      <c r="A1338" s="9">
        <v>5</v>
      </c>
      <c r="B1338" s="207">
        <v>5867</v>
      </c>
      <c r="C1338" s="11" t="s">
        <v>1380</v>
      </c>
      <c r="D1338" s="11" t="s">
        <v>1381</v>
      </c>
      <c r="E1338" s="12" t="s">
        <v>349</v>
      </c>
      <c r="F1338" s="30">
        <v>7.5</v>
      </c>
      <c r="G1338" s="30">
        <v>2.5</v>
      </c>
      <c r="H1338" s="30">
        <f t="shared" ref="H1338" si="561">IF(G1338&gt;0,(G1338*1.5)+F1338,"YOK")</f>
        <v>11.25</v>
      </c>
      <c r="I1338" s="49" t="s">
        <v>789</v>
      </c>
      <c r="J1338" s="31"/>
      <c r="K1338" s="32">
        <v>1</v>
      </c>
      <c r="M1338" s="32"/>
      <c r="N1338" s="33"/>
      <c r="O1338" s="21"/>
      <c r="P1338" s="21"/>
      <c r="Q1338" s="21"/>
    </row>
    <row r="1339" spans="1:17" s="52" customFormat="1" ht="39.950000000000003" customHeight="1">
      <c r="A1339" s="9">
        <v>6</v>
      </c>
      <c r="B1339" s="207">
        <v>5876</v>
      </c>
      <c r="C1339" s="11" t="s">
        <v>1398</v>
      </c>
      <c r="D1339" s="11" t="s">
        <v>1399</v>
      </c>
      <c r="E1339" s="12" t="s">
        <v>512</v>
      </c>
      <c r="F1339" s="30">
        <v>7.5</v>
      </c>
      <c r="G1339" s="30">
        <v>2.5</v>
      </c>
      <c r="H1339" s="30">
        <f>IF(G1339&gt;0,(G1339*1.5)+F1339,"YOK")</f>
        <v>11.25</v>
      </c>
      <c r="I1339" s="49" t="s">
        <v>789</v>
      </c>
      <c r="J1339" s="31"/>
      <c r="K1339" s="32">
        <v>1</v>
      </c>
      <c r="M1339" s="33"/>
      <c r="N1339" s="33"/>
      <c r="O1339" s="21"/>
      <c r="P1339" s="21"/>
    </row>
    <row r="1340" spans="1:17" s="52" customFormat="1" ht="39.950000000000003" customHeight="1">
      <c r="A1340" s="9">
        <v>7</v>
      </c>
      <c r="B1340" s="207">
        <v>4533</v>
      </c>
      <c r="C1340" s="11" t="s">
        <v>558</v>
      </c>
      <c r="D1340" s="11" t="s">
        <v>559</v>
      </c>
      <c r="E1340" s="12" t="s">
        <v>512</v>
      </c>
      <c r="F1340" s="30">
        <v>7.5</v>
      </c>
      <c r="G1340" s="30">
        <v>2.5</v>
      </c>
      <c r="H1340" s="30">
        <f t="shared" ref="H1340" si="562">IF(G1340&gt;0,(G1340*1.5)+F1340,"YOK")</f>
        <v>11.25</v>
      </c>
      <c r="I1340" s="49" t="s">
        <v>789</v>
      </c>
      <c r="J1340" s="31"/>
      <c r="K1340" s="32">
        <v>1</v>
      </c>
      <c r="M1340" s="33"/>
      <c r="N1340" s="33"/>
      <c r="O1340" s="21"/>
      <c r="P1340" s="21"/>
    </row>
    <row r="1341" spans="1:17" s="52" customFormat="1" ht="39.950000000000003" customHeight="1">
      <c r="A1341" s="9">
        <v>8</v>
      </c>
      <c r="B1341" s="207">
        <v>5868</v>
      </c>
      <c r="C1341" s="11" t="s">
        <v>1382</v>
      </c>
      <c r="D1341" s="11" t="s">
        <v>1383</v>
      </c>
      <c r="E1341" s="12" t="s">
        <v>512</v>
      </c>
      <c r="F1341" s="30">
        <v>7.5</v>
      </c>
      <c r="G1341" s="30">
        <v>2.5</v>
      </c>
      <c r="H1341" s="30">
        <f t="shared" ref="H1341" si="563">IF(G1341&gt;0,(G1341*1.5)+F1341,"YOK")</f>
        <v>11.25</v>
      </c>
      <c r="I1341" s="49" t="s">
        <v>789</v>
      </c>
      <c r="J1341" s="31"/>
      <c r="K1341" s="32">
        <v>1</v>
      </c>
      <c r="M1341" s="32"/>
      <c r="N1341" s="33"/>
      <c r="O1341" s="21"/>
      <c r="P1341" s="21"/>
      <c r="Q1341" s="21"/>
    </row>
    <row r="1342" spans="1:17" s="52" customFormat="1" ht="39.950000000000003" customHeight="1">
      <c r="A1342" s="9">
        <v>9</v>
      </c>
      <c r="B1342" s="207">
        <v>5517</v>
      </c>
      <c r="C1342" s="11" t="s">
        <v>873</v>
      </c>
      <c r="D1342" s="11" t="s">
        <v>874</v>
      </c>
      <c r="E1342" s="12" t="s">
        <v>512</v>
      </c>
      <c r="F1342" s="30">
        <v>7.5</v>
      </c>
      <c r="G1342" s="30">
        <v>2.5</v>
      </c>
      <c r="H1342" s="30">
        <f t="shared" ref="H1342" si="564">IF(G1342&gt;0,(G1342*1.5)+F1342,"YOK")</f>
        <v>11.25</v>
      </c>
      <c r="I1342" s="49" t="s">
        <v>789</v>
      </c>
      <c r="J1342" s="31"/>
      <c r="K1342" s="32">
        <v>1</v>
      </c>
      <c r="M1342" s="32"/>
      <c r="N1342" s="33"/>
      <c r="O1342" s="21"/>
      <c r="P1342" s="21"/>
      <c r="Q1342" s="21"/>
    </row>
    <row r="1343" spans="1:17" s="52" customFormat="1" ht="39.950000000000003" customHeight="1">
      <c r="A1343" s="9">
        <v>10</v>
      </c>
      <c r="B1343" s="207">
        <v>5442</v>
      </c>
      <c r="C1343" s="11" t="s">
        <v>836</v>
      </c>
      <c r="D1343" s="11" t="s">
        <v>837</v>
      </c>
      <c r="E1343" s="12" t="s">
        <v>512</v>
      </c>
      <c r="F1343" s="30">
        <v>7.5</v>
      </c>
      <c r="G1343" s="30">
        <v>2.5</v>
      </c>
      <c r="H1343" s="30">
        <f t="shared" ref="H1343:H1352" si="565">IF(G1343&gt;0,(G1343*1.5)+F1343,"YOK")</f>
        <v>11.25</v>
      </c>
      <c r="I1343" s="49" t="s">
        <v>789</v>
      </c>
      <c r="J1343" s="31"/>
      <c r="K1343" s="32">
        <v>1</v>
      </c>
      <c r="L1343" s="32"/>
      <c r="M1343" s="33"/>
      <c r="N1343" s="33"/>
      <c r="O1343" s="21"/>
      <c r="P1343" s="21"/>
      <c r="Q1343" s="21"/>
    </row>
    <row r="1344" spans="1:17" s="52" customFormat="1" ht="39.950000000000003" customHeight="1">
      <c r="A1344" s="9">
        <v>11</v>
      </c>
      <c r="B1344" s="207">
        <v>5874</v>
      </c>
      <c r="C1344" s="11" t="s">
        <v>1394</v>
      </c>
      <c r="D1344" s="11" t="s">
        <v>1395</v>
      </c>
      <c r="E1344" s="12" t="s">
        <v>512</v>
      </c>
      <c r="F1344" s="30">
        <v>7.5</v>
      </c>
      <c r="G1344" s="30">
        <v>2.5</v>
      </c>
      <c r="H1344" s="30">
        <f t="shared" ref="H1344" si="566">IF(G1344&gt;0,(G1344*1.5)+F1344,"YOK")</f>
        <v>11.25</v>
      </c>
      <c r="I1344" s="49" t="s">
        <v>789</v>
      </c>
      <c r="J1344" s="31"/>
      <c r="K1344" s="32">
        <v>1</v>
      </c>
      <c r="M1344" s="32"/>
      <c r="N1344" s="33"/>
      <c r="O1344" s="21"/>
      <c r="P1344" s="21"/>
      <c r="Q1344" s="21"/>
    </row>
    <row r="1345" spans="1:17" s="52" customFormat="1" ht="39.950000000000003" customHeight="1">
      <c r="A1345" s="9">
        <v>12</v>
      </c>
      <c r="B1345" s="207">
        <v>5875</v>
      </c>
      <c r="C1345" s="11" t="s">
        <v>1396</v>
      </c>
      <c r="D1345" s="11" t="s">
        <v>1397</v>
      </c>
      <c r="E1345" s="12" t="s">
        <v>512</v>
      </c>
      <c r="F1345" s="30">
        <v>7.5</v>
      </c>
      <c r="G1345" s="30">
        <v>2.5</v>
      </c>
      <c r="H1345" s="30">
        <f t="shared" ref="H1345" si="567">IF(G1345&gt;0,(G1345*1.5)+F1345,"YOK")</f>
        <v>11.25</v>
      </c>
      <c r="I1345" s="49" t="s">
        <v>789</v>
      </c>
      <c r="J1345" s="31"/>
      <c r="K1345" s="32">
        <v>1</v>
      </c>
      <c r="M1345" s="33"/>
      <c r="N1345" s="33"/>
      <c r="O1345"/>
      <c r="P1345" s="21"/>
      <c r="Q1345" s="21"/>
    </row>
    <row r="1346" spans="1:17" s="52" customFormat="1" ht="39.950000000000003" customHeight="1">
      <c r="A1346" s="9">
        <v>13</v>
      </c>
      <c r="B1346" s="207">
        <v>5396</v>
      </c>
      <c r="C1346" s="11" t="s">
        <v>766</v>
      </c>
      <c r="D1346" s="11" t="s">
        <v>767</v>
      </c>
      <c r="E1346" s="12" t="s">
        <v>512</v>
      </c>
      <c r="F1346" s="30">
        <v>7.5</v>
      </c>
      <c r="G1346" s="30">
        <v>2.5</v>
      </c>
      <c r="H1346" s="30">
        <f t="shared" ref="H1346" si="568">IF(G1346&gt;0,(G1346*1.5)+F1346,"YOK")</f>
        <v>11.25</v>
      </c>
      <c r="I1346" s="49" t="s">
        <v>789</v>
      </c>
      <c r="J1346" s="31"/>
      <c r="K1346" s="32">
        <v>1</v>
      </c>
      <c r="L1346" s="32"/>
      <c r="M1346" s="33"/>
      <c r="N1346" s="33"/>
      <c r="O1346" s="21"/>
      <c r="P1346" s="21"/>
      <c r="Q1346" s="21"/>
    </row>
    <row r="1347" spans="1:17" s="52" customFormat="1" ht="39.950000000000003" customHeight="1">
      <c r="A1347" s="9">
        <v>14</v>
      </c>
      <c r="B1347" s="207">
        <v>5996</v>
      </c>
      <c r="C1347" s="11" t="s">
        <v>1632</v>
      </c>
      <c r="D1347" s="11" t="s">
        <v>1633</v>
      </c>
      <c r="E1347" s="12" t="s">
        <v>512</v>
      </c>
      <c r="F1347" s="30">
        <v>7.5</v>
      </c>
      <c r="G1347" s="30">
        <v>2.5</v>
      </c>
      <c r="H1347" s="30">
        <f t="shared" ref="H1347" si="569">IF(G1347&gt;0,(G1347*1.5)+F1347,"YOK")</f>
        <v>11.25</v>
      </c>
      <c r="I1347" s="49" t="s">
        <v>789</v>
      </c>
      <c r="J1347" s="31"/>
      <c r="K1347" s="32">
        <v>1</v>
      </c>
      <c r="M1347" s="33"/>
      <c r="N1347" s="33"/>
      <c r="O1347" s="21"/>
      <c r="P1347" s="21"/>
      <c r="Q1347" s="21"/>
    </row>
    <row r="1348" spans="1:17" s="52" customFormat="1" ht="39.950000000000003" customHeight="1">
      <c r="A1348" s="9">
        <v>15</v>
      </c>
      <c r="B1348" s="207">
        <v>6167</v>
      </c>
      <c r="C1348" s="11" t="s">
        <v>2023</v>
      </c>
      <c r="D1348" s="11" t="s">
        <v>2024</v>
      </c>
      <c r="E1348" s="12" t="s">
        <v>512</v>
      </c>
      <c r="F1348" s="30">
        <v>7.5</v>
      </c>
      <c r="G1348" s="30">
        <v>0</v>
      </c>
      <c r="H1348" s="30">
        <v>7.5</v>
      </c>
      <c r="I1348" s="16" t="s">
        <v>3457</v>
      </c>
      <c r="J1348" s="31">
        <v>1</v>
      </c>
      <c r="K1348" s="32">
        <v>0</v>
      </c>
      <c r="L1348" s="32"/>
      <c r="M1348" s="33"/>
      <c r="N1348" s="33"/>
      <c r="O1348" s="21"/>
      <c r="P1348" s="21"/>
      <c r="Q1348" s="21"/>
    </row>
    <row r="1349" spans="1:17" s="52" customFormat="1" ht="39.950000000000003" customHeight="1">
      <c r="A1349" s="9">
        <v>16</v>
      </c>
      <c r="B1349" s="207">
        <v>4614</v>
      </c>
      <c r="C1349" s="11" t="s">
        <v>562</v>
      </c>
      <c r="D1349" s="11" t="s">
        <v>563</v>
      </c>
      <c r="E1349" s="12" t="s">
        <v>162</v>
      </c>
      <c r="F1349" s="30">
        <v>7.5</v>
      </c>
      <c r="G1349" s="30">
        <v>2.5</v>
      </c>
      <c r="H1349" s="30">
        <v>11.25</v>
      </c>
      <c r="I1349" s="49" t="s">
        <v>789</v>
      </c>
      <c r="J1349" s="31"/>
      <c r="K1349" s="32">
        <v>1</v>
      </c>
      <c r="L1349" s="32"/>
      <c r="M1349" s="33"/>
      <c r="N1349" s="33"/>
      <c r="O1349" s="21"/>
      <c r="P1349" s="21"/>
      <c r="Q1349" s="21"/>
    </row>
    <row r="1350" spans="1:17" s="52" customFormat="1" ht="39.950000000000003" customHeight="1">
      <c r="A1350" s="9">
        <v>17</v>
      </c>
      <c r="B1350" s="207">
        <v>5891</v>
      </c>
      <c r="C1350" s="11" t="s">
        <v>1423</v>
      </c>
      <c r="D1350" s="11" t="s">
        <v>1422</v>
      </c>
      <c r="E1350" s="12" t="s">
        <v>162</v>
      </c>
      <c r="F1350" s="30">
        <v>7.5</v>
      </c>
      <c r="G1350" s="30">
        <v>2.5</v>
      </c>
      <c r="H1350" s="30">
        <f t="shared" si="565"/>
        <v>11.25</v>
      </c>
      <c r="I1350" s="49" t="s">
        <v>789</v>
      </c>
      <c r="J1350" s="31"/>
      <c r="K1350" s="32">
        <v>1</v>
      </c>
      <c r="L1350" s="32"/>
      <c r="M1350" s="33"/>
      <c r="N1350" s="33"/>
      <c r="O1350" s="21"/>
      <c r="P1350" s="21"/>
      <c r="Q1350" s="21"/>
    </row>
    <row r="1351" spans="1:17" s="52" customFormat="1" ht="39.950000000000003" customHeight="1">
      <c r="A1351" s="9">
        <v>18</v>
      </c>
      <c r="B1351" s="207">
        <v>5398</v>
      </c>
      <c r="C1351" s="11" t="s">
        <v>764</v>
      </c>
      <c r="D1351" s="11" t="s">
        <v>765</v>
      </c>
      <c r="E1351" s="12" t="s">
        <v>162</v>
      </c>
      <c r="F1351" s="30">
        <v>7.5</v>
      </c>
      <c r="G1351" s="30">
        <v>2.5</v>
      </c>
      <c r="H1351" s="30">
        <f t="shared" ref="H1351" si="570">IF(G1351&gt;0,(G1351*1.5)+F1351,"YOK")</f>
        <v>11.25</v>
      </c>
      <c r="I1351" s="49" t="s">
        <v>789</v>
      </c>
      <c r="J1351" s="31"/>
      <c r="K1351" s="32">
        <v>1</v>
      </c>
      <c r="L1351" s="32"/>
      <c r="M1351" s="33"/>
      <c r="N1351" s="33"/>
      <c r="O1351" s="21"/>
      <c r="P1351" s="21"/>
      <c r="Q1351" s="21"/>
    </row>
    <row r="1352" spans="1:17" s="21" customFormat="1" ht="39.950000000000003" customHeight="1">
      <c r="A1352" s="9">
        <v>19</v>
      </c>
      <c r="B1352" s="207">
        <v>5443</v>
      </c>
      <c r="C1352" s="11" t="s">
        <v>834</v>
      </c>
      <c r="D1352" s="11" t="s">
        <v>835</v>
      </c>
      <c r="E1352" s="12" t="s">
        <v>299</v>
      </c>
      <c r="F1352" s="30">
        <v>7.5</v>
      </c>
      <c r="G1352" s="30">
        <v>2.5</v>
      </c>
      <c r="H1352" s="30">
        <f t="shared" si="565"/>
        <v>11.25</v>
      </c>
      <c r="I1352" s="49" t="s">
        <v>789</v>
      </c>
      <c r="J1352" s="31"/>
      <c r="K1352" s="32">
        <v>1</v>
      </c>
      <c r="L1352" s="52"/>
      <c r="M1352" s="32"/>
      <c r="N1352" s="33"/>
    </row>
    <row r="1353" spans="1:17" s="52" customFormat="1" ht="39.950000000000003" customHeight="1">
      <c r="A1353" s="9">
        <v>20</v>
      </c>
      <c r="B1353" s="207">
        <v>6198</v>
      </c>
      <c r="C1353" s="11" t="s">
        <v>2074</v>
      </c>
      <c r="D1353" s="11" t="s">
        <v>2075</v>
      </c>
      <c r="E1353" s="12" t="s">
        <v>349</v>
      </c>
      <c r="F1353" s="30">
        <v>7.5</v>
      </c>
      <c r="G1353" s="30">
        <v>2.5</v>
      </c>
      <c r="H1353" s="30">
        <f>IF(G1353&gt;0,(G1353*1.5)+F1353,"YOK")</f>
        <v>11.25</v>
      </c>
      <c r="I1353" s="47" t="s">
        <v>132</v>
      </c>
      <c r="J1353" s="31"/>
      <c r="K1353" s="32">
        <v>1</v>
      </c>
      <c r="L1353" s="32">
        <v>1</v>
      </c>
      <c r="M1353" s="32"/>
      <c r="N1353" s="33"/>
      <c r="O1353" s="21"/>
      <c r="P1353" s="21"/>
      <c r="Q1353" s="21"/>
    </row>
    <row r="1354" spans="1:17" s="21" customFormat="1" ht="39.950000000000003" customHeight="1">
      <c r="A1354" s="9">
        <v>21</v>
      </c>
      <c r="B1354" s="207">
        <v>6342</v>
      </c>
      <c r="C1354" s="11" t="s">
        <v>2393</v>
      </c>
      <c r="D1354" s="11" t="s">
        <v>2394</v>
      </c>
      <c r="E1354" s="12" t="s">
        <v>165</v>
      </c>
      <c r="F1354" s="30">
        <v>7.5</v>
      </c>
      <c r="G1354" s="30">
        <v>2.5</v>
      </c>
      <c r="H1354" s="30">
        <f t="shared" ref="H1354" si="571">IF(G1354&gt;0,(G1354*1.5)+F1354,"YOK")</f>
        <v>11.25</v>
      </c>
      <c r="I1354" s="47" t="s">
        <v>132</v>
      </c>
      <c r="J1354" s="31"/>
      <c r="K1354" s="32">
        <v>1</v>
      </c>
      <c r="L1354" s="32">
        <v>1</v>
      </c>
      <c r="M1354" s="32"/>
      <c r="N1354" s="33"/>
    </row>
    <row r="1355" spans="1:17" s="52" customFormat="1" ht="39.950000000000003" customHeight="1">
      <c r="A1355" s="9">
        <v>22</v>
      </c>
      <c r="B1355" s="207">
        <v>4530</v>
      </c>
      <c r="C1355" s="11" t="s">
        <v>556</v>
      </c>
      <c r="D1355" s="11" t="s">
        <v>557</v>
      </c>
      <c r="E1355" s="12" t="s">
        <v>349</v>
      </c>
      <c r="F1355" s="30">
        <v>7.5</v>
      </c>
      <c r="G1355" s="30">
        <v>2.5</v>
      </c>
      <c r="H1355" s="30">
        <f>IF(G1355&gt;0,(G1355*1.5)+F1355,"YOK")</f>
        <v>11.25</v>
      </c>
      <c r="I1355" s="47" t="s">
        <v>132</v>
      </c>
      <c r="J1355" s="31"/>
      <c r="K1355" s="32">
        <v>1</v>
      </c>
      <c r="L1355" s="32">
        <v>1</v>
      </c>
      <c r="M1355" s="32"/>
      <c r="N1355" s="33"/>
      <c r="O1355" s="21"/>
      <c r="P1355" s="21"/>
      <c r="Q1355" s="21"/>
    </row>
    <row r="1356" spans="1:17" s="52" customFormat="1" ht="39.950000000000003" customHeight="1">
      <c r="A1356" s="9">
        <v>23</v>
      </c>
      <c r="B1356" s="207">
        <v>6131</v>
      </c>
      <c r="C1356" s="11" t="s">
        <v>1888</v>
      </c>
      <c r="D1356" s="11" t="s">
        <v>1889</v>
      </c>
      <c r="E1356" s="12" t="s">
        <v>349</v>
      </c>
      <c r="F1356" s="30">
        <v>7.5</v>
      </c>
      <c r="G1356" s="30">
        <v>2.5</v>
      </c>
      <c r="H1356" s="30">
        <f>IF(G1356&gt;0,(G1356*1.5)+F1356,"YOK")</f>
        <v>11.25</v>
      </c>
      <c r="I1356" s="47" t="s">
        <v>132</v>
      </c>
      <c r="J1356" s="31"/>
      <c r="K1356" s="32">
        <v>1</v>
      </c>
      <c r="L1356" s="32">
        <v>1</v>
      </c>
      <c r="M1356" s="32"/>
      <c r="N1356" s="33"/>
      <c r="O1356" s="21"/>
      <c r="P1356" s="21"/>
      <c r="Q1356" s="21"/>
    </row>
    <row r="1357" spans="1:17" s="52" customFormat="1" ht="39.950000000000003" customHeight="1">
      <c r="A1357" s="9">
        <v>24</v>
      </c>
      <c r="B1357" s="207">
        <v>6197</v>
      </c>
      <c r="C1357" s="11" t="s">
        <v>2073</v>
      </c>
      <c r="D1357" s="11" t="s">
        <v>2076</v>
      </c>
      <c r="E1357" s="12" t="s">
        <v>349</v>
      </c>
      <c r="F1357" s="30">
        <v>7.5</v>
      </c>
      <c r="G1357" s="30">
        <v>2.5</v>
      </c>
      <c r="H1357" s="30">
        <f t="shared" ref="H1357" si="572">IF(G1357&gt;0,(G1357*1.5)+F1357,"YOK")</f>
        <v>11.25</v>
      </c>
      <c r="I1357" s="47" t="s">
        <v>132</v>
      </c>
      <c r="J1357" s="31"/>
      <c r="K1357" s="32">
        <v>1</v>
      </c>
      <c r="L1357" s="32">
        <v>1</v>
      </c>
      <c r="M1357" s="32"/>
      <c r="N1357" s="33"/>
      <c r="O1357" s="21"/>
      <c r="P1357" s="21"/>
      <c r="Q1357" s="21"/>
    </row>
    <row r="1358" spans="1:17" s="52" customFormat="1" ht="39.950000000000003" customHeight="1">
      <c r="A1358" s="9">
        <v>25</v>
      </c>
      <c r="B1358" s="207">
        <v>6480</v>
      </c>
      <c r="C1358" s="231" t="s">
        <v>2620</v>
      </c>
      <c r="D1358" s="11" t="s">
        <v>2621</v>
      </c>
      <c r="E1358" s="12" t="s">
        <v>349</v>
      </c>
      <c r="F1358" s="30">
        <v>7.5</v>
      </c>
      <c r="G1358" s="30">
        <v>2.5</v>
      </c>
      <c r="H1358" s="30">
        <f>IF(G1358&gt;0,(G1358*1.5)+F1358,"YOK")</f>
        <v>11.25</v>
      </c>
      <c r="I1358" s="47" t="s">
        <v>132</v>
      </c>
      <c r="J1358" s="31"/>
      <c r="K1358" s="32">
        <v>1</v>
      </c>
      <c r="L1358" s="32">
        <v>1</v>
      </c>
      <c r="M1358" s="32"/>
      <c r="N1358" s="33"/>
      <c r="O1358" s="21"/>
      <c r="P1358" s="21"/>
      <c r="Q1358" s="21"/>
    </row>
    <row r="1359" spans="1:17" s="52" customFormat="1" ht="39.950000000000003" customHeight="1">
      <c r="A1359" s="9">
        <v>26</v>
      </c>
      <c r="B1359" s="207">
        <v>5411</v>
      </c>
      <c r="C1359" s="11" t="s">
        <v>778</v>
      </c>
      <c r="D1359" s="11" t="s">
        <v>779</v>
      </c>
      <c r="E1359" s="12" t="s">
        <v>512</v>
      </c>
      <c r="F1359" s="30">
        <v>7.5</v>
      </c>
      <c r="G1359" s="30">
        <v>2.5</v>
      </c>
      <c r="H1359" s="30">
        <f>IF(G1359&gt;0,(G1359*1.5)+F1359,"YOK")</f>
        <v>11.25</v>
      </c>
      <c r="I1359" s="47" t="s">
        <v>132</v>
      </c>
      <c r="J1359" s="31"/>
      <c r="K1359" s="32">
        <v>1</v>
      </c>
      <c r="L1359" s="32">
        <v>1</v>
      </c>
      <c r="M1359" s="33"/>
      <c r="N1359" s="33"/>
      <c r="O1359" s="21"/>
      <c r="P1359" s="21"/>
      <c r="Q1359" s="21"/>
    </row>
    <row r="1360" spans="1:17" s="52" customFormat="1" ht="39.950000000000003" customHeight="1">
      <c r="A1360" s="9">
        <v>27</v>
      </c>
      <c r="B1360" s="207">
        <v>5399</v>
      </c>
      <c r="C1360" s="11" t="s">
        <v>768</v>
      </c>
      <c r="D1360" s="11" t="s">
        <v>769</v>
      </c>
      <c r="E1360" s="12" t="s">
        <v>512</v>
      </c>
      <c r="F1360" s="30">
        <v>7.5</v>
      </c>
      <c r="G1360" s="30">
        <v>2.5</v>
      </c>
      <c r="H1360" s="30">
        <f>IF(G1360&gt;0,(G1360*1.5)+F1360,"YOK")</f>
        <v>11.25</v>
      </c>
      <c r="I1360" s="47" t="s">
        <v>132</v>
      </c>
      <c r="J1360" s="31"/>
      <c r="K1360" s="32">
        <v>1</v>
      </c>
      <c r="L1360" s="32">
        <v>1</v>
      </c>
      <c r="M1360" s="33"/>
      <c r="N1360" s="33"/>
      <c r="O1360" s="21"/>
      <c r="P1360" s="21"/>
    </row>
    <row r="1361" spans="1:17" s="52" customFormat="1" ht="39.950000000000003" customHeight="1">
      <c r="A1361" s="9">
        <v>28</v>
      </c>
      <c r="B1361" s="207">
        <v>5873</v>
      </c>
      <c r="C1361" s="11" t="s">
        <v>1392</v>
      </c>
      <c r="D1361" s="11" t="s">
        <v>1393</v>
      </c>
      <c r="E1361" s="12" t="s">
        <v>512</v>
      </c>
      <c r="F1361" s="30">
        <v>7.5</v>
      </c>
      <c r="G1361" s="30">
        <v>2.5</v>
      </c>
      <c r="H1361" s="30">
        <f t="shared" ref="H1361" si="573">IF(G1361&gt;0,(G1361*1.5)+F1361,"YOK")</f>
        <v>11.25</v>
      </c>
      <c r="I1361" s="47" t="s">
        <v>132</v>
      </c>
      <c r="J1361" s="31"/>
      <c r="K1361" s="32">
        <v>1</v>
      </c>
      <c r="L1361" s="32">
        <v>1</v>
      </c>
      <c r="M1361" s="33"/>
      <c r="N1361" s="33"/>
      <c r="O1361" s="21"/>
      <c r="P1361" s="21"/>
      <c r="Q1361" s="21"/>
    </row>
    <row r="1362" spans="1:17" ht="39.950000000000003" customHeight="1">
      <c r="A1362" s="40"/>
      <c r="B1362" s="262" t="s">
        <v>564</v>
      </c>
      <c r="C1362" s="263"/>
      <c r="D1362" s="264"/>
      <c r="E1362" s="46"/>
      <c r="F1362" s="41"/>
      <c r="G1362" s="41"/>
      <c r="H1362" s="41"/>
      <c r="I1362" s="42"/>
      <c r="J1362" s="43">
        <f>SUM(J1334:J1361)</f>
        <v>1</v>
      </c>
      <c r="K1362" s="43">
        <f>SUM(K1334:K1361)</f>
        <v>27</v>
      </c>
      <c r="L1362" s="43">
        <f>SUM(L1334:L1361)</f>
        <v>9</v>
      </c>
      <c r="M1362" s="43">
        <f>SUM(M1334:M1361)</f>
        <v>0</v>
      </c>
      <c r="N1362" s="33"/>
      <c r="O1362" s="21"/>
      <c r="P1362" s="21"/>
    </row>
    <row r="1363" spans="1:17" s="52" customFormat="1" ht="39.950000000000003" customHeight="1">
      <c r="A1363" s="9">
        <v>1</v>
      </c>
      <c r="B1363" s="207">
        <v>2006</v>
      </c>
      <c r="C1363" s="50" t="s">
        <v>565</v>
      </c>
      <c r="D1363" s="50" t="s">
        <v>566</v>
      </c>
      <c r="E1363" s="51" t="s">
        <v>567</v>
      </c>
      <c r="F1363" s="30" t="s">
        <v>17</v>
      </c>
      <c r="G1363" s="30"/>
      <c r="H1363" s="30"/>
      <c r="I1363" s="49" t="s">
        <v>255</v>
      </c>
      <c r="J1363" s="31"/>
      <c r="K1363" s="32">
        <v>1</v>
      </c>
      <c r="L1363" s="32"/>
      <c r="M1363" s="33"/>
      <c r="N1363" s="33"/>
      <c r="O1363" s="21"/>
      <c r="P1363" s="21"/>
      <c r="Q1363" s="21"/>
    </row>
    <row r="1364" spans="1:17" s="52" customFormat="1" ht="39.950000000000003" customHeight="1">
      <c r="A1364" s="9">
        <v>2</v>
      </c>
      <c r="B1364" s="207">
        <v>2007</v>
      </c>
      <c r="C1364" s="185" t="s">
        <v>568</v>
      </c>
      <c r="D1364" s="50" t="s">
        <v>569</v>
      </c>
      <c r="E1364" s="51" t="s">
        <v>532</v>
      </c>
      <c r="F1364" s="30" t="s">
        <v>17</v>
      </c>
      <c r="G1364" s="30"/>
      <c r="H1364" s="30"/>
      <c r="I1364" s="49" t="s">
        <v>255</v>
      </c>
      <c r="J1364" s="31"/>
      <c r="K1364" s="32">
        <v>1</v>
      </c>
      <c r="L1364" s="32"/>
      <c r="M1364" s="33"/>
      <c r="N1364" s="33"/>
      <c r="O1364" s="21"/>
      <c r="P1364" s="21"/>
      <c r="Q1364" s="21"/>
    </row>
    <row r="1365" spans="1:17" s="52" customFormat="1" ht="39.950000000000003" customHeight="1">
      <c r="A1365" s="9">
        <v>3</v>
      </c>
      <c r="B1365" s="222">
        <v>6222</v>
      </c>
      <c r="C1365" s="50" t="s">
        <v>2138</v>
      </c>
      <c r="D1365" s="50" t="s">
        <v>2139</v>
      </c>
      <c r="E1365" s="51" t="s">
        <v>532</v>
      </c>
      <c r="F1365" s="30" t="s">
        <v>17</v>
      </c>
      <c r="G1365" s="30"/>
      <c r="H1365" s="30"/>
      <c r="I1365" s="49" t="s">
        <v>255</v>
      </c>
      <c r="J1365" s="31"/>
      <c r="K1365" s="32">
        <v>1</v>
      </c>
      <c r="L1365" s="32"/>
      <c r="M1365" s="33"/>
      <c r="N1365" s="33"/>
      <c r="O1365" s="21"/>
      <c r="P1365" s="21"/>
      <c r="Q1365" s="21"/>
    </row>
    <row r="1366" spans="1:17" s="52" customFormat="1" ht="39.950000000000003" customHeight="1">
      <c r="A1366" s="9">
        <v>4</v>
      </c>
      <c r="B1366" s="222">
        <v>6527</v>
      </c>
      <c r="C1366" s="185" t="s">
        <v>2662</v>
      </c>
      <c r="D1366" s="50" t="s">
        <v>2663</v>
      </c>
      <c r="E1366" s="51" t="s">
        <v>532</v>
      </c>
      <c r="F1366" s="30" t="s">
        <v>17</v>
      </c>
      <c r="G1366" s="30"/>
      <c r="H1366" s="30"/>
      <c r="I1366" s="49" t="s">
        <v>255</v>
      </c>
      <c r="J1366" s="31"/>
      <c r="K1366" s="32">
        <v>1</v>
      </c>
      <c r="L1366" s="32"/>
      <c r="M1366" s="33"/>
      <c r="N1366" s="33"/>
      <c r="O1366" s="21"/>
      <c r="P1366" s="21"/>
      <c r="Q1366" s="21"/>
    </row>
    <row r="1367" spans="1:17" s="52" customFormat="1" ht="39.950000000000003" customHeight="1">
      <c r="A1367" s="9">
        <v>5</v>
      </c>
      <c r="B1367" s="222">
        <v>6644</v>
      </c>
      <c r="C1367" s="185" t="s">
        <v>2970</v>
      </c>
      <c r="D1367" s="50" t="s">
        <v>2971</v>
      </c>
      <c r="E1367" s="51" t="s">
        <v>532</v>
      </c>
      <c r="F1367" s="30" t="s">
        <v>17</v>
      </c>
      <c r="G1367" s="30"/>
      <c r="H1367" s="30"/>
      <c r="I1367" s="49" t="s">
        <v>255</v>
      </c>
      <c r="J1367" s="31"/>
      <c r="K1367" s="32">
        <v>1</v>
      </c>
      <c r="L1367" s="32"/>
      <c r="M1367" s="33"/>
      <c r="N1367" s="33"/>
      <c r="O1367" s="21"/>
      <c r="P1367" s="21"/>
      <c r="Q1367" s="21"/>
    </row>
    <row r="1368" spans="1:17" s="52" customFormat="1" ht="39.950000000000003" customHeight="1">
      <c r="A1368" s="9">
        <v>6</v>
      </c>
      <c r="B1368" s="207">
        <v>5368</v>
      </c>
      <c r="C1368" s="50" t="s">
        <v>748</v>
      </c>
      <c r="D1368" s="50" t="s">
        <v>749</v>
      </c>
      <c r="E1368" s="51" t="s">
        <v>512</v>
      </c>
      <c r="F1368" s="30">
        <v>7.5</v>
      </c>
      <c r="G1368" s="30">
        <v>2.5</v>
      </c>
      <c r="H1368" s="30">
        <f t="shared" ref="H1368" si="574">IF(G1368&gt;0,(G1368*1.5)+F1368,"YOK")</f>
        <v>11.25</v>
      </c>
      <c r="I1368" s="49" t="s">
        <v>806</v>
      </c>
      <c r="J1368" s="31"/>
      <c r="K1368" s="32">
        <v>1</v>
      </c>
      <c r="L1368" s="32"/>
      <c r="M1368" s="33"/>
      <c r="N1368" s="33"/>
      <c r="O1368" s="21"/>
      <c r="P1368" s="21"/>
    </row>
    <row r="1369" spans="1:17" s="52" customFormat="1" ht="39.950000000000003" customHeight="1">
      <c r="A1369" s="9">
        <v>7</v>
      </c>
      <c r="B1369" s="207">
        <v>6094</v>
      </c>
      <c r="C1369" s="50" t="s">
        <v>575</v>
      </c>
      <c r="D1369" s="50" t="s">
        <v>576</v>
      </c>
      <c r="E1369" s="51" t="s">
        <v>512</v>
      </c>
      <c r="F1369" s="30">
        <v>7.5</v>
      </c>
      <c r="G1369" s="30">
        <v>2.5</v>
      </c>
      <c r="H1369" s="30">
        <f t="shared" ref="H1369:H1418" si="575">IF(G1369&gt;0,(G1369*1.5)+F1369,"YOK")</f>
        <v>11.25</v>
      </c>
      <c r="I1369" s="49" t="s">
        <v>806</v>
      </c>
      <c r="J1369" s="31"/>
      <c r="K1369" s="32">
        <v>1</v>
      </c>
      <c r="L1369" s="32"/>
      <c r="M1369" s="33"/>
      <c r="N1369" s="33"/>
      <c r="O1369" s="21"/>
      <c r="P1369" s="21"/>
    </row>
    <row r="1370" spans="1:17" s="52" customFormat="1" ht="39.950000000000003" customHeight="1">
      <c r="A1370" s="9">
        <v>8</v>
      </c>
      <c r="B1370" s="207">
        <v>5485</v>
      </c>
      <c r="C1370" s="50" t="s">
        <v>871</v>
      </c>
      <c r="D1370" s="50" t="s">
        <v>872</v>
      </c>
      <c r="E1370" s="51" t="s">
        <v>512</v>
      </c>
      <c r="F1370" s="30">
        <v>7.5</v>
      </c>
      <c r="G1370" s="30">
        <v>2.5</v>
      </c>
      <c r="H1370" s="30">
        <f t="shared" ref="H1370" si="576">IF(G1370&gt;0,(G1370*1.5)+F1370,"YOK")</f>
        <v>11.25</v>
      </c>
      <c r="I1370" s="49" t="s">
        <v>806</v>
      </c>
      <c r="J1370" s="31"/>
      <c r="K1370" s="32">
        <v>1</v>
      </c>
      <c r="L1370" s="32"/>
      <c r="M1370" s="33"/>
      <c r="N1370" s="33"/>
      <c r="O1370" s="21"/>
      <c r="P1370" s="21"/>
    </row>
    <row r="1371" spans="1:17" s="52" customFormat="1" ht="39.950000000000003" customHeight="1">
      <c r="A1371" s="9">
        <v>9</v>
      </c>
      <c r="B1371" s="222">
        <v>5529</v>
      </c>
      <c r="C1371" s="50" t="s">
        <v>884</v>
      </c>
      <c r="D1371" s="50" t="s">
        <v>885</v>
      </c>
      <c r="E1371" s="51" t="s">
        <v>512</v>
      </c>
      <c r="F1371" s="30">
        <v>7.5</v>
      </c>
      <c r="G1371" s="30">
        <v>2.5</v>
      </c>
      <c r="H1371" s="30">
        <f t="shared" ref="H1371" si="577">IF(G1371&gt;0,(G1371*1.5)+F1371,"YOK")</f>
        <v>11.25</v>
      </c>
      <c r="I1371" s="49" t="s">
        <v>806</v>
      </c>
      <c r="J1371" s="31"/>
      <c r="K1371" s="32">
        <v>1</v>
      </c>
      <c r="L1371" s="32"/>
      <c r="M1371" s="33"/>
      <c r="N1371" s="33"/>
      <c r="O1371" s="21"/>
      <c r="P1371" s="21"/>
    </row>
    <row r="1372" spans="1:17" s="52" customFormat="1" ht="39.950000000000003" customHeight="1">
      <c r="A1372" s="9">
        <v>10</v>
      </c>
      <c r="B1372" s="222">
        <v>4597</v>
      </c>
      <c r="C1372" s="50" t="s">
        <v>573</v>
      </c>
      <c r="D1372" s="50" t="s">
        <v>574</v>
      </c>
      <c r="E1372" s="51" t="s">
        <v>512</v>
      </c>
      <c r="F1372" s="30">
        <v>7.5</v>
      </c>
      <c r="G1372" s="30">
        <v>2.5</v>
      </c>
      <c r="H1372" s="30">
        <f t="shared" ref="H1372" si="578">IF(G1372&gt;0,(G1372*1.5)+F1372,"YOK")</f>
        <v>11.25</v>
      </c>
      <c r="I1372" s="49" t="s">
        <v>806</v>
      </c>
      <c r="J1372" s="31"/>
      <c r="K1372" s="32">
        <v>1</v>
      </c>
      <c r="L1372" s="32"/>
      <c r="M1372" s="33"/>
      <c r="N1372" s="33"/>
      <c r="O1372" s="21"/>
      <c r="P1372" s="21"/>
    </row>
    <row r="1373" spans="1:17" s="52" customFormat="1" ht="39.950000000000003" customHeight="1">
      <c r="A1373" s="9">
        <v>11</v>
      </c>
      <c r="B1373" s="222">
        <v>5062</v>
      </c>
      <c r="C1373" s="50" t="s">
        <v>571</v>
      </c>
      <c r="D1373" s="50" t="s">
        <v>572</v>
      </c>
      <c r="E1373" s="51" t="s">
        <v>511</v>
      </c>
      <c r="F1373" s="30">
        <v>7.5</v>
      </c>
      <c r="G1373" s="30">
        <v>2.5</v>
      </c>
      <c r="H1373" s="30">
        <f t="shared" ref="H1373" si="579">IF(G1373&gt;0,(G1373*1.5)+F1373,"YOK")</f>
        <v>11.25</v>
      </c>
      <c r="I1373" s="49" t="s">
        <v>806</v>
      </c>
      <c r="J1373" s="31"/>
      <c r="K1373" s="32">
        <v>1</v>
      </c>
      <c r="L1373" s="32"/>
      <c r="M1373" s="33"/>
      <c r="N1373" s="33"/>
      <c r="O1373" s="21"/>
      <c r="P1373" s="21"/>
    </row>
    <row r="1374" spans="1:17" s="52" customFormat="1" ht="39.950000000000003" customHeight="1">
      <c r="A1374" s="9">
        <v>12</v>
      </c>
      <c r="B1374" s="222">
        <v>5599</v>
      </c>
      <c r="C1374" s="50" t="s">
        <v>1002</v>
      </c>
      <c r="D1374" s="50" t="s">
        <v>1003</v>
      </c>
      <c r="E1374" s="51" t="s">
        <v>511</v>
      </c>
      <c r="F1374" s="30">
        <v>7.5</v>
      </c>
      <c r="G1374" s="30">
        <v>2.5</v>
      </c>
      <c r="H1374" s="30">
        <f t="shared" ref="H1374" si="580">IF(G1374&gt;0,(G1374*1.5)+F1374,"YOK")</f>
        <v>11.25</v>
      </c>
      <c r="I1374" s="49" t="s">
        <v>806</v>
      </c>
      <c r="J1374" s="31"/>
      <c r="K1374" s="32">
        <v>1</v>
      </c>
      <c r="L1374" s="32"/>
      <c r="M1374" s="33"/>
      <c r="N1374" s="33"/>
      <c r="O1374" s="21"/>
      <c r="P1374" s="21"/>
    </row>
    <row r="1375" spans="1:17" s="52" customFormat="1" ht="39.950000000000003" customHeight="1">
      <c r="A1375" s="9">
        <v>13</v>
      </c>
      <c r="B1375" s="222">
        <v>5747</v>
      </c>
      <c r="C1375" s="50" t="s">
        <v>1204</v>
      </c>
      <c r="D1375" s="50" t="s">
        <v>1203</v>
      </c>
      <c r="E1375" s="51" t="s">
        <v>511</v>
      </c>
      <c r="F1375" s="30">
        <v>7.5</v>
      </c>
      <c r="G1375" s="30">
        <v>2.5</v>
      </c>
      <c r="H1375" s="30">
        <f t="shared" ref="H1375" si="581">IF(G1375&gt;0,(G1375*1.5)+F1375,"YOK")</f>
        <v>11.25</v>
      </c>
      <c r="I1375" s="49" t="s">
        <v>806</v>
      </c>
      <c r="J1375" s="31"/>
      <c r="K1375" s="32">
        <v>1</v>
      </c>
      <c r="L1375" s="32"/>
      <c r="M1375" s="33"/>
      <c r="N1375" s="33"/>
      <c r="O1375" s="21"/>
      <c r="P1375" s="21"/>
    </row>
    <row r="1376" spans="1:17" s="52" customFormat="1" ht="39.950000000000003" customHeight="1">
      <c r="A1376" s="9">
        <v>14</v>
      </c>
      <c r="B1376" s="222">
        <v>5745</v>
      </c>
      <c r="C1376" s="50" t="s">
        <v>1206</v>
      </c>
      <c r="D1376" s="50" t="s">
        <v>1205</v>
      </c>
      <c r="E1376" s="51" t="s">
        <v>511</v>
      </c>
      <c r="F1376" s="30">
        <v>0</v>
      </c>
      <c r="G1376" s="30">
        <v>0</v>
      </c>
      <c r="H1376" s="30" t="str">
        <f t="shared" si="575"/>
        <v>YOK</v>
      </c>
      <c r="I1376" s="49" t="s">
        <v>1185</v>
      </c>
      <c r="J1376" s="31">
        <v>1</v>
      </c>
      <c r="K1376" s="32">
        <v>0</v>
      </c>
      <c r="L1376" s="32"/>
      <c r="M1376" s="33"/>
      <c r="N1376" s="33"/>
      <c r="O1376" s="21"/>
      <c r="P1376" s="21"/>
    </row>
    <row r="1377" spans="1:16" s="52" customFormat="1" ht="39.950000000000003" customHeight="1">
      <c r="A1377" s="9">
        <v>15</v>
      </c>
      <c r="B1377" s="222">
        <v>5744</v>
      </c>
      <c r="C1377" s="50" t="s">
        <v>1207</v>
      </c>
      <c r="D1377" s="50" t="s">
        <v>1208</v>
      </c>
      <c r="E1377" s="51" t="s">
        <v>511</v>
      </c>
      <c r="F1377" s="30">
        <v>7.5</v>
      </c>
      <c r="G1377" s="30">
        <v>2.5</v>
      </c>
      <c r="H1377" s="30">
        <f t="shared" ref="H1377" si="582">IF(G1377&gt;0,(G1377*1.5)+F1377,"YOK")</f>
        <v>11.25</v>
      </c>
      <c r="I1377" s="49" t="s">
        <v>806</v>
      </c>
      <c r="J1377" s="31"/>
      <c r="K1377" s="32">
        <v>1</v>
      </c>
      <c r="L1377" s="32"/>
      <c r="M1377" s="33"/>
      <c r="N1377" s="33"/>
      <c r="O1377" s="21"/>
      <c r="P1377" s="21"/>
    </row>
    <row r="1378" spans="1:16" s="52" customFormat="1" ht="39.950000000000003" customHeight="1">
      <c r="A1378" s="9">
        <v>16</v>
      </c>
      <c r="B1378" s="222">
        <v>6844</v>
      </c>
      <c r="C1378" s="50" t="s">
        <v>1240</v>
      </c>
      <c r="D1378" s="50" t="s">
        <v>1242</v>
      </c>
      <c r="E1378" s="51" t="s">
        <v>511</v>
      </c>
      <c r="F1378" s="30">
        <v>7.5</v>
      </c>
      <c r="G1378" s="30">
        <v>2.5</v>
      </c>
      <c r="H1378" s="30">
        <f t="shared" ref="H1378" si="583">IF(G1378&gt;0,(G1378*1.5)+F1378,"YOK")</f>
        <v>11.25</v>
      </c>
      <c r="I1378" s="49" t="s">
        <v>806</v>
      </c>
      <c r="J1378" s="31"/>
      <c r="K1378" s="32">
        <v>1</v>
      </c>
      <c r="L1378" s="32"/>
      <c r="M1378" s="33"/>
      <c r="N1378" s="33"/>
      <c r="O1378" s="21"/>
      <c r="P1378" s="21"/>
    </row>
    <row r="1379" spans="1:16" s="52" customFormat="1" ht="39.950000000000003" customHeight="1">
      <c r="A1379" s="9">
        <v>17</v>
      </c>
      <c r="B1379" s="222">
        <v>5742</v>
      </c>
      <c r="C1379" s="50" t="s">
        <v>1241</v>
      </c>
      <c r="D1379" s="50" t="s">
        <v>1245</v>
      </c>
      <c r="E1379" s="51" t="s">
        <v>511</v>
      </c>
      <c r="F1379" s="30">
        <v>7.5</v>
      </c>
      <c r="G1379" s="30">
        <v>2.5</v>
      </c>
      <c r="H1379" s="30">
        <f t="shared" si="575"/>
        <v>11.25</v>
      </c>
      <c r="I1379" s="49" t="s">
        <v>806</v>
      </c>
      <c r="J1379" s="31"/>
      <c r="K1379" s="32">
        <v>1</v>
      </c>
      <c r="L1379" s="32"/>
      <c r="M1379" s="33"/>
      <c r="N1379" s="33"/>
      <c r="O1379" s="21"/>
      <c r="P1379" s="21"/>
    </row>
    <row r="1380" spans="1:16" s="52" customFormat="1" ht="39.950000000000003" customHeight="1">
      <c r="A1380" s="9">
        <v>18</v>
      </c>
      <c r="B1380" s="222">
        <v>6289</v>
      </c>
      <c r="C1380" s="50" t="s">
        <v>1219</v>
      </c>
      <c r="D1380" s="185" t="s">
        <v>1220</v>
      </c>
      <c r="E1380" s="51" t="s">
        <v>511</v>
      </c>
      <c r="F1380" s="30">
        <v>7.5</v>
      </c>
      <c r="G1380" s="30">
        <v>2.5</v>
      </c>
      <c r="H1380" s="30">
        <f t="shared" ref="H1380" si="584">IF(G1380&gt;0,(G1380*1.5)+F1380,"YOK")</f>
        <v>11.25</v>
      </c>
      <c r="I1380" s="49" t="s">
        <v>806</v>
      </c>
      <c r="J1380" s="31"/>
      <c r="K1380" s="32">
        <v>1</v>
      </c>
      <c r="L1380" s="32"/>
      <c r="M1380" s="33"/>
      <c r="N1380" s="33"/>
      <c r="O1380" s="21"/>
      <c r="P1380" s="21"/>
    </row>
    <row r="1381" spans="1:16" s="52" customFormat="1" ht="39.950000000000003" customHeight="1">
      <c r="A1381" s="9">
        <v>19</v>
      </c>
      <c r="B1381" s="222">
        <v>5765</v>
      </c>
      <c r="C1381" s="50" t="s">
        <v>1239</v>
      </c>
      <c r="D1381" s="50" t="s">
        <v>2544</v>
      </c>
      <c r="E1381" s="51" t="s">
        <v>511</v>
      </c>
      <c r="F1381" s="30">
        <v>7.5</v>
      </c>
      <c r="G1381" s="30">
        <v>2.5</v>
      </c>
      <c r="H1381" s="30">
        <f t="shared" ref="H1381" si="585">IF(G1381&gt;0,(G1381*1.5)+F1381,"YOK")</f>
        <v>11.25</v>
      </c>
      <c r="I1381" s="49" t="s">
        <v>806</v>
      </c>
      <c r="J1381" s="31"/>
      <c r="K1381" s="32">
        <v>1</v>
      </c>
      <c r="L1381" s="32"/>
      <c r="M1381" s="33"/>
      <c r="N1381" s="33"/>
      <c r="O1381" s="21"/>
      <c r="P1381" s="21"/>
    </row>
    <row r="1382" spans="1:16" s="52" customFormat="1" ht="39.950000000000003" customHeight="1">
      <c r="A1382" s="9">
        <v>20</v>
      </c>
      <c r="B1382" s="222">
        <v>5764</v>
      </c>
      <c r="C1382" s="50" t="s">
        <v>1233</v>
      </c>
      <c r="D1382" s="50" t="s">
        <v>1234</v>
      </c>
      <c r="E1382" s="51" t="s">
        <v>511</v>
      </c>
      <c r="F1382" s="30">
        <v>7.5</v>
      </c>
      <c r="G1382" s="30">
        <v>2.5</v>
      </c>
      <c r="H1382" s="30">
        <f t="shared" ref="H1382" si="586">IF(G1382&gt;0,(G1382*1.5)+F1382,"YOK")</f>
        <v>11.25</v>
      </c>
      <c r="I1382" s="49" t="s">
        <v>806</v>
      </c>
      <c r="J1382" s="31"/>
      <c r="K1382" s="32">
        <v>1</v>
      </c>
      <c r="L1382" s="32"/>
      <c r="M1382" s="33"/>
      <c r="N1382" s="33"/>
      <c r="O1382" s="21"/>
      <c r="P1382" s="21"/>
    </row>
    <row r="1383" spans="1:16" s="52" customFormat="1" ht="39.950000000000003" customHeight="1">
      <c r="A1383" s="9">
        <v>21</v>
      </c>
      <c r="B1383" s="222">
        <v>5893</v>
      </c>
      <c r="C1383" s="50" t="s">
        <v>1421</v>
      </c>
      <c r="D1383" s="50" t="s">
        <v>1420</v>
      </c>
      <c r="E1383" s="51" t="s">
        <v>511</v>
      </c>
      <c r="F1383" s="30">
        <v>7.5</v>
      </c>
      <c r="G1383" s="30">
        <v>2.5</v>
      </c>
      <c r="H1383" s="30">
        <f t="shared" ref="H1383" si="587">IF(G1383&gt;0,(G1383*1.5)+F1383,"YOK")</f>
        <v>11.25</v>
      </c>
      <c r="I1383" s="49" t="s">
        <v>806</v>
      </c>
      <c r="J1383" s="31"/>
      <c r="K1383" s="32">
        <v>1</v>
      </c>
      <c r="L1383" s="32"/>
      <c r="M1383" s="33"/>
      <c r="N1383" s="33"/>
      <c r="O1383" s="21"/>
      <c r="P1383" s="21"/>
    </row>
    <row r="1384" spans="1:16" s="52" customFormat="1" ht="39.950000000000003" customHeight="1">
      <c r="A1384" s="9">
        <v>22</v>
      </c>
      <c r="B1384" s="222">
        <v>5939</v>
      </c>
      <c r="C1384" s="50" t="s">
        <v>1511</v>
      </c>
      <c r="D1384" s="50" t="s">
        <v>1510</v>
      </c>
      <c r="E1384" s="51" t="s">
        <v>511</v>
      </c>
      <c r="F1384" s="30">
        <v>7.5</v>
      </c>
      <c r="G1384" s="30">
        <v>2.5</v>
      </c>
      <c r="H1384" s="30">
        <f t="shared" ref="H1384:H1385" si="588">IF(G1384&gt;0,(G1384*1.5)+F1384,"YOK")</f>
        <v>11.25</v>
      </c>
      <c r="I1384" s="49" t="s">
        <v>806</v>
      </c>
      <c r="J1384" s="31"/>
      <c r="K1384" s="32">
        <v>1</v>
      </c>
      <c r="L1384" s="32"/>
      <c r="M1384" s="33"/>
      <c r="N1384" s="33"/>
      <c r="O1384" s="21"/>
      <c r="P1384" s="21"/>
    </row>
    <row r="1385" spans="1:16" s="52" customFormat="1" ht="39.950000000000003" customHeight="1">
      <c r="A1385" s="9">
        <v>23</v>
      </c>
      <c r="B1385" s="222">
        <v>5950</v>
      </c>
      <c r="C1385" s="50" t="s">
        <v>1527</v>
      </c>
      <c r="D1385" s="50" t="s">
        <v>1587</v>
      </c>
      <c r="E1385" s="51" t="s">
        <v>511</v>
      </c>
      <c r="F1385" s="30">
        <v>0</v>
      </c>
      <c r="G1385" s="30">
        <v>0</v>
      </c>
      <c r="H1385" s="30" t="str">
        <f t="shared" si="588"/>
        <v>YOK</v>
      </c>
      <c r="I1385" s="49" t="s">
        <v>1185</v>
      </c>
      <c r="J1385" s="31">
        <v>1</v>
      </c>
      <c r="K1385" s="32">
        <v>0</v>
      </c>
      <c r="L1385" s="32"/>
      <c r="M1385" s="33"/>
      <c r="N1385" s="33"/>
      <c r="O1385" s="21"/>
      <c r="P1385" s="21"/>
    </row>
    <row r="1386" spans="1:16" s="52" customFormat="1" ht="39.950000000000003" customHeight="1">
      <c r="A1386" s="9">
        <v>24</v>
      </c>
      <c r="B1386" s="222">
        <v>6036</v>
      </c>
      <c r="C1386" s="50" t="s">
        <v>1747</v>
      </c>
      <c r="D1386" s="50" t="s">
        <v>1748</v>
      </c>
      <c r="E1386" s="51" t="s">
        <v>511</v>
      </c>
      <c r="F1386" s="30">
        <v>7.5</v>
      </c>
      <c r="G1386" s="30">
        <v>2.5</v>
      </c>
      <c r="H1386" s="30">
        <f t="shared" si="575"/>
        <v>11.25</v>
      </c>
      <c r="I1386" s="49" t="s">
        <v>806</v>
      </c>
      <c r="J1386" s="31"/>
      <c r="K1386" s="32">
        <v>1</v>
      </c>
      <c r="L1386" s="32"/>
      <c r="M1386" s="33"/>
      <c r="N1386" s="33"/>
      <c r="O1386" s="21"/>
      <c r="P1386" s="21"/>
    </row>
    <row r="1387" spans="1:16" s="52" customFormat="1" ht="39.950000000000003" customHeight="1">
      <c r="A1387" s="9">
        <v>25</v>
      </c>
      <c r="B1387" s="222">
        <v>6223</v>
      </c>
      <c r="C1387" s="50" t="s">
        <v>2140</v>
      </c>
      <c r="D1387" s="50" t="s">
        <v>2141</v>
      </c>
      <c r="E1387" s="51" t="s">
        <v>511</v>
      </c>
      <c r="F1387" s="30">
        <v>7.5</v>
      </c>
      <c r="G1387" s="30">
        <v>2.5</v>
      </c>
      <c r="H1387" s="30">
        <f t="shared" ref="H1387:H1388" si="589">IF(G1387&gt;0,(G1387*1.5)+F1387,"YOK")</f>
        <v>11.25</v>
      </c>
      <c r="I1387" s="49" t="s">
        <v>806</v>
      </c>
      <c r="J1387" s="31"/>
      <c r="K1387" s="32">
        <v>1</v>
      </c>
      <c r="L1387" s="32"/>
      <c r="M1387" s="33"/>
      <c r="N1387" s="33"/>
      <c r="O1387" s="21"/>
      <c r="P1387" s="21"/>
    </row>
    <row r="1388" spans="1:16" s="52" customFormat="1" ht="39.950000000000003" customHeight="1">
      <c r="A1388" s="9">
        <v>26</v>
      </c>
      <c r="B1388" s="222">
        <v>6224</v>
      </c>
      <c r="C1388" s="50" t="s">
        <v>2142</v>
      </c>
      <c r="D1388" s="50" t="s">
        <v>2143</v>
      </c>
      <c r="E1388" s="51" t="s">
        <v>511</v>
      </c>
      <c r="F1388" s="30">
        <v>7.5</v>
      </c>
      <c r="G1388" s="30">
        <v>2.5</v>
      </c>
      <c r="H1388" s="30">
        <f t="shared" si="589"/>
        <v>11.25</v>
      </c>
      <c r="I1388" s="49" t="s">
        <v>806</v>
      </c>
      <c r="J1388" s="31"/>
      <c r="K1388" s="32">
        <v>1</v>
      </c>
      <c r="L1388" s="32"/>
      <c r="M1388" s="33"/>
      <c r="N1388" s="33"/>
      <c r="O1388" s="21"/>
      <c r="P1388" s="21"/>
    </row>
    <row r="1389" spans="1:16" s="52" customFormat="1" ht="39.950000000000003" customHeight="1">
      <c r="A1389" s="9">
        <v>27</v>
      </c>
      <c r="B1389" s="222">
        <v>6225</v>
      </c>
      <c r="C1389" s="50" t="s">
        <v>2144</v>
      </c>
      <c r="D1389" s="50" t="s">
        <v>2145</v>
      </c>
      <c r="E1389" s="51" t="s">
        <v>511</v>
      </c>
      <c r="F1389" s="30">
        <v>7.5</v>
      </c>
      <c r="G1389" s="30">
        <v>2.5</v>
      </c>
      <c r="H1389" s="30">
        <f t="shared" ref="H1389" si="590">IF(G1389&gt;0,(G1389*1.5)+F1389,"YOK")</f>
        <v>11.25</v>
      </c>
      <c r="I1389" s="49" t="s">
        <v>806</v>
      </c>
      <c r="J1389" s="31"/>
      <c r="K1389" s="32">
        <v>1</v>
      </c>
      <c r="L1389" s="32"/>
      <c r="M1389" s="33"/>
      <c r="N1389" s="33"/>
      <c r="O1389" s="21"/>
      <c r="P1389" s="21"/>
    </row>
    <row r="1390" spans="1:16" s="52" customFormat="1" ht="39.950000000000003" customHeight="1">
      <c r="A1390" s="9">
        <v>28</v>
      </c>
      <c r="B1390" s="222">
        <v>6286</v>
      </c>
      <c r="C1390" s="50" t="s">
        <v>2328</v>
      </c>
      <c r="D1390" s="50" t="s">
        <v>2329</v>
      </c>
      <c r="E1390" s="51" t="s">
        <v>511</v>
      </c>
      <c r="F1390" s="30">
        <v>7.5</v>
      </c>
      <c r="G1390" s="30">
        <v>2.5</v>
      </c>
      <c r="H1390" s="30">
        <f t="shared" ref="H1390:H1396" si="591">IF(G1390&gt;0,(G1390*1.5)+F1390,"YOK")</f>
        <v>11.25</v>
      </c>
      <c r="I1390" s="49" t="s">
        <v>806</v>
      </c>
      <c r="J1390" s="31"/>
      <c r="K1390" s="32">
        <v>1</v>
      </c>
      <c r="L1390" s="32"/>
      <c r="M1390" s="33"/>
      <c r="N1390" s="33"/>
      <c r="O1390" s="21"/>
      <c r="P1390" s="21"/>
    </row>
    <row r="1391" spans="1:16" s="52" customFormat="1" ht="39.950000000000003" customHeight="1">
      <c r="A1391" s="9">
        <v>29</v>
      </c>
      <c r="B1391" s="222">
        <v>6747</v>
      </c>
      <c r="C1391" s="185" t="s">
        <v>3293</v>
      </c>
      <c r="D1391" s="50" t="s">
        <v>3294</v>
      </c>
      <c r="E1391" s="51" t="s">
        <v>511</v>
      </c>
      <c r="F1391" s="30">
        <v>7.5</v>
      </c>
      <c r="G1391" s="30">
        <v>2.5</v>
      </c>
      <c r="H1391" s="30">
        <f t="shared" ref="H1391:H1393" si="592">IF(G1391&gt;0,(G1391*1.5)+F1391,"YOK")</f>
        <v>11.25</v>
      </c>
      <c r="I1391" s="49" t="s">
        <v>806</v>
      </c>
      <c r="J1391" s="31"/>
      <c r="K1391" s="32">
        <v>1</v>
      </c>
      <c r="L1391" s="32"/>
      <c r="M1391" s="33"/>
      <c r="N1391" s="33"/>
      <c r="O1391" s="21"/>
      <c r="P1391" s="21"/>
    </row>
    <row r="1392" spans="1:16" s="52" customFormat="1" ht="39.950000000000003" customHeight="1">
      <c r="A1392" s="9">
        <v>30</v>
      </c>
      <c r="B1392" s="222">
        <v>6748</v>
      </c>
      <c r="C1392" s="185" t="s">
        <v>3295</v>
      </c>
      <c r="D1392" s="50" t="s">
        <v>3296</v>
      </c>
      <c r="E1392" s="51" t="s">
        <v>511</v>
      </c>
      <c r="F1392" s="30">
        <v>0</v>
      </c>
      <c r="G1392" s="30">
        <v>0</v>
      </c>
      <c r="H1392" s="30" t="str">
        <f t="shared" si="592"/>
        <v>YOK</v>
      </c>
      <c r="I1392" s="49" t="s">
        <v>1185</v>
      </c>
      <c r="J1392" s="31">
        <v>1</v>
      </c>
      <c r="K1392" s="32">
        <v>0</v>
      </c>
      <c r="L1392" s="32"/>
      <c r="M1392" s="33"/>
      <c r="N1392" s="33"/>
      <c r="O1392" s="21"/>
      <c r="P1392" s="21"/>
    </row>
    <row r="1393" spans="1:16" s="52" customFormat="1" ht="39.950000000000003" customHeight="1">
      <c r="A1393" s="9">
        <v>31</v>
      </c>
      <c r="B1393" s="222">
        <v>6811</v>
      </c>
      <c r="C1393" s="185" t="s">
        <v>3598</v>
      </c>
      <c r="D1393" s="50" t="s">
        <v>3599</v>
      </c>
      <c r="E1393" s="51" t="s">
        <v>511</v>
      </c>
      <c r="F1393" s="30">
        <v>0</v>
      </c>
      <c r="G1393" s="30">
        <v>0</v>
      </c>
      <c r="H1393" s="30" t="str">
        <f t="shared" si="592"/>
        <v>YOK</v>
      </c>
      <c r="I1393" s="49" t="s">
        <v>1185</v>
      </c>
      <c r="J1393" s="31">
        <v>1</v>
      </c>
      <c r="K1393" s="32">
        <v>0</v>
      </c>
      <c r="L1393" s="32"/>
      <c r="M1393" s="33"/>
      <c r="N1393" s="33"/>
      <c r="O1393" s="21"/>
      <c r="P1393" s="21"/>
    </row>
    <row r="1394" spans="1:16" s="52" customFormat="1" ht="39.950000000000003" customHeight="1">
      <c r="A1394" s="9">
        <v>32</v>
      </c>
      <c r="B1394" s="222">
        <v>6812</v>
      </c>
      <c r="C1394" s="185" t="s">
        <v>3600</v>
      </c>
      <c r="D1394" s="50" t="s">
        <v>3601</v>
      </c>
      <c r="E1394" s="51" t="s">
        <v>511</v>
      </c>
      <c r="F1394" s="30">
        <v>7.5</v>
      </c>
      <c r="G1394" s="30">
        <v>2.5</v>
      </c>
      <c r="H1394" s="30">
        <f t="shared" ref="H1394:H1395" si="593">IF(G1394&gt;0,(G1394*1.5)+F1394,"YOK")</f>
        <v>11.25</v>
      </c>
      <c r="I1394" s="49" t="s">
        <v>806</v>
      </c>
      <c r="J1394" s="31"/>
      <c r="K1394" s="32">
        <v>1</v>
      </c>
      <c r="L1394" s="32"/>
      <c r="M1394" s="33"/>
      <c r="N1394" s="33"/>
      <c r="O1394" s="21"/>
      <c r="P1394" s="21"/>
    </row>
    <row r="1395" spans="1:16" s="52" customFormat="1" ht="39.950000000000003" customHeight="1">
      <c r="A1395" s="9">
        <v>33</v>
      </c>
      <c r="B1395" s="222">
        <v>6837</v>
      </c>
      <c r="C1395" s="185" t="s">
        <v>3641</v>
      </c>
      <c r="D1395" s="50" t="s">
        <v>3642</v>
      </c>
      <c r="E1395" s="51" t="s">
        <v>511</v>
      </c>
      <c r="F1395" s="30">
        <v>0</v>
      </c>
      <c r="G1395" s="30">
        <v>0</v>
      </c>
      <c r="H1395" s="30" t="str">
        <f t="shared" si="593"/>
        <v>YOK</v>
      </c>
      <c r="I1395" s="49" t="s">
        <v>1185</v>
      </c>
      <c r="J1395" s="31">
        <v>1</v>
      </c>
      <c r="K1395" s="32">
        <v>0</v>
      </c>
      <c r="L1395" s="32"/>
      <c r="M1395" s="33"/>
      <c r="N1395" s="33"/>
      <c r="O1395" s="21"/>
      <c r="P1395" s="21"/>
    </row>
    <row r="1396" spans="1:16" s="52" customFormat="1" ht="39.950000000000003" customHeight="1">
      <c r="A1396" s="9">
        <v>34</v>
      </c>
      <c r="B1396" s="222">
        <v>5250</v>
      </c>
      <c r="C1396" s="50" t="s">
        <v>464</v>
      </c>
      <c r="D1396" s="50" t="s">
        <v>465</v>
      </c>
      <c r="E1396" s="51" t="s">
        <v>162</v>
      </c>
      <c r="F1396" s="30">
        <v>7.5</v>
      </c>
      <c r="G1396" s="30">
        <v>2.5</v>
      </c>
      <c r="H1396" s="30">
        <f t="shared" si="591"/>
        <v>11.25</v>
      </c>
      <c r="I1396" s="49" t="s">
        <v>806</v>
      </c>
      <c r="J1396" s="31"/>
      <c r="K1396" s="32">
        <v>1</v>
      </c>
      <c r="L1396" s="32"/>
      <c r="M1396" s="33"/>
      <c r="N1396" s="33"/>
      <c r="O1396" s="21"/>
      <c r="P1396" s="21"/>
    </row>
    <row r="1397" spans="1:16" s="52" customFormat="1" ht="39.950000000000003" customHeight="1">
      <c r="A1397" s="9">
        <v>35</v>
      </c>
      <c r="B1397" s="222">
        <v>5444</v>
      </c>
      <c r="C1397" s="50" t="s">
        <v>842</v>
      </c>
      <c r="D1397" s="50" t="s">
        <v>843</v>
      </c>
      <c r="E1397" s="51" t="s">
        <v>162</v>
      </c>
      <c r="F1397" s="30">
        <v>7.5</v>
      </c>
      <c r="G1397" s="30">
        <v>2.5</v>
      </c>
      <c r="H1397" s="30">
        <f t="shared" ref="H1397" si="594">IF(G1397&gt;0,(G1397*1.5)+F1397,"YOK")</f>
        <v>11.25</v>
      </c>
      <c r="I1397" s="49" t="s">
        <v>806</v>
      </c>
      <c r="J1397" s="31"/>
      <c r="K1397" s="32">
        <v>1</v>
      </c>
      <c r="L1397" s="32"/>
      <c r="M1397" s="33"/>
      <c r="N1397" s="33"/>
      <c r="O1397" s="21"/>
      <c r="P1397" s="21"/>
    </row>
    <row r="1398" spans="1:16" s="52" customFormat="1" ht="39.950000000000003" customHeight="1">
      <c r="A1398" s="9">
        <v>36</v>
      </c>
      <c r="B1398" s="222">
        <v>4684</v>
      </c>
      <c r="C1398" s="50" t="s">
        <v>577</v>
      </c>
      <c r="D1398" s="50" t="s">
        <v>578</v>
      </c>
      <c r="E1398" s="51" t="s">
        <v>162</v>
      </c>
      <c r="F1398" s="30">
        <v>7.5</v>
      </c>
      <c r="G1398" s="30">
        <v>2.5</v>
      </c>
      <c r="H1398" s="30">
        <f t="shared" si="575"/>
        <v>11.25</v>
      </c>
      <c r="I1398" s="49" t="s">
        <v>806</v>
      </c>
      <c r="J1398" s="31"/>
      <c r="K1398" s="32">
        <v>1</v>
      </c>
      <c r="L1398" s="32"/>
      <c r="M1398" s="33"/>
      <c r="N1398" s="33"/>
      <c r="O1398" s="21"/>
      <c r="P1398" s="21"/>
    </row>
    <row r="1399" spans="1:16" s="52" customFormat="1" ht="39.950000000000003" customHeight="1">
      <c r="A1399" s="9">
        <v>37</v>
      </c>
      <c r="B1399" s="222">
        <v>4961</v>
      </c>
      <c r="C1399" s="50" t="s">
        <v>579</v>
      </c>
      <c r="D1399" s="50" t="s">
        <v>580</v>
      </c>
      <c r="E1399" s="51" t="s">
        <v>162</v>
      </c>
      <c r="F1399" s="30">
        <v>7.5</v>
      </c>
      <c r="G1399" s="30">
        <v>2.5</v>
      </c>
      <c r="H1399" s="30">
        <f t="shared" ref="H1399" si="595">IF(G1399&gt;0,(G1399*1.5)+F1399,"YOK")</f>
        <v>11.25</v>
      </c>
      <c r="I1399" s="49" t="s">
        <v>806</v>
      </c>
      <c r="J1399" s="31"/>
      <c r="K1399" s="32">
        <v>1</v>
      </c>
      <c r="L1399" s="32"/>
      <c r="M1399" s="33"/>
      <c r="N1399" s="33"/>
      <c r="O1399" s="21"/>
      <c r="P1399" s="21"/>
    </row>
    <row r="1400" spans="1:16" s="52" customFormat="1" ht="39.950000000000003" customHeight="1">
      <c r="A1400" s="9">
        <v>38</v>
      </c>
      <c r="B1400" s="222">
        <v>5671</v>
      </c>
      <c r="C1400" s="50" t="s">
        <v>1105</v>
      </c>
      <c r="D1400" s="50" t="s">
        <v>1106</v>
      </c>
      <c r="E1400" s="51" t="s">
        <v>162</v>
      </c>
      <c r="F1400" s="30">
        <v>7.5</v>
      </c>
      <c r="G1400" s="30">
        <v>2.5</v>
      </c>
      <c r="H1400" s="30">
        <f t="shared" ref="H1400" si="596">IF(G1400&gt;0,(G1400*1.5)+F1400,"YOK")</f>
        <v>11.25</v>
      </c>
      <c r="I1400" s="49" t="s">
        <v>806</v>
      </c>
      <c r="J1400" s="31"/>
      <c r="K1400" s="32">
        <v>1</v>
      </c>
      <c r="L1400" s="32"/>
      <c r="M1400" s="33"/>
      <c r="N1400" s="33"/>
      <c r="O1400" s="21"/>
      <c r="P1400" s="21"/>
    </row>
    <row r="1401" spans="1:16" s="52" customFormat="1" ht="39.950000000000003" customHeight="1">
      <c r="A1401" s="9">
        <v>39</v>
      </c>
      <c r="B1401" s="222">
        <v>5974</v>
      </c>
      <c r="C1401" s="50" t="s">
        <v>429</v>
      </c>
      <c r="D1401" s="50" t="s">
        <v>430</v>
      </c>
      <c r="E1401" s="51" t="s">
        <v>162</v>
      </c>
      <c r="F1401" s="30">
        <v>7.5</v>
      </c>
      <c r="G1401" s="30">
        <v>2.5</v>
      </c>
      <c r="H1401" s="30">
        <f t="shared" ref="H1401" si="597">IF(G1401&gt;0,(G1401*1.5)+F1401,"YOK")</f>
        <v>11.25</v>
      </c>
      <c r="I1401" s="49" t="s">
        <v>806</v>
      </c>
      <c r="J1401" s="31"/>
      <c r="K1401" s="32">
        <v>1</v>
      </c>
      <c r="L1401" s="32"/>
      <c r="M1401" s="33"/>
      <c r="N1401" s="33"/>
      <c r="O1401" s="21"/>
      <c r="P1401" s="21"/>
    </row>
    <row r="1402" spans="1:16" s="52" customFormat="1" ht="39.950000000000003" customHeight="1">
      <c r="A1402" s="9">
        <v>40</v>
      </c>
      <c r="B1402" s="222">
        <v>6143</v>
      </c>
      <c r="C1402" s="50" t="s">
        <v>1903</v>
      </c>
      <c r="D1402" s="50" t="s">
        <v>1904</v>
      </c>
      <c r="E1402" s="51" t="s">
        <v>162</v>
      </c>
      <c r="F1402" s="30">
        <v>7.5</v>
      </c>
      <c r="G1402" s="30">
        <v>2.5</v>
      </c>
      <c r="H1402" s="30">
        <f t="shared" ref="H1402" si="598">IF(G1402&gt;0,(G1402*1.5)+F1402,"YOK")</f>
        <v>11.25</v>
      </c>
      <c r="I1402" s="49" t="s">
        <v>806</v>
      </c>
      <c r="J1402" s="31"/>
      <c r="K1402" s="32">
        <v>1</v>
      </c>
      <c r="L1402" s="32"/>
      <c r="M1402" s="33"/>
      <c r="N1402" s="33"/>
      <c r="O1402" s="21"/>
      <c r="P1402" s="21"/>
    </row>
    <row r="1403" spans="1:16" s="52" customFormat="1" ht="39.950000000000003" customHeight="1">
      <c r="A1403" s="9">
        <v>41</v>
      </c>
      <c r="B1403" s="222">
        <v>6165</v>
      </c>
      <c r="C1403" s="50" t="s">
        <v>2021</v>
      </c>
      <c r="D1403" s="50" t="s">
        <v>2022</v>
      </c>
      <c r="E1403" s="51" t="s">
        <v>162</v>
      </c>
      <c r="F1403" s="30">
        <v>7.5</v>
      </c>
      <c r="G1403" s="30">
        <v>2.5</v>
      </c>
      <c r="H1403" s="30">
        <f t="shared" si="575"/>
        <v>11.25</v>
      </c>
      <c r="I1403" s="49" t="s">
        <v>807</v>
      </c>
      <c r="J1403" s="31"/>
      <c r="K1403" s="32">
        <v>1</v>
      </c>
      <c r="L1403" s="32"/>
      <c r="M1403" s="33"/>
      <c r="N1403" s="33"/>
      <c r="O1403" s="21"/>
      <c r="P1403" s="21"/>
    </row>
    <row r="1404" spans="1:16" s="52" customFormat="1" ht="39.950000000000003" customHeight="1">
      <c r="A1404" s="9">
        <v>42</v>
      </c>
      <c r="B1404" s="222">
        <v>6055</v>
      </c>
      <c r="C1404" s="50" t="s">
        <v>1733</v>
      </c>
      <c r="D1404" s="50" t="s">
        <v>1734</v>
      </c>
      <c r="E1404" s="51" t="s">
        <v>162</v>
      </c>
      <c r="F1404" s="30">
        <v>7.5</v>
      </c>
      <c r="G1404" s="30">
        <v>2.5</v>
      </c>
      <c r="H1404" s="30">
        <f t="shared" si="575"/>
        <v>11.25</v>
      </c>
      <c r="I1404" s="49" t="s">
        <v>807</v>
      </c>
      <c r="J1404" s="31"/>
      <c r="K1404" s="32">
        <v>1</v>
      </c>
      <c r="L1404" s="32"/>
      <c r="M1404" s="33"/>
      <c r="N1404" s="33"/>
      <c r="O1404" s="21"/>
      <c r="P1404" s="21"/>
    </row>
    <row r="1405" spans="1:16" s="52" customFormat="1" ht="39.950000000000003" customHeight="1">
      <c r="A1405" s="9">
        <v>43</v>
      </c>
      <c r="B1405" s="222">
        <v>6645</v>
      </c>
      <c r="C1405" s="185" t="s">
        <v>2972</v>
      </c>
      <c r="D1405" s="50" t="s">
        <v>2973</v>
      </c>
      <c r="E1405" s="51" t="s">
        <v>162</v>
      </c>
      <c r="F1405" s="30">
        <v>7.5</v>
      </c>
      <c r="G1405" s="30">
        <v>2.5</v>
      </c>
      <c r="H1405" s="30">
        <f t="shared" ref="H1405" si="599">IF(G1405&gt;0,(G1405*1.5)+F1405,"YOK")</f>
        <v>11.25</v>
      </c>
      <c r="I1405" s="49" t="s">
        <v>807</v>
      </c>
      <c r="J1405" s="31"/>
      <c r="K1405" s="32">
        <v>1</v>
      </c>
      <c r="L1405" s="32"/>
      <c r="M1405" s="33"/>
      <c r="N1405" s="33"/>
      <c r="O1405" s="21"/>
      <c r="P1405" s="21"/>
    </row>
    <row r="1406" spans="1:16" s="52" customFormat="1" ht="39.950000000000003" customHeight="1">
      <c r="A1406" s="9">
        <v>44</v>
      </c>
      <c r="B1406" s="222">
        <v>6159</v>
      </c>
      <c r="C1406" s="185" t="s">
        <v>2002</v>
      </c>
      <c r="D1406" s="50" t="s">
        <v>2001</v>
      </c>
      <c r="E1406" s="51" t="s">
        <v>162</v>
      </c>
      <c r="F1406" s="30">
        <v>7.5</v>
      </c>
      <c r="G1406" s="30">
        <v>2.5</v>
      </c>
      <c r="H1406" s="30">
        <v>11.25</v>
      </c>
      <c r="I1406" s="49" t="s">
        <v>807</v>
      </c>
      <c r="J1406" s="31"/>
      <c r="K1406" s="32">
        <v>1</v>
      </c>
      <c r="L1406" s="32"/>
      <c r="M1406" s="33"/>
      <c r="N1406" s="33"/>
      <c r="O1406" s="21"/>
      <c r="P1406" s="21"/>
    </row>
    <row r="1407" spans="1:16" s="52" customFormat="1" ht="39.950000000000003" customHeight="1">
      <c r="A1407" s="9">
        <v>45</v>
      </c>
      <c r="B1407" s="222">
        <v>5975</v>
      </c>
      <c r="C1407" s="50" t="s">
        <v>1565</v>
      </c>
      <c r="D1407" s="50" t="s">
        <v>1564</v>
      </c>
      <c r="E1407" s="51" t="s">
        <v>533</v>
      </c>
      <c r="F1407" s="30">
        <v>7.5</v>
      </c>
      <c r="G1407" s="30">
        <v>2.5</v>
      </c>
      <c r="H1407" s="30">
        <v>11.25</v>
      </c>
      <c r="I1407" s="49" t="s">
        <v>807</v>
      </c>
      <c r="J1407" s="31"/>
      <c r="K1407" s="32">
        <v>1</v>
      </c>
      <c r="L1407" s="32"/>
      <c r="M1407" s="33"/>
      <c r="N1407" s="33"/>
      <c r="O1407" s="21"/>
      <c r="P1407" s="21"/>
    </row>
    <row r="1408" spans="1:16" s="52" customFormat="1" ht="39.950000000000003" customHeight="1">
      <c r="A1408" s="9">
        <v>46</v>
      </c>
      <c r="B1408" s="222">
        <v>5993</v>
      </c>
      <c r="C1408" s="50" t="s">
        <v>1596</v>
      </c>
      <c r="D1408" s="50" t="s">
        <v>1597</v>
      </c>
      <c r="E1408" s="51" t="s">
        <v>533</v>
      </c>
      <c r="F1408" s="30">
        <v>7.5</v>
      </c>
      <c r="G1408" s="30">
        <v>2.5</v>
      </c>
      <c r="H1408" s="30">
        <f t="shared" si="575"/>
        <v>11.25</v>
      </c>
      <c r="I1408" s="49" t="s">
        <v>807</v>
      </c>
      <c r="J1408" s="31"/>
      <c r="K1408" s="32">
        <v>1</v>
      </c>
      <c r="L1408" s="32"/>
      <c r="M1408" s="33"/>
      <c r="N1408" s="33"/>
      <c r="O1408" s="21"/>
      <c r="P1408" s="21"/>
    </row>
    <row r="1409" spans="1:17" s="52" customFormat="1" ht="39.950000000000003" customHeight="1">
      <c r="A1409" s="9">
        <v>47</v>
      </c>
      <c r="B1409" s="222">
        <v>6077</v>
      </c>
      <c r="C1409" s="50" t="s">
        <v>1775</v>
      </c>
      <c r="D1409" s="50" t="s">
        <v>1776</v>
      </c>
      <c r="E1409" s="51" t="s">
        <v>533</v>
      </c>
      <c r="F1409" s="30">
        <v>7.5</v>
      </c>
      <c r="G1409" s="30">
        <v>2.5</v>
      </c>
      <c r="H1409" s="30">
        <f t="shared" ref="H1409" si="600">IF(G1409&gt;0,(G1409*1.5)+F1409,"YOK")</f>
        <v>11.25</v>
      </c>
      <c r="I1409" s="49" t="s">
        <v>807</v>
      </c>
      <c r="J1409" s="31"/>
      <c r="K1409" s="32">
        <v>1</v>
      </c>
      <c r="L1409" s="32"/>
      <c r="M1409" s="33"/>
      <c r="N1409" s="33"/>
      <c r="O1409" s="21"/>
      <c r="P1409" s="21"/>
      <c r="Q1409" s="21"/>
    </row>
    <row r="1410" spans="1:17" s="52" customFormat="1" ht="39.950000000000003" customHeight="1">
      <c r="A1410" s="9">
        <v>48</v>
      </c>
      <c r="B1410" s="222">
        <v>6144</v>
      </c>
      <c r="C1410" s="50" t="s">
        <v>1908</v>
      </c>
      <c r="D1410" s="50" t="s">
        <v>1907</v>
      </c>
      <c r="E1410" s="51" t="s">
        <v>533</v>
      </c>
      <c r="F1410" s="30">
        <v>7.5</v>
      </c>
      <c r="G1410" s="30">
        <v>2.5</v>
      </c>
      <c r="H1410" s="30">
        <f t="shared" ref="H1410" si="601">IF(G1410&gt;0,(G1410*1.5)+F1410,"YOK")</f>
        <v>11.25</v>
      </c>
      <c r="I1410" s="49" t="s">
        <v>807</v>
      </c>
      <c r="J1410" s="31"/>
      <c r="K1410" s="32">
        <v>1</v>
      </c>
      <c r="L1410" s="32"/>
      <c r="M1410" s="33"/>
      <c r="N1410" s="33"/>
      <c r="O1410" s="21"/>
      <c r="P1410" s="21"/>
      <c r="Q1410" s="21"/>
    </row>
    <row r="1411" spans="1:17" s="52" customFormat="1" ht="39.950000000000003" customHeight="1">
      <c r="A1411" s="9">
        <v>49</v>
      </c>
      <c r="B1411" s="222">
        <v>6615</v>
      </c>
      <c r="C1411" s="185" t="s">
        <v>2876</v>
      </c>
      <c r="D1411" s="50" t="s">
        <v>2877</v>
      </c>
      <c r="E1411" s="51" t="s">
        <v>511</v>
      </c>
      <c r="F1411" s="30">
        <v>7.5</v>
      </c>
      <c r="G1411" s="30">
        <v>2.5</v>
      </c>
      <c r="H1411" s="30">
        <f>IF(G1411&gt;0,(G1411*1.5)+F1411,"YOK")</f>
        <v>11.25</v>
      </c>
      <c r="I1411" s="47" t="s">
        <v>132</v>
      </c>
      <c r="J1411" s="31"/>
      <c r="K1411" s="32">
        <v>1</v>
      </c>
      <c r="L1411" s="32">
        <v>1</v>
      </c>
      <c r="M1411" s="33"/>
      <c r="N1411" s="33"/>
      <c r="O1411" s="21"/>
      <c r="P1411" s="21"/>
    </row>
    <row r="1412" spans="1:17" s="52" customFormat="1" ht="39.950000000000003" customHeight="1">
      <c r="A1412" s="9">
        <v>50</v>
      </c>
      <c r="B1412" s="222">
        <v>6616</v>
      </c>
      <c r="C1412" s="185" t="s">
        <v>2878</v>
      </c>
      <c r="D1412" s="50" t="s">
        <v>2879</v>
      </c>
      <c r="E1412" s="51" t="s">
        <v>511</v>
      </c>
      <c r="F1412" s="30">
        <v>7.5</v>
      </c>
      <c r="G1412" s="30">
        <v>2.5</v>
      </c>
      <c r="H1412" s="30">
        <f>IF(G1412&gt;0,(G1412*1.5)+F1412,"YOK")</f>
        <v>11.25</v>
      </c>
      <c r="I1412" s="47" t="s">
        <v>132</v>
      </c>
      <c r="J1412" s="31"/>
      <c r="K1412" s="32">
        <v>1</v>
      </c>
      <c r="L1412" s="32">
        <v>1</v>
      </c>
      <c r="M1412" s="33"/>
      <c r="N1412" s="33"/>
      <c r="O1412" s="21"/>
      <c r="P1412" s="21"/>
    </row>
    <row r="1413" spans="1:17" s="52" customFormat="1" ht="39.950000000000003" customHeight="1">
      <c r="A1413" s="9">
        <v>51</v>
      </c>
      <c r="B1413" s="222">
        <v>6617</v>
      </c>
      <c r="C1413" s="185" t="s">
        <v>2880</v>
      </c>
      <c r="D1413" s="50" t="s">
        <v>2881</v>
      </c>
      <c r="E1413" s="51" t="s">
        <v>511</v>
      </c>
      <c r="F1413" s="30">
        <v>7.5</v>
      </c>
      <c r="G1413" s="30">
        <v>2.5</v>
      </c>
      <c r="H1413" s="30">
        <f>IF(G1413&gt;0,(G1413*1.5)+F1413,"YOK")</f>
        <v>11.25</v>
      </c>
      <c r="I1413" s="47" t="s">
        <v>132</v>
      </c>
      <c r="J1413" s="31"/>
      <c r="K1413" s="32">
        <v>1</v>
      </c>
      <c r="L1413" s="32">
        <v>1</v>
      </c>
      <c r="M1413" s="33"/>
      <c r="N1413" s="33"/>
      <c r="O1413" s="21"/>
      <c r="P1413" s="21"/>
    </row>
    <row r="1414" spans="1:17" s="52" customFormat="1" ht="39.950000000000003" customHeight="1">
      <c r="A1414" s="9">
        <v>52</v>
      </c>
      <c r="B1414" s="222">
        <v>6682</v>
      </c>
      <c r="C1414" s="50" t="s">
        <v>897</v>
      </c>
      <c r="D1414" s="50" t="s">
        <v>898</v>
      </c>
      <c r="E1414" s="51" t="s">
        <v>511</v>
      </c>
      <c r="F1414" s="30">
        <v>7.5</v>
      </c>
      <c r="G1414" s="30">
        <v>2.5</v>
      </c>
      <c r="H1414" s="30">
        <f t="shared" si="575"/>
        <v>11.25</v>
      </c>
      <c r="I1414" s="47" t="s">
        <v>132</v>
      </c>
      <c r="J1414" s="31"/>
      <c r="K1414" s="32">
        <v>1</v>
      </c>
      <c r="L1414" s="32">
        <v>1</v>
      </c>
      <c r="M1414" s="33"/>
      <c r="N1414" s="33"/>
      <c r="O1414" s="21"/>
      <c r="P1414" s="21"/>
      <c r="Q1414" s="21"/>
    </row>
    <row r="1415" spans="1:17" s="52" customFormat="1" ht="39.950000000000003" customHeight="1">
      <c r="A1415" s="9">
        <v>53</v>
      </c>
      <c r="B1415" s="222">
        <v>5683</v>
      </c>
      <c r="C1415" s="50" t="s">
        <v>1132</v>
      </c>
      <c r="D1415" s="50" t="s">
        <v>1131</v>
      </c>
      <c r="E1415" s="51" t="s">
        <v>511</v>
      </c>
      <c r="F1415" s="30">
        <v>7.5</v>
      </c>
      <c r="G1415" s="30">
        <v>2.5</v>
      </c>
      <c r="H1415" s="30">
        <f t="shared" si="575"/>
        <v>11.25</v>
      </c>
      <c r="I1415" s="47" t="s">
        <v>132</v>
      </c>
      <c r="J1415" s="31"/>
      <c r="K1415" s="32">
        <v>1</v>
      </c>
      <c r="L1415" s="32">
        <v>1</v>
      </c>
      <c r="M1415" s="33"/>
      <c r="N1415" s="33"/>
      <c r="O1415" s="21"/>
      <c r="P1415" s="21"/>
      <c r="Q1415" s="21"/>
    </row>
    <row r="1416" spans="1:17" s="52" customFormat="1" ht="39.950000000000003" customHeight="1">
      <c r="A1416" s="9">
        <v>54</v>
      </c>
      <c r="B1416" s="222">
        <v>5709</v>
      </c>
      <c r="C1416" s="50" t="s">
        <v>1180</v>
      </c>
      <c r="D1416" s="50" t="s">
        <v>1311</v>
      </c>
      <c r="E1416" s="51" t="s">
        <v>511</v>
      </c>
      <c r="F1416" s="30">
        <v>7.5</v>
      </c>
      <c r="G1416" s="30">
        <v>2.5</v>
      </c>
      <c r="H1416" s="30">
        <f t="shared" si="575"/>
        <v>11.25</v>
      </c>
      <c r="I1416" s="47" t="s">
        <v>132</v>
      </c>
      <c r="J1416" s="31"/>
      <c r="K1416" s="32">
        <v>1</v>
      </c>
      <c r="L1416" s="32">
        <v>1</v>
      </c>
      <c r="M1416" s="33"/>
      <c r="N1416" s="33"/>
      <c r="O1416" s="21"/>
      <c r="P1416" s="21"/>
    </row>
    <row r="1417" spans="1:17" s="52" customFormat="1" ht="39.950000000000003" customHeight="1">
      <c r="A1417" s="9">
        <v>55</v>
      </c>
      <c r="B1417" s="222">
        <v>6145</v>
      </c>
      <c r="C1417" s="50" t="s">
        <v>1909</v>
      </c>
      <c r="D1417" s="50" t="s">
        <v>1910</v>
      </c>
      <c r="E1417" s="51" t="s">
        <v>511</v>
      </c>
      <c r="F1417" s="30">
        <v>7.5</v>
      </c>
      <c r="G1417" s="30">
        <v>2.5</v>
      </c>
      <c r="H1417" s="30">
        <f t="shared" si="575"/>
        <v>11.25</v>
      </c>
      <c r="I1417" s="47" t="s">
        <v>132</v>
      </c>
      <c r="J1417" s="31"/>
      <c r="K1417" s="32">
        <v>1</v>
      </c>
      <c r="L1417" s="32">
        <v>1</v>
      </c>
      <c r="M1417" s="33"/>
      <c r="N1417" s="33"/>
      <c r="O1417" s="21"/>
      <c r="P1417" s="21"/>
      <c r="Q1417" s="21"/>
    </row>
    <row r="1418" spans="1:17" s="52" customFormat="1" ht="39.950000000000003" customHeight="1">
      <c r="A1418" s="9">
        <v>56</v>
      </c>
      <c r="B1418" s="222">
        <v>6068</v>
      </c>
      <c r="C1418" s="50" t="s">
        <v>1763</v>
      </c>
      <c r="D1418" s="50" t="s">
        <v>1762</v>
      </c>
      <c r="E1418" s="51" t="s">
        <v>511</v>
      </c>
      <c r="F1418" s="30">
        <v>7.5</v>
      </c>
      <c r="G1418" s="30">
        <v>2.5</v>
      </c>
      <c r="H1418" s="30">
        <f t="shared" si="575"/>
        <v>11.25</v>
      </c>
      <c r="I1418" s="47" t="s">
        <v>132</v>
      </c>
      <c r="J1418" s="31"/>
      <c r="K1418" s="32">
        <v>1</v>
      </c>
      <c r="L1418" s="32">
        <v>1</v>
      </c>
      <c r="M1418" s="33"/>
      <c r="N1418" s="33"/>
      <c r="O1418" s="21"/>
      <c r="P1418" s="21"/>
      <c r="Q1418" s="21"/>
    </row>
    <row r="1419" spans="1:17" s="52" customFormat="1" ht="39.950000000000003" customHeight="1">
      <c r="A1419" s="9">
        <v>57</v>
      </c>
      <c r="B1419" s="222">
        <v>6247</v>
      </c>
      <c r="C1419" s="50" t="s">
        <v>2184</v>
      </c>
      <c r="D1419" s="50" t="s">
        <v>2185</v>
      </c>
      <c r="E1419" s="51" t="s">
        <v>511</v>
      </c>
      <c r="F1419" s="30">
        <v>7.5</v>
      </c>
      <c r="G1419" s="30">
        <v>2.5</v>
      </c>
      <c r="H1419" s="30">
        <f t="shared" ref="H1419" si="602">IF(G1419&gt;0,(G1419*1.5)+F1419,"YOK")</f>
        <v>11.25</v>
      </c>
      <c r="I1419" s="47" t="s">
        <v>132</v>
      </c>
      <c r="J1419" s="31"/>
      <c r="K1419" s="32">
        <v>1</v>
      </c>
      <c r="L1419" s="32">
        <v>1</v>
      </c>
      <c r="M1419" s="33"/>
      <c r="N1419" s="33"/>
      <c r="O1419" s="21"/>
      <c r="P1419" s="21"/>
      <c r="Q1419" s="21"/>
    </row>
    <row r="1420" spans="1:17" ht="39.950000000000003" customHeight="1">
      <c r="A1420" s="40"/>
      <c r="B1420" s="262" t="s">
        <v>581</v>
      </c>
      <c r="C1420" s="263"/>
      <c r="D1420" s="264"/>
      <c r="E1420" s="46"/>
      <c r="F1420" s="41"/>
      <c r="G1420" s="41"/>
      <c r="H1420" s="41"/>
      <c r="I1420" s="42"/>
      <c r="J1420" s="43">
        <f>SUM(J1363:J1419)</f>
        <v>5</v>
      </c>
      <c r="K1420" s="43">
        <f>SUM(K1363:K1419)</f>
        <v>52</v>
      </c>
      <c r="L1420" s="43">
        <f>SUM(L1363:L1419)</f>
        <v>9</v>
      </c>
      <c r="M1420" s="43">
        <f>SUM(M1363:M1419)</f>
        <v>0</v>
      </c>
      <c r="N1420" s="33"/>
      <c r="O1420" s="21"/>
      <c r="P1420" s="21"/>
    </row>
    <row r="1421" spans="1:17" s="52" customFormat="1" ht="39.950000000000003" customHeight="1">
      <c r="A1421" s="9">
        <v>1</v>
      </c>
      <c r="B1421" s="207" t="s">
        <v>979</v>
      </c>
      <c r="C1421" s="50" t="s">
        <v>582</v>
      </c>
      <c r="D1421" s="50" t="s">
        <v>583</v>
      </c>
      <c r="E1421" s="51" t="s">
        <v>36</v>
      </c>
      <c r="F1421" s="30" t="s">
        <v>78</v>
      </c>
      <c r="G1421" s="30"/>
      <c r="H1421" s="30"/>
      <c r="I1421" s="22" t="s">
        <v>1102</v>
      </c>
      <c r="J1421" s="31"/>
      <c r="K1421" s="32">
        <v>1</v>
      </c>
      <c r="L1421" s="32"/>
      <c r="M1421" s="33"/>
      <c r="N1421" s="33"/>
      <c r="O1421" s="21"/>
      <c r="P1421" s="21"/>
    </row>
    <row r="1422" spans="1:17" s="52" customFormat="1" ht="39.950000000000003" customHeight="1">
      <c r="A1422" s="9">
        <v>2</v>
      </c>
      <c r="B1422" s="207">
        <v>2773</v>
      </c>
      <c r="C1422" s="50" t="s">
        <v>1855</v>
      </c>
      <c r="D1422" s="50" t="s">
        <v>1856</v>
      </c>
      <c r="E1422" s="51" t="s">
        <v>52</v>
      </c>
      <c r="F1422" s="30">
        <v>0</v>
      </c>
      <c r="G1422" s="30"/>
      <c r="H1422" s="30"/>
      <c r="I1422" s="22" t="s">
        <v>34</v>
      </c>
      <c r="J1422" s="31"/>
      <c r="K1422" s="32">
        <v>0</v>
      </c>
      <c r="L1422" s="32"/>
      <c r="M1422" s="33">
        <v>1</v>
      </c>
      <c r="N1422" s="33"/>
      <c r="O1422" s="21"/>
      <c r="P1422" s="21"/>
    </row>
    <row r="1423" spans="1:17" s="52" customFormat="1" ht="39.950000000000003" customHeight="1">
      <c r="A1423" s="9">
        <v>3</v>
      </c>
      <c r="B1423" s="207" t="s">
        <v>979</v>
      </c>
      <c r="C1423" s="50" t="s">
        <v>3215</v>
      </c>
      <c r="D1423" s="50" t="s">
        <v>3216</v>
      </c>
      <c r="E1423" s="51" t="s">
        <v>3217</v>
      </c>
      <c r="F1423" s="30" t="s">
        <v>78</v>
      </c>
      <c r="G1423" s="30"/>
      <c r="H1423" s="30"/>
      <c r="I1423" s="22" t="s">
        <v>1100</v>
      </c>
      <c r="J1423" s="31"/>
      <c r="K1423" s="32">
        <v>1</v>
      </c>
      <c r="L1423" s="32"/>
      <c r="M1423" s="33"/>
      <c r="N1423" s="33"/>
      <c r="O1423" s="21"/>
      <c r="P1423" s="21"/>
    </row>
    <row r="1424" spans="1:17" s="52" customFormat="1" ht="39.950000000000003" customHeight="1">
      <c r="A1424" s="9">
        <v>4</v>
      </c>
      <c r="B1424" s="207" t="s">
        <v>979</v>
      </c>
      <c r="C1424" s="50" t="s">
        <v>584</v>
      </c>
      <c r="D1424" s="50" t="s">
        <v>585</v>
      </c>
      <c r="E1424" s="51" t="s">
        <v>586</v>
      </c>
      <c r="F1424" s="30" t="s">
        <v>17</v>
      </c>
      <c r="G1424" s="30"/>
      <c r="H1424" s="30"/>
      <c r="I1424" s="22" t="s">
        <v>1102</v>
      </c>
      <c r="J1424" s="31"/>
      <c r="K1424" s="32">
        <v>1</v>
      </c>
      <c r="L1424" s="32"/>
      <c r="M1424" s="33"/>
      <c r="N1424" s="33"/>
      <c r="O1424" s="21"/>
      <c r="P1424" s="21"/>
      <c r="Q1424" s="21"/>
    </row>
    <row r="1425" spans="1:17" s="52" customFormat="1" ht="39.950000000000003" customHeight="1">
      <c r="A1425" s="9">
        <v>5</v>
      </c>
      <c r="B1425" s="207" t="s">
        <v>979</v>
      </c>
      <c r="C1425" s="50" t="s">
        <v>1334</v>
      </c>
      <c r="D1425" s="50" t="s">
        <v>1335</v>
      </c>
      <c r="E1425" s="51" t="s">
        <v>532</v>
      </c>
      <c r="F1425" s="30" t="s">
        <v>17</v>
      </c>
      <c r="G1425" s="30"/>
      <c r="H1425" s="30"/>
      <c r="I1425" s="22" t="s">
        <v>1102</v>
      </c>
      <c r="J1425" s="31"/>
      <c r="K1425" s="32">
        <v>1</v>
      </c>
      <c r="L1425" s="32"/>
      <c r="M1425" s="33"/>
      <c r="N1425" s="33"/>
      <c r="O1425" s="21"/>
      <c r="P1425" s="21"/>
    </row>
    <row r="1426" spans="1:17" s="52" customFormat="1" ht="39.950000000000003" customHeight="1">
      <c r="A1426" s="9">
        <v>6</v>
      </c>
      <c r="B1426" s="207" t="s">
        <v>979</v>
      </c>
      <c r="C1426" s="50" t="s">
        <v>1336</v>
      </c>
      <c r="D1426" s="50" t="s">
        <v>1918</v>
      </c>
      <c r="E1426" s="51" t="s">
        <v>532</v>
      </c>
      <c r="F1426" s="30" t="s">
        <v>17</v>
      </c>
      <c r="G1426" s="30"/>
      <c r="H1426" s="30"/>
      <c r="I1426" s="22" t="s">
        <v>1102</v>
      </c>
      <c r="J1426" s="31"/>
      <c r="K1426" s="32">
        <v>1</v>
      </c>
      <c r="L1426" s="32"/>
      <c r="M1426" s="33"/>
      <c r="N1426" s="33"/>
      <c r="O1426" s="21"/>
      <c r="P1426" s="21"/>
      <c r="Q1426" s="21"/>
    </row>
    <row r="1427" spans="1:17" s="52" customFormat="1" ht="39.950000000000003" customHeight="1">
      <c r="A1427" s="9">
        <v>7</v>
      </c>
      <c r="B1427" s="207" t="s">
        <v>979</v>
      </c>
      <c r="C1427" s="50" t="s">
        <v>1337</v>
      </c>
      <c r="D1427" s="50" t="s">
        <v>1919</v>
      </c>
      <c r="E1427" s="51" t="s">
        <v>532</v>
      </c>
      <c r="F1427" s="30" t="s">
        <v>17</v>
      </c>
      <c r="G1427" s="30"/>
      <c r="H1427" s="30"/>
      <c r="I1427" s="22" t="s">
        <v>1102</v>
      </c>
      <c r="J1427" s="31"/>
      <c r="K1427" s="32">
        <v>1</v>
      </c>
      <c r="L1427" s="32"/>
      <c r="M1427" s="33"/>
      <c r="N1427" s="33"/>
      <c r="O1427" s="21"/>
      <c r="P1427" s="21"/>
      <c r="Q1427" s="21"/>
    </row>
    <row r="1428" spans="1:17" s="52" customFormat="1" ht="39.950000000000003" customHeight="1">
      <c r="A1428" s="9">
        <v>8</v>
      </c>
      <c r="B1428" s="207">
        <v>2045</v>
      </c>
      <c r="C1428" s="50" t="s">
        <v>1915</v>
      </c>
      <c r="D1428" s="50" t="s">
        <v>1916</v>
      </c>
      <c r="E1428" s="51" t="s">
        <v>532</v>
      </c>
      <c r="F1428" s="30" t="s">
        <v>17</v>
      </c>
      <c r="G1428" s="30"/>
      <c r="H1428" s="30"/>
      <c r="I1428" s="49" t="s">
        <v>255</v>
      </c>
      <c r="J1428" s="31"/>
      <c r="K1428" s="32">
        <v>1</v>
      </c>
      <c r="L1428" s="32"/>
      <c r="M1428" s="33"/>
      <c r="N1428" s="33"/>
      <c r="O1428" s="21"/>
      <c r="P1428" s="21"/>
      <c r="Q1428" s="21"/>
    </row>
    <row r="1429" spans="1:17" s="52" customFormat="1" ht="39.950000000000003" customHeight="1">
      <c r="A1429" s="9">
        <v>9</v>
      </c>
      <c r="B1429" s="207">
        <v>2043</v>
      </c>
      <c r="C1429" s="50" t="s">
        <v>1917</v>
      </c>
      <c r="D1429" s="50" t="s">
        <v>2743</v>
      </c>
      <c r="E1429" s="51" t="s">
        <v>532</v>
      </c>
      <c r="F1429" s="30">
        <v>0</v>
      </c>
      <c r="G1429" s="30"/>
      <c r="H1429" s="30"/>
      <c r="I1429" s="22" t="s">
        <v>2756</v>
      </c>
      <c r="J1429" s="31"/>
      <c r="K1429" s="32">
        <v>0</v>
      </c>
      <c r="L1429" s="32"/>
      <c r="M1429" s="33">
        <v>1</v>
      </c>
      <c r="N1429" s="33"/>
      <c r="O1429" s="21"/>
      <c r="P1429" s="21"/>
      <c r="Q1429" s="21"/>
    </row>
    <row r="1430" spans="1:17" s="52" customFormat="1" ht="39.950000000000003" customHeight="1">
      <c r="A1430" s="9">
        <v>10</v>
      </c>
      <c r="B1430" s="207">
        <v>2042</v>
      </c>
      <c r="C1430" s="185" t="s">
        <v>2735</v>
      </c>
      <c r="D1430" s="50" t="s">
        <v>2736</v>
      </c>
      <c r="E1430" s="51" t="s">
        <v>532</v>
      </c>
      <c r="F1430" s="30" t="s">
        <v>17</v>
      </c>
      <c r="G1430" s="30"/>
      <c r="H1430" s="30"/>
      <c r="I1430" s="49" t="s">
        <v>255</v>
      </c>
      <c r="J1430" s="31"/>
      <c r="K1430" s="32">
        <v>1</v>
      </c>
      <c r="L1430" s="32"/>
      <c r="M1430" s="33"/>
      <c r="N1430" s="33"/>
      <c r="O1430" s="21"/>
      <c r="P1430" s="21"/>
      <c r="Q1430" s="21"/>
    </row>
    <row r="1431" spans="1:17" s="52" customFormat="1" ht="39.950000000000003" customHeight="1">
      <c r="A1431" s="9">
        <v>11</v>
      </c>
      <c r="B1431" s="207">
        <v>2044</v>
      </c>
      <c r="C1431" s="185" t="s">
        <v>2737</v>
      </c>
      <c r="D1431" s="50" t="s">
        <v>2738</v>
      </c>
      <c r="E1431" s="51" t="s">
        <v>532</v>
      </c>
      <c r="F1431" s="30">
        <v>0</v>
      </c>
      <c r="G1431" s="30"/>
      <c r="H1431" s="30"/>
      <c r="I1431" s="22" t="s">
        <v>2756</v>
      </c>
      <c r="J1431" s="31"/>
      <c r="K1431" s="32">
        <v>0</v>
      </c>
      <c r="L1431" s="32"/>
      <c r="M1431" s="33">
        <v>1</v>
      </c>
      <c r="N1431" s="33"/>
      <c r="O1431" s="21"/>
      <c r="P1431" s="21"/>
      <c r="Q1431" s="21"/>
    </row>
    <row r="1432" spans="1:17" s="52" customFormat="1" ht="39.950000000000003" customHeight="1">
      <c r="A1432" s="9">
        <v>12</v>
      </c>
      <c r="B1432" s="207">
        <v>2046</v>
      </c>
      <c r="C1432" s="185" t="s">
        <v>2739</v>
      </c>
      <c r="D1432" s="50" t="s">
        <v>2740</v>
      </c>
      <c r="E1432" s="51" t="s">
        <v>532</v>
      </c>
      <c r="F1432" s="30">
        <v>0</v>
      </c>
      <c r="G1432" s="30"/>
      <c r="H1432" s="30"/>
      <c r="I1432" s="22" t="s">
        <v>2756</v>
      </c>
      <c r="J1432" s="31"/>
      <c r="K1432" s="32">
        <v>0</v>
      </c>
      <c r="L1432" s="32"/>
      <c r="M1432" s="33">
        <v>1</v>
      </c>
      <c r="N1432" s="33"/>
      <c r="O1432" s="21"/>
      <c r="P1432" s="21"/>
      <c r="Q1432" s="21"/>
    </row>
    <row r="1433" spans="1:17" s="52" customFormat="1" ht="39.950000000000003" customHeight="1">
      <c r="A1433" s="9">
        <v>13</v>
      </c>
      <c r="B1433" s="207">
        <v>2048</v>
      </c>
      <c r="C1433" s="185" t="s">
        <v>2741</v>
      </c>
      <c r="D1433" s="50" t="s">
        <v>2742</v>
      </c>
      <c r="E1433" s="51" t="s">
        <v>532</v>
      </c>
      <c r="F1433" s="30" t="s">
        <v>17</v>
      </c>
      <c r="G1433" s="30"/>
      <c r="H1433" s="30"/>
      <c r="I1433" s="49" t="s">
        <v>255</v>
      </c>
      <c r="J1433" s="31"/>
      <c r="K1433" s="32">
        <v>1</v>
      </c>
      <c r="L1433" s="32"/>
      <c r="M1433" s="33"/>
      <c r="N1433" s="33"/>
      <c r="O1433" s="21"/>
      <c r="P1433" s="21"/>
      <c r="Q1433" s="21"/>
    </row>
    <row r="1434" spans="1:17" s="52" customFormat="1" ht="39.950000000000003" customHeight="1">
      <c r="A1434" s="9">
        <v>14</v>
      </c>
      <c r="B1434" s="207">
        <v>5831</v>
      </c>
      <c r="C1434" s="50" t="s">
        <v>1286</v>
      </c>
      <c r="D1434" s="50" t="s">
        <v>1287</v>
      </c>
      <c r="E1434" s="51" t="s">
        <v>532</v>
      </c>
      <c r="F1434" s="30" t="s">
        <v>17</v>
      </c>
      <c r="G1434" s="30"/>
      <c r="H1434" s="30"/>
      <c r="I1434" s="49" t="s">
        <v>255</v>
      </c>
      <c r="J1434" s="31"/>
      <c r="K1434" s="32">
        <v>1</v>
      </c>
      <c r="L1434" s="32"/>
      <c r="M1434" s="33"/>
      <c r="N1434" s="33"/>
      <c r="O1434" s="21"/>
      <c r="P1434" s="21"/>
    </row>
    <row r="1435" spans="1:17" s="52" customFormat="1" ht="39.950000000000003" customHeight="1">
      <c r="A1435" s="9">
        <v>15</v>
      </c>
      <c r="B1435" s="207">
        <v>5102</v>
      </c>
      <c r="C1435" s="50" t="s">
        <v>587</v>
      </c>
      <c r="D1435" s="50" t="s">
        <v>588</v>
      </c>
      <c r="E1435" s="51" t="s">
        <v>532</v>
      </c>
      <c r="F1435" s="30" t="s">
        <v>17</v>
      </c>
      <c r="G1435" s="30"/>
      <c r="H1435" s="30"/>
      <c r="I1435" s="49" t="s">
        <v>255</v>
      </c>
      <c r="J1435" s="31"/>
      <c r="K1435" s="32">
        <v>1</v>
      </c>
      <c r="L1435" s="32"/>
      <c r="M1435" s="33"/>
      <c r="N1435" s="33"/>
      <c r="O1435" s="21"/>
      <c r="P1435" s="21"/>
    </row>
    <row r="1436" spans="1:17" s="52" customFormat="1" ht="39.950000000000003" customHeight="1">
      <c r="A1436" s="9">
        <v>16</v>
      </c>
      <c r="B1436" s="207">
        <v>5690</v>
      </c>
      <c r="C1436" s="50" t="s">
        <v>1148</v>
      </c>
      <c r="D1436" s="50" t="s">
        <v>1149</v>
      </c>
      <c r="E1436" s="51" t="s">
        <v>532</v>
      </c>
      <c r="F1436" s="30" t="s">
        <v>17</v>
      </c>
      <c r="G1436" s="30"/>
      <c r="H1436" s="30"/>
      <c r="I1436" s="49" t="s">
        <v>255</v>
      </c>
      <c r="J1436" s="31"/>
      <c r="K1436" s="32">
        <v>1</v>
      </c>
      <c r="L1436" s="32"/>
      <c r="M1436" s="33"/>
      <c r="N1436" s="33"/>
      <c r="O1436" s="21"/>
      <c r="P1436" s="21"/>
    </row>
    <row r="1437" spans="1:17" s="52" customFormat="1" ht="39.950000000000003" customHeight="1">
      <c r="A1437" s="9">
        <v>17</v>
      </c>
      <c r="B1437" s="207">
        <v>5738</v>
      </c>
      <c r="C1437" s="50" t="s">
        <v>1198</v>
      </c>
      <c r="D1437" s="50" t="s">
        <v>1199</v>
      </c>
      <c r="E1437" s="51" t="s">
        <v>532</v>
      </c>
      <c r="F1437" s="30" t="s">
        <v>17</v>
      </c>
      <c r="G1437" s="30"/>
      <c r="H1437" s="30"/>
      <c r="I1437" s="49" t="s">
        <v>255</v>
      </c>
      <c r="J1437" s="31"/>
      <c r="K1437" s="32">
        <v>1</v>
      </c>
      <c r="L1437" s="32"/>
      <c r="M1437" s="33"/>
      <c r="N1437" s="33"/>
      <c r="O1437" s="21"/>
      <c r="P1437" s="21"/>
    </row>
    <row r="1438" spans="1:17" s="52" customFormat="1" ht="39.950000000000003" customHeight="1">
      <c r="A1438" s="9">
        <v>18</v>
      </c>
      <c r="B1438" s="207">
        <v>5858</v>
      </c>
      <c r="C1438" s="50" t="s">
        <v>1364</v>
      </c>
      <c r="D1438" s="50" t="s">
        <v>1365</v>
      </c>
      <c r="E1438" s="51" t="s">
        <v>532</v>
      </c>
      <c r="F1438" s="30" t="s">
        <v>17</v>
      </c>
      <c r="G1438" s="30"/>
      <c r="H1438" s="30"/>
      <c r="I1438" s="49" t="s">
        <v>255</v>
      </c>
      <c r="J1438" s="31"/>
      <c r="K1438" s="32">
        <v>1</v>
      </c>
      <c r="L1438" s="32"/>
      <c r="M1438" s="33"/>
      <c r="N1438" s="33"/>
      <c r="O1438" s="21"/>
      <c r="P1438" s="21"/>
    </row>
    <row r="1439" spans="1:17" s="52" customFormat="1" ht="39.950000000000003" customHeight="1">
      <c r="A1439" s="9">
        <v>19</v>
      </c>
      <c r="B1439" s="222">
        <v>6146</v>
      </c>
      <c r="C1439" s="50" t="s">
        <v>1912</v>
      </c>
      <c r="D1439" s="50" t="s">
        <v>1911</v>
      </c>
      <c r="E1439" s="51" t="s">
        <v>532</v>
      </c>
      <c r="F1439" s="30" t="s">
        <v>17</v>
      </c>
      <c r="G1439" s="30"/>
      <c r="H1439" s="30"/>
      <c r="I1439" s="47" t="s">
        <v>132</v>
      </c>
      <c r="J1439" s="31"/>
      <c r="K1439" s="32">
        <v>1</v>
      </c>
      <c r="L1439" s="32">
        <v>1</v>
      </c>
      <c r="M1439" s="33"/>
      <c r="N1439" s="33"/>
      <c r="O1439"/>
      <c r="P1439" s="21"/>
    </row>
    <row r="1440" spans="1:17" s="52" customFormat="1" ht="39.950000000000003" customHeight="1">
      <c r="A1440" s="9">
        <v>20</v>
      </c>
      <c r="B1440" s="222">
        <v>6268</v>
      </c>
      <c r="C1440" s="50" t="s">
        <v>2214</v>
      </c>
      <c r="D1440" s="50" t="s">
        <v>2215</v>
      </c>
      <c r="E1440" s="51" t="s">
        <v>532</v>
      </c>
      <c r="F1440" s="30" t="s">
        <v>17</v>
      </c>
      <c r="G1440" s="30"/>
      <c r="H1440" s="30"/>
      <c r="I1440" s="49" t="s">
        <v>255</v>
      </c>
      <c r="J1440" s="31"/>
      <c r="K1440" s="32">
        <v>1</v>
      </c>
      <c r="L1440" s="32"/>
      <c r="M1440" s="33"/>
      <c r="N1440" s="33"/>
      <c r="O1440"/>
      <c r="P1440" s="21"/>
    </row>
    <row r="1441" spans="1:16" s="52" customFormat="1" ht="39.950000000000003" customHeight="1">
      <c r="A1441" s="9">
        <v>21</v>
      </c>
      <c r="B1441" s="222">
        <v>6821</v>
      </c>
      <c r="C1441" s="185" t="s">
        <v>3633</v>
      </c>
      <c r="D1441" s="50" t="s">
        <v>3634</v>
      </c>
      <c r="E1441" s="51" t="s">
        <v>532</v>
      </c>
      <c r="F1441" s="30" t="s">
        <v>17</v>
      </c>
      <c r="G1441" s="30"/>
      <c r="H1441" s="30"/>
      <c r="I1441" s="49" t="s">
        <v>255</v>
      </c>
      <c r="J1441" s="31"/>
      <c r="K1441" s="32">
        <v>1</v>
      </c>
      <c r="L1441" s="32"/>
      <c r="M1441" s="33"/>
      <c r="N1441" s="33"/>
      <c r="O1441"/>
      <c r="P1441" s="21"/>
    </row>
    <row r="1442" spans="1:16" s="52" customFormat="1" ht="39.950000000000003" customHeight="1">
      <c r="A1442" s="9">
        <v>22</v>
      </c>
      <c r="B1442" s="222">
        <v>6093</v>
      </c>
      <c r="C1442" s="50" t="s">
        <v>1804</v>
      </c>
      <c r="D1442" s="50" t="s">
        <v>1805</v>
      </c>
      <c r="E1442" s="51" t="s">
        <v>1806</v>
      </c>
      <c r="F1442" s="30">
        <v>0</v>
      </c>
      <c r="G1442" s="30"/>
      <c r="H1442" s="30"/>
      <c r="I1442" s="22" t="s">
        <v>34</v>
      </c>
      <c r="J1442" s="31"/>
      <c r="K1442" s="32">
        <v>0</v>
      </c>
      <c r="L1442" s="32"/>
      <c r="M1442" s="33">
        <v>1</v>
      </c>
      <c r="N1442" s="33"/>
      <c r="O1442" s="21"/>
      <c r="P1442" s="21"/>
    </row>
    <row r="1443" spans="1:16" s="52" customFormat="1" ht="39.950000000000003" customHeight="1">
      <c r="A1443" s="9">
        <v>23</v>
      </c>
      <c r="B1443" s="222">
        <v>6618</v>
      </c>
      <c r="C1443" s="185" t="s">
        <v>2890</v>
      </c>
      <c r="D1443" s="50" t="s">
        <v>2891</v>
      </c>
      <c r="E1443" s="51" t="s">
        <v>1806</v>
      </c>
      <c r="F1443" s="30" t="s">
        <v>17</v>
      </c>
      <c r="G1443" s="30"/>
      <c r="H1443" s="30"/>
      <c r="I1443" s="47" t="s">
        <v>132</v>
      </c>
      <c r="J1443" s="31"/>
      <c r="K1443" s="32">
        <v>1</v>
      </c>
      <c r="L1443" s="32">
        <v>1</v>
      </c>
      <c r="M1443" s="33"/>
      <c r="N1443" s="33"/>
      <c r="O1443" s="21"/>
      <c r="P1443" s="21"/>
    </row>
    <row r="1444" spans="1:16" s="52" customFormat="1" ht="39.950000000000003" customHeight="1">
      <c r="A1444" s="9">
        <v>24</v>
      </c>
      <c r="B1444" s="222">
        <v>6619</v>
      </c>
      <c r="C1444" s="185" t="s">
        <v>2892</v>
      </c>
      <c r="D1444" s="50" t="s">
        <v>2893</v>
      </c>
      <c r="E1444" s="51" t="s">
        <v>1806</v>
      </c>
      <c r="F1444" s="30" t="s">
        <v>17</v>
      </c>
      <c r="G1444" s="30"/>
      <c r="H1444" s="30"/>
      <c r="I1444" s="47" t="s">
        <v>132</v>
      </c>
      <c r="J1444" s="31"/>
      <c r="K1444" s="32">
        <v>1</v>
      </c>
      <c r="L1444" s="32">
        <v>1</v>
      </c>
      <c r="M1444" s="33"/>
      <c r="N1444" s="33"/>
      <c r="O1444" s="21"/>
      <c r="P1444" s="21"/>
    </row>
    <row r="1445" spans="1:16" s="52" customFormat="1" ht="39.950000000000003" customHeight="1">
      <c r="A1445" s="9">
        <v>25</v>
      </c>
      <c r="B1445" s="222">
        <v>6751</v>
      </c>
      <c r="C1445" s="185" t="s">
        <v>3309</v>
      </c>
      <c r="D1445" s="50" t="s">
        <v>3310</v>
      </c>
      <c r="E1445" s="51" t="s">
        <v>1806</v>
      </c>
      <c r="F1445" s="30" t="s">
        <v>17</v>
      </c>
      <c r="G1445" s="30"/>
      <c r="H1445" s="30"/>
      <c r="I1445" s="47" t="s">
        <v>132</v>
      </c>
      <c r="J1445" s="31"/>
      <c r="K1445" s="32">
        <v>1</v>
      </c>
      <c r="L1445" s="32">
        <v>1</v>
      </c>
      <c r="M1445" s="33"/>
      <c r="N1445" s="33"/>
      <c r="O1445" s="21"/>
      <c r="P1445" s="21"/>
    </row>
    <row r="1446" spans="1:16" s="52" customFormat="1" ht="39.950000000000003" customHeight="1">
      <c r="A1446" s="9">
        <v>26</v>
      </c>
      <c r="B1446" s="222">
        <v>6799</v>
      </c>
      <c r="C1446" s="185" t="s">
        <v>3414</v>
      </c>
      <c r="D1446" s="50" t="s">
        <v>3415</v>
      </c>
      <c r="E1446" s="51" t="s">
        <v>1806</v>
      </c>
      <c r="F1446" s="30" t="s">
        <v>17</v>
      </c>
      <c r="G1446" s="30"/>
      <c r="H1446" s="30"/>
      <c r="I1446" s="47" t="s">
        <v>132</v>
      </c>
      <c r="J1446" s="31"/>
      <c r="K1446" s="32">
        <v>1</v>
      </c>
      <c r="L1446" s="32">
        <v>1</v>
      </c>
      <c r="M1446" s="33"/>
      <c r="N1446" s="33"/>
      <c r="O1446" s="21"/>
      <c r="P1446" s="21"/>
    </row>
    <row r="1447" spans="1:16" s="52" customFormat="1" ht="39.950000000000003" customHeight="1">
      <c r="A1447" s="9">
        <v>27</v>
      </c>
      <c r="B1447" s="207">
        <v>5814</v>
      </c>
      <c r="C1447" s="185" t="s">
        <v>1296</v>
      </c>
      <c r="D1447" s="50" t="s">
        <v>1297</v>
      </c>
      <c r="E1447" s="51" t="s">
        <v>511</v>
      </c>
      <c r="F1447" s="30">
        <v>7.5</v>
      </c>
      <c r="G1447" s="30">
        <v>2.5</v>
      </c>
      <c r="H1447" s="30">
        <f>IF(G1447&gt;0,(G1447*1.5)+F1447,"YOK")</f>
        <v>11.25</v>
      </c>
      <c r="I1447" s="48" t="s">
        <v>593</v>
      </c>
      <c r="J1447" s="31"/>
      <c r="K1447" s="32">
        <v>1</v>
      </c>
      <c r="L1447" s="32"/>
      <c r="M1447" s="33"/>
      <c r="N1447"/>
      <c r="O1447" s="21"/>
      <c r="P1447" s="21"/>
    </row>
    <row r="1448" spans="1:16" s="52" customFormat="1" ht="39.950000000000003" customHeight="1">
      <c r="A1448" s="9">
        <v>28</v>
      </c>
      <c r="B1448" s="207">
        <v>5815</v>
      </c>
      <c r="C1448" s="185" t="s">
        <v>1008</v>
      </c>
      <c r="D1448" s="50" t="s">
        <v>1298</v>
      </c>
      <c r="E1448" s="51" t="s">
        <v>511</v>
      </c>
      <c r="F1448" s="30">
        <v>7.5</v>
      </c>
      <c r="G1448" s="30">
        <v>2.5</v>
      </c>
      <c r="H1448" s="30">
        <v>11.25</v>
      </c>
      <c r="I1448" s="48" t="s">
        <v>593</v>
      </c>
      <c r="J1448" s="31"/>
      <c r="K1448" s="32">
        <v>1</v>
      </c>
      <c r="L1448" s="32"/>
      <c r="M1448" s="33"/>
      <c r="N1448"/>
      <c r="O1448" s="21"/>
      <c r="P1448" s="21"/>
    </row>
    <row r="1449" spans="1:16" s="52" customFormat="1" ht="39.950000000000003" customHeight="1">
      <c r="A1449" s="9">
        <v>29</v>
      </c>
      <c r="B1449" s="207" t="s">
        <v>979</v>
      </c>
      <c r="C1449" s="185" t="s">
        <v>1920</v>
      </c>
      <c r="D1449" s="50" t="s">
        <v>1921</v>
      </c>
      <c r="E1449" s="51" t="s">
        <v>511</v>
      </c>
      <c r="F1449" s="30">
        <v>7.5</v>
      </c>
      <c r="G1449" s="30">
        <v>2.5</v>
      </c>
      <c r="H1449" s="30">
        <f t="shared" ref="H1449:H1530" si="603">IF(G1449&gt;0,(G1449*1.5)+F1449,"YOK")</f>
        <v>11.25</v>
      </c>
      <c r="I1449" s="22" t="s">
        <v>1101</v>
      </c>
      <c r="J1449" s="31"/>
      <c r="K1449" s="32">
        <v>1</v>
      </c>
      <c r="L1449" s="32"/>
      <c r="M1449" s="33"/>
      <c r="N1449" s="33"/>
      <c r="O1449" s="21"/>
      <c r="P1449" s="21"/>
    </row>
    <row r="1450" spans="1:16" s="52" customFormat="1" ht="39.950000000000003" customHeight="1">
      <c r="A1450" s="9">
        <v>30</v>
      </c>
      <c r="B1450" s="207" t="s">
        <v>979</v>
      </c>
      <c r="C1450" s="185" t="s">
        <v>1922</v>
      </c>
      <c r="D1450" s="50" t="s">
        <v>1923</v>
      </c>
      <c r="E1450" s="51" t="s">
        <v>511</v>
      </c>
      <c r="F1450" s="30">
        <v>7.5</v>
      </c>
      <c r="G1450" s="30">
        <v>2.5</v>
      </c>
      <c r="H1450" s="30">
        <f t="shared" ref="H1450" si="604">IF(G1450&gt;0,(G1450*1.5)+F1450,"YOK")</f>
        <v>11.25</v>
      </c>
      <c r="I1450" s="22" t="s">
        <v>1101</v>
      </c>
      <c r="J1450" s="31"/>
      <c r="K1450" s="32">
        <v>1</v>
      </c>
      <c r="L1450" s="32"/>
      <c r="M1450" s="33"/>
      <c r="N1450" s="33"/>
      <c r="O1450" s="21"/>
      <c r="P1450" s="21"/>
    </row>
    <row r="1451" spans="1:16" s="52" customFormat="1" ht="39.950000000000003" customHeight="1">
      <c r="A1451" s="9">
        <v>31</v>
      </c>
      <c r="B1451" s="207" t="s">
        <v>979</v>
      </c>
      <c r="C1451" s="185" t="s">
        <v>1924</v>
      </c>
      <c r="D1451" s="50" t="s">
        <v>1925</v>
      </c>
      <c r="E1451" s="51" t="s">
        <v>511</v>
      </c>
      <c r="F1451" s="30">
        <v>0</v>
      </c>
      <c r="G1451" s="30">
        <v>0</v>
      </c>
      <c r="H1451" s="30" t="str">
        <f t="shared" ref="H1451" si="605">IF(G1451&gt;0,(G1451*1.5)+F1451,"YOK")</f>
        <v>YOK</v>
      </c>
      <c r="I1451" s="224" t="s">
        <v>3674</v>
      </c>
      <c r="J1451" s="31">
        <v>1</v>
      </c>
      <c r="K1451" s="32">
        <v>0</v>
      </c>
      <c r="L1451" s="32"/>
      <c r="M1451" s="33"/>
      <c r="N1451" s="33"/>
      <c r="O1451" s="21"/>
      <c r="P1451" s="21"/>
    </row>
    <row r="1452" spans="1:16" s="52" customFormat="1" ht="39.950000000000003" customHeight="1">
      <c r="A1452" s="9">
        <v>32</v>
      </c>
      <c r="B1452" s="207" t="s">
        <v>979</v>
      </c>
      <c r="C1452" s="185" t="s">
        <v>1926</v>
      </c>
      <c r="D1452" s="50" t="s">
        <v>1927</v>
      </c>
      <c r="E1452" s="51" t="s">
        <v>511</v>
      </c>
      <c r="F1452" s="30">
        <v>7.5</v>
      </c>
      <c r="G1452" s="30">
        <v>2.5</v>
      </c>
      <c r="H1452" s="30">
        <f t="shared" si="603"/>
        <v>11.25</v>
      </c>
      <c r="I1452" s="22" t="s">
        <v>1101</v>
      </c>
      <c r="J1452" s="31"/>
      <c r="K1452" s="32">
        <v>1</v>
      </c>
      <c r="L1452" s="32"/>
      <c r="M1452" s="33"/>
      <c r="N1452" s="33"/>
      <c r="O1452" s="21"/>
      <c r="P1452" s="21"/>
    </row>
    <row r="1453" spans="1:16" s="52" customFormat="1" ht="39.950000000000003" customHeight="1">
      <c r="A1453" s="9">
        <v>33</v>
      </c>
      <c r="B1453" s="207" t="s">
        <v>979</v>
      </c>
      <c r="C1453" s="185" t="s">
        <v>1928</v>
      </c>
      <c r="D1453" s="50" t="s">
        <v>1929</v>
      </c>
      <c r="E1453" s="51" t="s">
        <v>511</v>
      </c>
      <c r="F1453" s="30">
        <v>7.5</v>
      </c>
      <c r="G1453" s="30">
        <v>2.5</v>
      </c>
      <c r="H1453" s="30">
        <f t="shared" si="603"/>
        <v>11.25</v>
      </c>
      <c r="I1453" s="22" t="s">
        <v>1101</v>
      </c>
      <c r="J1453" s="31"/>
      <c r="K1453" s="32">
        <v>1</v>
      </c>
      <c r="L1453" s="32"/>
      <c r="M1453" s="33"/>
      <c r="N1453" s="33"/>
      <c r="O1453"/>
      <c r="P1453" s="21"/>
    </row>
    <row r="1454" spans="1:16" s="52" customFormat="1" ht="39.950000000000003" customHeight="1">
      <c r="A1454" s="9">
        <v>34</v>
      </c>
      <c r="B1454" s="207" t="s">
        <v>979</v>
      </c>
      <c r="C1454" s="185" t="s">
        <v>1930</v>
      </c>
      <c r="D1454" s="50" t="s">
        <v>1931</v>
      </c>
      <c r="E1454" s="51" t="s">
        <v>511</v>
      </c>
      <c r="F1454" s="30">
        <v>7.5</v>
      </c>
      <c r="G1454" s="30">
        <v>2.5</v>
      </c>
      <c r="H1454" s="30">
        <f t="shared" si="603"/>
        <v>11.25</v>
      </c>
      <c r="I1454" s="22" t="s">
        <v>1101</v>
      </c>
      <c r="J1454" s="31"/>
      <c r="K1454" s="32">
        <v>1</v>
      </c>
      <c r="L1454" s="32"/>
      <c r="M1454" s="33"/>
      <c r="N1454" s="33"/>
      <c r="O1454" s="21"/>
      <c r="P1454" s="21"/>
    </row>
    <row r="1455" spans="1:16" s="52" customFormat="1" ht="39.950000000000003" customHeight="1">
      <c r="A1455" s="9">
        <v>35</v>
      </c>
      <c r="B1455" s="207" t="s">
        <v>979</v>
      </c>
      <c r="C1455" s="185" t="s">
        <v>1932</v>
      </c>
      <c r="D1455" s="50" t="s">
        <v>1933</v>
      </c>
      <c r="E1455" s="51" t="s">
        <v>511</v>
      </c>
      <c r="F1455" s="30">
        <v>7.5</v>
      </c>
      <c r="G1455" s="30">
        <v>2.5</v>
      </c>
      <c r="H1455" s="30">
        <f t="shared" ref="H1455:H1464" si="606">IF(G1455&gt;0,(G1455*1.5)+F1455,"YOK")</f>
        <v>11.25</v>
      </c>
      <c r="I1455" s="22" t="s">
        <v>1101</v>
      </c>
      <c r="J1455" s="31"/>
      <c r="K1455" s="32">
        <v>1</v>
      </c>
      <c r="L1455" s="32"/>
      <c r="M1455" s="33"/>
      <c r="N1455" s="33"/>
      <c r="O1455" s="21"/>
      <c r="P1455" s="21"/>
    </row>
    <row r="1456" spans="1:16" s="52" customFormat="1" ht="39.950000000000003" customHeight="1">
      <c r="A1456" s="9">
        <v>36</v>
      </c>
      <c r="B1456" s="207" t="s">
        <v>979</v>
      </c>
      <c r="C1456" s="185" t="s">
        <v>1934</v>
      </c>
      <c r="D1456" s="50" t="s">
        <v>1935</v>
      </c>
      <c r="E1456" s="51" t="s">
        <v>511</v>
      </c>
      <c r="F1456" s="30">
        <v>7.5</v>
      </c>
      <c r="G1456" s="30">
        <v>2.5</v>
      </c>
      <c r="H1456" s="30">
        <f t="shared" si="606"/>
        <v>11.25</v>
      </c>
      <c r="I1456" s="22" t="s">
        <v>1101</v>
      </c>
      <c r="J1456" s="31"/>
      <c r="K1456" s="32">
        <v>1</v>
      </c>
      <c r="L1456" s="32"/>
      <c r="M1456" s="33"/>
      <c r="N1456" s="33"/>
      <c r="O1456" s="21"/>
      <c r="P1456" s="21"/>
    </row>
    <row r="1457" spans="1:17" s="52" customFormat="1" ht="39.950000000000003" customHeight="1">
      <c r="A1457" s="9">
        <v>37</v>
      </c>
      <c r="B1457" s="207" t="s">
        <v>979</v>
      </c>
      <c r="C1457" s="185" t="s">
        <v>1936</v>
      </c>
      <c r="D1457" s="50" t="s">
        <v>1937</v>
      </c>
      <c r="E1457" s="51" t="s">
        <v>511</v>
      </c>
      <c r="F1457" s="30">
        <v>7.5</v>
      </c>
      <c r="G1457" s="30">
        <v>2.5</v>
      </c>
      <c r="H1457" s="30">
        <f t="shared" si="606"/>
        <v>11.25</v>
      </c>
      <c r="I1457" s="22" t="s">
        <v>1101</v>
      </c>
      <c r="J1457" s="31"/>
      <c r="K1457" s="32">
        <v>1</v>
      </c>
      <c r="L1457" s="32"/>
      <c r="M1457" s="33"/>
      <c r="N1457" s="33"/>
      <c r="O1457" s="21"/>
      <c r="P1457" s="21"/>
    </row>
    <row r="1458" spans="1:17" s="52" customFormat="1" ht="39.950000000000003" customHeight="1">
      <c r="A1458" s="9">
        <v>38</v>
      </c>
      <c r="B1458" s="207" t="s">
        <v>979</v>
      </c>
      <c r="C1458" s="185" t="s">
        <v>1938</v>
      </c>
      <c r="D1458" s="50" t="s">
        <v>1939</v>
      </c>
      <c r="E1458" s="51" t="s">
        <v>511</v>
      </c>
      <c r="F1458" s="30">
        <v>7.5</v>
      </c>
      <c r="G1458" s="30">
        <v>2.5</v>
      </c>
      <c r="H1458" s="30">
        <f t="shared" si="606"/>
        <v>11.25</v>
      </c>
      <c r="I1458" s="22" t="s">
        <v>1101</v>
      </c>
      <c r="J1458" s="31"/>
      <c r="K1458" s="32">
        <v>1</v>
      </c>
      <c r="L1458" s="32"/>
      <c r="M1458" s="33"/>
      <c r="N1458" s="33"/>
      <c r="O1458" s="21"/>
      <c r="P1458" s="21"/>
    </row>
    <row r="1459" spans="1:17" s="52" customFormat="1" ht="39.950000000000003" customHeight="1">
      <c r="A1459" s="9">
        <v>39</v>
      </c>
      <c r="B1459" s="207" t="s">
        <v>979</v>
      </c>
      <c r="C1459" s="185" t="s">
        <v>1940</v>
      </c>
      <c r="D1459" s="50" t="s">
        <v>601</v>
      </c>
      <c r="E1459" s="51" t="s">
        <v>511</v>
      </c>
      <c r="F1459" s="30">
        <v>7.5</v>
      </c>
      <c r="G1459" s="30">
        <v>2.5</v>
      </c>
      <c r="H1459" s="30">
        <f t="shared" si="606"/>
        <v>11.25</v>
      </c>
      <c r="I1459" s="22" t="s">
        <v>1101</v>
      </c>
      <c r="J1459" s="31"/>
      <c r="K1459" s="32">
        <v>1</v>
      </c>
      <c r="L1459" s="32"/>
      <c r="M1459" s="33"/>
      <c r="N1459" s="33"/>
      <c r="O1459" s="21"/>
      <c r="P1459" s="21"/>
    </row>
    <row r="1460" spans="1:17" s="52" customFormat="1" ht="39.950000000000003" customHeight="1">
      <c r="A1460" s="9">
        <v>40</v>
      </c>
      <c r="B1460" s="207" t="s">
        <v>979</v>
      </c>
      <c r="C1460" s="185" t="s">
        <v>602</v>
      </c>
      <c r="D1460" s="50" t="s">
        <v>1941</v>
      </c>
      <c r="E1460" s="51" t="s">
        <v>511</v>
      </c>
      <c r="F1460" s="30">
        <v>7.5</v>
      </c>
      <c r="G1460" s="30">
        <v>2.5</v>
      </c>
      <c r="H1460" s="30">
        <f t="shared" si="606"/>
        <v>11.25</v>
      </c>
      <c r="I1460" s="22" t="s">
        <v>1101</v>
      </c>
      <c r="J1460" s="31"/>
      <c r="K1460" s="32">
        <v>1</v>
      </c>
      <c r="L1460" s="32"/>
      <c r="M1460" s="33"/>
      <c r="N1460" s="33"/>
      <c r="O1460" s="21"/>
      <c r="P1460" s="21"/>
      <c r="Q1460" s="21"/>
    </row>
    <row r="1461" spans="1:17" s="52" customFormat="1" ht="39.950000000000003" customHeight="1">
      <c r="A1461" s="9">
        <v>41</v>
      </c>
      <c r="B1461" s="207" t="s">
        <v>979</v>
      </c>
      <c r="C1461" s="185" t="s">
        <v>1942</v>
      </c>
      <c r="D1461" s="50" t="s">
        <v>1943</v>
      </c>
      <c r="E1461" s="51" t="s">
        <v>511</v>
      </c>
      <c r="F1461" s="30">
        <v>7.5</v>
      </c>
      <c r="G1461" s="30">
        <v>2.5</v>
      </c>
      <c r="H1461" s="30">
        <f t="shared" si="606"/>
        <v>11.25</v>
      </c>
      <c r="I1461" s="22" t="s">
        <v>1101</v>
      </c>
      <c r="J1461" s="31"/>
      <c r="K1461" s="32">
        <v>1</v>
      </c>
      <c r="L1461" s="32"/>
      <c r="M1461" s="33"/>
      <c r="N1461" s="33"/>
      <c r="O1461" s="21"/>
      <c r="P1461" s="21"/>
    </row>
    <row r="1462" spans="1:17" s="52" customFormat="1" ht="39.950000000000003" customHeight="1">
      <c r="A1462" s="9">
        <v>42</v>
      </c>
      <c r="B1462" s="207" t="s">
        <v>979</v>
      </c>
      <c r="C1462" s="185" t="s">
        <v>1944</v>
      </c>
      <c r="D1462" s="50" t="s">
        <v>603</v>
      </c>
      <c r="E1462" s="51" t="s">
        <v>511</v>
      </c>
      <c r="F1462" s="30">
        <v>7.5</v>
      </c>
      <c r="G1462" s="30">
        <v>2.5</v>
      </c>
      <c r="H1462" s="30">
        <f t="shared" si="606"/>
        <v>11.25</v>
      </c>
      <c r="I1462" s="22" t="s">
        <v>1101</v>
      </c>
      <c r="J1462" s="31"/>
      <c r="K1462" s="32">
        <v>1</v>
      </c>
      <c r="L1462" s="32"/>
      <c r="M1462" s="33"/>
      <c r="N1462" s="33"/>
      <c r="O1462" s="21"/>
      <c r="P1462" s="21"/>
    </row>
    <row r="1463" spans="1:17" s="52" customFormat="1" ht="39.950000000000003" customHeight="1">
      <c r="A1463" s="9">
        <v>43</v>
      </c>
      <c r="B1463" s="207" t="s">
        <v>979</v>
      </c>
      <c r="C1463" s="185" t="s">
        <v>1945</v>
      </c>
      <c r="D1463" s="50" t="s">
        <v>1946</v>
      </c>
      <c r="E1463" s="51" t="s">
        <v>511</v>
      </c>
      <c r="F1463" s="30">
        <v>7.5</v>
      </c>
      <c r="G1463" s="30">
        <v>2.5</v>
      </c>
      <c r="H1463" s="30">
        <f t="shared" si="606"/>
        <v>11.25</v>
      </c>
      <c r="I1463" s="22" t="s">
        <v>1101</v>
      </c>
      <c r="J1463" s="31"/>
      <c r="K1463" s="32">
        <v>1</v>
      </c>
      <c r="L1463" s="32"/>
      <c r="M1463" s="33"/>
      <c r="N1463" s="33"/>
      <c r="O1463" s="21"/>
      <c r="P1463" s="21"/>
    </row>
    <row r="1464" spans="1:17" s="52" customFormat="1" ht="39.950000000000003" customHeight="1">
      <c r="A1464" s="9">
        <v>44</v>
      </c>
      <c r="B1464" s="207" t="s">
        <v>979</v>
      </c>
      <c r="C1464" s="185" t="s">
        <v>1947</v>
      </c>
      <c r="D1464" s="50" t="s">
        <v>1948</v>
      </c>
      <c r="E1464" s="51" t="s">
        <v>511</v>
      </c>
      <c r="F1464" s="30">
        <v>7.5</v>
      </c>
      <c r="G1464" s="30">
        <v>2.5</v>
      </c>
      <c r="H1464" s="30">
        <f t="shared" si="606"/>
        <v>11.25</v>
      </c>
      <c r="I1464" s="22" t="s">
        <v>1101</v>
      </c>
      <c r="J1464" s="31"/>
      <c r="K1464" s="32">
        <v>1</v>
      </c>
      <c r="L1464" s="32"/>
      <c r="M1464" s="33"/>
      <c r="N1464" s="33"/>
      <c r="O1464" s="21"/>
      <c r="P1464" s="21"/>
    </row>
    <row r="1465" spans="1:17" s="52" customFormat="1" ht="39.950000000000003" customHeight="1">
      <c r="A1465" s="9">
        <v>45</v>
      </c>
      <c r="B1465" s="207" t="s">
        <v>979</v>
      </c>
      <c r="C1465" s="185" t="s">
        <v>1949</v>
      </c>
      <c r="D1465" s="50" t="s">
        <v>1950</v>
      </c>
      <c r="E1465" s="51" t="s">
        <v>511</v>
      </c>
      <c r="F1465" s="30">
        <v>7.5</v>
      </c>
      <c r="G1465" s="30">
        <v>2.5</v>
      </c>
      <c r="H1465" s="30">
        <f t="shared" ref="H1465" si="607">IF(G1465&gt;0,(G1465*1.5)+F1465,"YOK")</f>
        <v>11.25</v>
      </c>
      <c r="I1465" s="22" t="s">
        <v>1101</v>
      </c>
      <c r="J1465" s="31"/>
      <c r="K1465" s="32">
        <v>1</v>
      </c>
      <c r="L1465" s="32"/>
      <c r="M1465" s="33"/>
      <c r="N1465" s="33"/>
      <c r="O1465" s="21"/>
      <c r="P1465" s="21"/>
    </row>
    <row r="1466" spans="1:17" s="52" customFormat="1" ht="39.950000000000003" customHeight="1">
      <c r="A1466" s="9">
        <v>46</v>
      </c>
      <c r="B1466" s="207" t="s">
        <v>979</v>
      </c>
      <c r="C1466" s="185" t="s">
        <v>1951</v>
      </c>
      <c r="D1466" s="50" t="s">
        <v>1952</v>
      </c>
      <c r="E1466" s="51" t="s">
        <v>511</v>
      </c>
      <c r="F1466" s="30">
        <v>7.5</v>
      </c>
      <c r="G1466" s="30">
        <v>2.5</v>
      </c>
      <c r="H1466" s="30">
        <f t="shared" si="603"/>
        <v>11.25</v>
      </c>
      <c r="I1466" s="22" t="s">
        <v>1101</v>
      </c>
      <c r="J1466" s="31"/>
      <c r="K1466" s="32">
        <v>1</v>
      </c>
      <c r="L1466" s="32"/>
      <c r="M1466" s="33"/>
      <c r="N1466" s="33"/>
      <c r="O1466" s="21"/>
      <c r="P1466" s="21"/>
    </row>
    <row r="1467" spans="1:17" s="52" customFormat="1" ht="39.950000000000003" customHeight="1">
      <c r="A1467" s="9">
        <v>47</v>
      </c>
      <c r="B1467" s="207" t="s">
        <v>979</v>
      </c>
      <c r="C1467" s="185" t="s">
        <v>1953</v>
      </c>
      <c r="D1467" s="50" t="s">
        <v>1954</v>
      </c>
      <c r="E1467" s="51" t="s">
        <v>511</v>
      </c>
      <c r="F1467" s="30">
        <v>7.5</v>
      </c>
      <c r="G1467" s="30">
        <v>2.5</v>
      </c>
      <c r="H1467" s="30">
        <f t="shared" ref="H1467" si="608">IF(G1467&gt;0,(G1467*1.5)+F1467,"YOK")</f>
        <v>11.25</v>
      </c>
      <c r="I1467" s="22" t="s">
        <v>1101</v>
      </c>
      <c r="J1467" s="31"/>
      <c r="K1467" s="32">
        <v>1</v>
      </c>
      <c r="L1467" s="32"/>
      <c r="M1467" s="33"/>
      <c r="N1467" s="33"/>
      <c r="O1467" s="21"/>
      <c r="P1467" s="21"/>
    </row>
    <row r="1468" spans="1:17" s="52" customFormat="1" ht="39.950000000000003" customHeight="1">
      <c r="A1468" s="9">
        <v>48</v>
      </c>
      <c r="B1468" s="207" t="s">
        <v>979</v>
      </c>
      <c r="C1468" s="185" t="s">
        <v>1955</v>
      </c>
      <c r="D1468" s="50" t="s">
        <v>1956</v>
      </c>
      <c r="E1468" s="51" t="s">
        <v>511</v>
      </c>
      <c r="F1468" s="30">
        <v>7.5</v>
      </c>
      <c r="G1468" s="30">
        <v>2.5</v>
      </c>
      <c r="H1468" s="30">
        <f t="shared" ref="H1468" si="609">IF(G1468&gt;0,(G1468*1.5)+F1468,"YOK")</f>
        <v>11.25</v>
      </c>
      <c r="I1468" s="22" t="s">
        <v>1101</v>
      </c>
      <c r="J1468" s="31"/>
      <c r="K1468" s="32">
        <v>1</v>
      </c>
      <c r="L1468" s="32"/>
      <c r="M1468" s="33"/>
      <c r="N1468" s="33"/>
      <c r="O1468" s="21"/>
      <c r="P1468" s="21"/>
    </row>
    <row r="1469" spans="1:17" s="52" customFormat="1" ht="39.950000000000003" customHeight="1">
      <c r="A1469" s="9">
        <v>49</v>
      </c>
      <c r="B1469" s="207" t="s">
        <v>979</v>
      </c>
      <c r="C1469" s="185" t="s">
        <v>1957</v>
      </c>
      <c r="D1469" s="50" t="s">
        <v>1958</v>
      </c>
      <c r="E1469" s="51" t="s">
        <v>511</v>
      </c>
      <c r="F1469" s="30">
        <v>7.5</v>
      </c>
      <c r="G1469" s="30">
        <v>2.5</v>
      </c>
      <c r="H1469" s="30">
        <f t="shared" si="603"/>
        <v>11.25</v>
      </c>
      <c r="I1469" s="22" t="s">
        <v>1101</v>
      </c>
      <c r="J1469" s="31"/>
      <c r="K1469" s="32">
        <v>1</v>
      </c>
      <c r="L1469" s="32"/>
      <c r="M1469" s="33"/>
      <c r="N1469" s="33"/>
      <c r="O1469" s="21"/>
      <c r="P1469" s="21"/>
    </row>
    <row r="1470" spans="1:17" s="52" customFormat="1" ht="39.950000000000003" customHeight="1">
      <c r="A1470" s="9">
        <v>50</v>
      </c>
      <c r="B1470" s="207" t="s">
        <v>979</v>
      </c>
      <c r="C1470" s="185" t="s">
        <v>599</v>
      </c>
      <c r="D1470" s="50" t="s">
        <v>600</v>
      </c>
      <c r="E1470" s="51" t="s">
        <v>511</v>
      </c>
      <c r="F1470" s="30">
        <v>7.5</v>
      </c>
      <c r="G1470" s="30">
        <v>2.5</v>
      </c>
      <c r="H1470" s="30">
        <f t="shared" si="603"/>
        <v>11.25</v>
      </c>
      <c r="I1470" s="22" t="s">
        <v>1101</v>
      </c>
      <c r="J1470" s="31"/>
      <c r="K1470" s="32">
        <v>1</v>
      </c>
      <c r="L1470" s="32"/>
      <c r="M1470" s="33"/>
      <c r="N1470" s="33"/>
      <c r="O1470" s="21"/>
      <c r="P1470" s="21"/>
    </row>
    <row r="1471" spans="1:17" s="52" customFormat="1" ht="39.950000000000003" customHeight="1">
      <c r="A1471" s="9">
        <v>51</v>
      </c>
      <c r="B1471" s="207" t="s">
        <v>979</v>
      </c>
      <c r="C1471" s="185" t="s">
        <v>1959</v>
      </c>
      <c r="D1471" s="50" t="s">
        <v>1960</v>
      </c>
      <c r="E1471" s="51" t="s">
        <v>511</v>
      </c>
      <c r="F1471" s="30">
        <v>7.5</v>
      </c>
      <c r="G1471" s="30">
        <v>2.5</v>
      </c>
      <c r="H1471" s="30">
        <f t="shared" ref="H1471" si="610">IF(G1471&gt;0,(G1471*1.5)+F1471,"YOK")</f>
        <v>11.25</v>
      </c>
      <c r="I1471" s="22" t="s">
        <v>1101</v>
      </c>
      <c r="J1471" s="31"/>
      <c r="K1471" s="32">
        <v>1</v>
      </c>
      <c r="L1471" s="32"/>
      <c r="M1471" s="33"/>
      <c r="N1471" s="33"/>
      <c r="O1471" s="21"/>
      <c r="P1471" s="21"/>
    </row>
    <row r="1472" spans="1:17" s="52" customFormat="1" ht="39.950000000000003" customHeight="1">
      <c r="A1472" s="9">
        <v>52</v>
      </c>
      <c r="B1472" s="207" t="s">
        <v>979</v>
      </c>
      <c r="C1472" s="185" t="s">
        <v>1961</v>
      </c>
      <c r="D1472" s="50" t="s">
        <v>1962</v>
      </c>
      <c r="E1472" s="51" t="s">
        <v>511</v>
      </c>
      <c r="F1472" s="30">
        <v>7.5</v>
      </c>
      <c r="G1472" s="30">
        <v>2.5</v>
      </c>
      <c r="H1472" s="30">
        <f t="shared" ref="H1472" si="611">IF(G1472&gt;0,(G1472*1.5)+F1472,"YOK")</f>
        <v>11.25</v>
      </c>
      <c r="I1472" s="22" t="s">
        <v>1101</v>
      </c>
      <c r="J1472" s="31"/>
      <c r="K1472" s="32">
        <v>1</v>
      </c>
      <c r="L1472" s="32"/>
      <c r="M1472" s="33"/>
      <c r="N1472" s="33"/>
      <c r="O1472" s="21"/>
      <c r="P1472" s="21"/>
    </row>
    <row r="1473" spans="1:16" s="52" customFormat="1" ht="39.950000000000003" customHeight="1">
      <c r="A1473" s="9">
        <v>53</v>
      </c>
      <c r="B1473" s="207" t="s">
        <v>979</v>
      </c>
      <c r="C1473" s="185" t="s">
        <v>1963</v>
      </c>
      <c r="D1473" s="50" t="s">
        <v>1964</v>
      </c>
      <c r="E1473" s="51" t="s">
        <v>511</v>
      </c>
      <c r="F1473" s="30">
        <v>7.5</v>
      </c>
      <c r="G1473" s="30">
        <v>2.5</v>
      </c>
      <c r="H1473" s="30">
        <f t="shared" ref="H1473:H1477" si="612">IF(G1473&gt;0,(G1473*1.5)+F1473,"YOK")</f>
        <v>11.25</v>
      </c>
      <c r="I1473" s="22" t="s">
        <v>1101</v>
      </c>
      <c r="J1473" s="31"/>
      <c r="K1473" s="32">
        <v>1</v>
      </c>
      <c r="L1473" s="32"/>
      <c r="M1473" s="33"/>
      <c r="N1473" s="33"/>
      <c r="O1473" s="21"/>
      <c r="P1473" s="21"/>
    </row>
    <row r="1474" spans="1:16" s="52" customFormat="1" ht="39.950000000000003" customHeight="1">
      <c r="A1474" s="9">
        <v>54</v>
      </c>
      <c r="B1474" s="207" t="s">
        <v>979</v>
      </c>
      <c r="C1474" s="185" t="s">
        <v>1965</v>
      </c>
      <c r="D1474" s="50" t="s">
        <v>1966</v>
      </c>
      <c r="E1474" s="51" t="s">
        <v>511</v>
      </c>
      <c r="F1474" s="30">
        <v>7.5</v>
      </c>
      <c r="G1474" s="30">
        <v>2.5</v>
      </c>
      <c r="H1474" s="30">
        <f t="shared" si="612"/>
        <v>11.25</v>
      </c>
      <c r="I1474" s="22" t="s">
        <v>1101</v>
      </c>
      <c r="J1474" s="31"/>
      <c r="K1474" s="32">
        <v>1</v>
      </c>
      <c r="L1474" s="32"/>
      <c r="M1474" s="33"/>
      <c r="N1474" s="33"/>
      <c r="O1474" s="21"/>
      <c r="P1474" s="21"/>
    </row>
    <row r="1475" spans="1:16" s="52" customFormat="1" ht="39.950000000000003" customHeight="1">
      <c r="A1475" s="9">
        <v>55</v>
      </c>
      <c r="B1475" s="207" t="s">
        <v>979</v>
      </c>
      <c r="C1475" s="185" t="s">
        <v>1967</v>
      </c>
      <c r="D1475" s="50" t="s">
        <v>1968</v>
      </c>
      <c r="E1475" s="51" t="s">
        <v>511</v>
      </c>
      <c r="F1475" s="30">
        <v>0</v>
      </c>
      <c r="G1475" s="30">
        <v>0</v>
      </c>
      <c r="H1475" s="30" t="str">
        <f t="shared" si="612"/>
        <v>YOK</v>
      </c>
      <c r="I1475" s="224" t="s">
        <v>3674</v>
      </c>
      <c r="J1475" s="31">
        <v>1</v>
      </c>
      <c r="K1475" s="32">
        <v>0</v>
      </c>
      <c r="L1475" s="32"/>
      <c r="M1475" s="33"/>
      <c r="N1475" s="33"/>
      <c r="O1475" s="21"/>
      <c r="P1475" s="21"/>
    </row>
    <row r="1476" spans="1:16" s="52" customFormat="1" ht="39.950000000000003" customHeight="1">
      <c r="A1476" s="9">
        <v>56</v>
      </c>
      <c r="B1476" s="207" t="s">
        <v>979</v>
      </c>
      <c r="C1476" s="185" t="s">
        <v>1969</v>
      </c>
      <c r="D1476" s="50" t="s">
        <v>1970</v>
      </c>
      <c r="E1476" s="51" t="s">
        <v>511</v>
      </c>
      <c r="F1476" s="30">
        <v>7.5</v>
      </c>
      <c r="G1476" s="30">
        <v>2.5</v>
      </c>
      <c r="H1476" s="30">
        <f t="shared" ref="H1476" si="613">IF(G1476&gt;0,(G1476*1.5)+F1476,"YOK")</f>
        <v>11.25</v>
      </c>
      <c r="I1476" s="22" t="s">
        <v>1101</v>
      </c>
      <c r="J1476" s="31"/>
      <c r="K1476" s="32">
        <v>1</v>
      </c>
      <c r="L1476" s="32"/>
      <c r="M1476" s="33"/>
      <c r="N1476" s="33"/>
      <c r="O1476" s="21"/>
      <c r="P1476" s="21"/>
    </row>
    <row r="1477" spans="1:16" s="52" customFormat="1" ht="39.950000000000003" customHeight="1">
      <c r="A1477" s="9">
        <v>57</v>
      </c>
      <c r="B1477" s="207" t="s">
        <v>979</v>
      </c>
      <c r="C1477" s="185" t="s">
        <v>1971</v>
      </c>
      <c r="D1477" s="50" t="s">
        <v>1972</v>
      </c>
      <c r="E1477" s="51" t="s">
        <v>511</v>
      </c>
      <c r="F1477" s="30">
        <v>7.5</v>
      </c>
      <c r="G1477" s="30">
        <v>2.5</v>
      </c>
      <c r="H1477" s="30">
        <f t="shared" si="612"/>
        <v>11.25</v>
      </c>
      <c r="I1477" s="22" t="s">
        <v>1101</v>
      </c>
      <c r="J1477" s="31"/>
      <c r="K1477" s="32">
        <v>1</v>
      </c>
      <c r="L1477" s="32"/>
      <c r="M1477" s="33"/>
      <c r="N1477" s="33"/>
      <c r="O1477" s="21"/>
      <c r="P1477" s="21"/>
    </row>
    <row r="1478" spans="1:16" s="52" customFormat="1" ht="39.950000000000003" customHeight="1">
      <c r="A1478" s="9">
        <v>58</v>
      </c>
      <c r="B1478" s="207" t="s">
        <v>979</v>
      </c>
      <c r="C1478" s="185" t="s">
        <v>1973</v>
      </c>
      <c r="D1478" s="50" t="s">
        <v>1974</v>
      </c>
      <c r="E1478" s="51" t="s">
        <v>511</v>
      </c>
      <c r="F1478" s="30">
        <v>7.5</v>
      </c>
      <c r="G1478" s="30">
        <v>2.5</v>
      </c>
      <c r="H1478" s="30">
        <f t="shared" ref="H1478" si="614">IF(G1478&gt;0,(G1478*1.5)+F1478,"YOK")</f>
        <v>11.25</v>
      </c>
      <c r="I1478" s="22" t="s">
        <v>1101</v>
      </c>
      <c r="J1478" s="31"/>
      <c r="K1478" s="32">
        <v>1</v>
      </c>
      <c r="L1478" s="32"/>
      <c r="M1478" s="33"/>
      <c r="N1478" s="33"/>
      <c r="O1478" s="21"/>
      <c r="P1478" s="21"/>
    </row>
    <row r="1479" spans="1:16" s="52" customFormat="1" ht="39.950000000000003" customHeight="1">
      <c r="A1479" s="9">
        <v>59</v>
      </c>
      <c r="B1479" s="207" t="s">
        <v>979</v>
      </c>
      <c r="C1479" s="185" t="s">
        <v>1975</v>
      </c>
      <c r="D1479" s="50" t="s">
        <v>1976</v>
      </c>
      <c r="E1479" s="51" t="s">
        <v>511</v>
      </c>
      <c r="F1479" s="30">
        <v>7.5</v>
      </c>
      <c r="G1479" s="30">
        <v>2.5</v>
      </c>
      <c r="H1479" s="30">
        <f t="shared" ref="H1479" si="615">IF(G1479&gt;0,(G1479*1.5)+F1479,"YOK")</f>
        <v>11.25</v>
      </c>
      <c r="I1479" s="22" t="s">
        <v>1101</v>
      </c>
      <c r="J1479" s="31"/>
      <c r="K1479" s="32">
        <v>1</v>
      </c>
      <c r="L1479" s="32"/>
      <c r="M1479" s="33"/>
      <c r="N1479" s="33"/>
      <c r="O1479" s="21"/>
      <c r="P1479" s="21"/>
    </row>
    <row r="1480" spans="1:16" s="52" customFormat="1" ht="39.950000000000003" customHeight="1">
      <c r="A1480" s="9">
        <v>60</v>
      </c>
      <c r="B1480" s="207" t="s">
        <v>979</v>
      </c>
      <c r="C1480" s="185" t="s">
        <v>1977</v>
      </c>
      <c r="D1480" s="50" t="s">
        <v>1978</v>
      </c>
      <c r="E1480" s="51" t="s">
        <v>511</v>
      </c>
      <c r="F1480" s="30">
        <v>7.5</v>
      </c>
      <c r="G1480" s="30">
        <v>2.5</v>
      </c>
      <c r="H1480" s="30">
        <f t="shared" ref="H1480" si="616">IF(G1480&gt;0,(G1480*1.5)+F1480,"YOK")</f>
        <v>11.25</v>
      </c>
      <c r="I1480" s="22" t="s">
        <v>1101</v>
      </c>
      <c r="J1480" s="31"/>
      <c r="K1480" s="32">
        <v>1</v>
      </c>
      <c r="L1480" s="32"/>
      <c r="M1480" s="33"/>
      <c r="N1480" s="33"/>
      <c r="O1480" s="21"/>
      <c r="P1480" s="21"/>
    </row>
    <row r="1481" spans="1:16" s="52" customFormat="1" ht="39.950000000000003" customHeight="1">
      <c r="A1481" s="9">
        <v>61</v>
      </c>
      <c r="B1481" s="207" t="s">
        <v>979</v>
      </c>
      <c r="C1481" s="185" t="s">
        <v>1979</v>
      </c>
      <c r="D1481" s="50" t="s">
        <v>1980</v>
      </c>
      <c r="E1481" s="51" t="s">
        <v>511</v>
      </c>
      <c r="F1481" s="30">
        <v>7.5</v>
      </c>
      <c r="G1481" s="30">
        <v>2.5</v>
      </c>
      <c r="H1481" s="30">
        <f t="shared" ref="H1481" si="617">IF(G1481&gt;0,(G1481*1.5)+F1481,"YOK")</f>
        <v>11.25</v>
      </c>
      <c r="I1481" s="22" t="s">
        <v>1101</v>
      </c>
      <c r="J1481" s="31"/>
      <c r="K1481" s="32">
        <v>1</v>
      </c>
      <c r="L1481" s="32"/>
      <c r="M1481" s="33"/>
      <c r="N1481" s="33"/>
      <c r="O1481" s="21"/>
      <c r="P1481" s="21"/>
    </row>
    <row r="1482" spans="1:16" s="52" customFormat="1" ht="39.950000000000003" customHeight="1">
      <c r="A1482" s="9">
        <v>62</v>
      </c>
      <c r="B1482" s="207" t="s">
        <v>979</v>
      </c>
      <c r="C1482" s="185" t="s">
        <v>1981</v>
      </c>
      <c r="D1482" s="50" t="s">
        <v>1982</v>
      </c>
      <c r="E1482" s="51" t="s">
        <v>511</v>
      </c>
      <c r="F1482" s="30">
        <v>7.5</v>
      </c>
      <c r="G1482" s="30">
        <v>2.5</v>
      </c>
      <c r="H1482" s="30">
        <f t="shared" ref="H1482" si="618">IF(G1482&gt;0,(G1482*1.5)+F1482,"YOK")</f>
        <v>11.25</v>
      </c>
      <c r="I1482" s="22" t="s">
        <v>1101</v>
      </c>
      <c r="J1482" s="31"/>
      <c r="K1482" s="32">
        <v>1</v>
      </c>
      <c r="L1482" s="32"/>
      <c r="M1482" s="33"/>
      <c r="N1482" s="33"/>
      <c r="O1482" s="21"/>
      <c r="P1482" s="21"/>
    </row>
    <row r="1483" spans="1:16" s="52" customFormat="1" ht="39.950000000000003" customHeight="1">
      <c r="A1483" s="9">
        <v>63</v>
      </c>
      <c r="B1483" s="207" t="s">
        <v>979</v>
      </c>
      <c r="C1483" s="185" t="s">
        <v>2135</v>
      </c>
      <c r="D1483" s="50" t="s">
        <v>2136</v>
      </c>
      <c r="E1483" s="51" t="s">
        <v>511</v>
      </c>
      <c r="F1483" s="30">
        <v>7.5</v>
      </c>
      <c r="G1483" s="30">
        <v>2.5</v>
      </c>
      <c r="H1483" s="30">
        <f t="shared" ref="H1483" si="619">IF(G1483&gt;0,(G1483*1.5)+F1483,"YOK")</f>
        <v>11.25</v>
      </c>
      <c r="I1483" s="22" t="s">
        <v>1101</v>
      </c>
      <c r="J1483" s="31"/>
      <c r="K1483" s="32">
        <v>1</v>
      </c>
      <c r="L1483" s="32"/>
      <c r="M1483" s="33"/>
      <c r="N1483" s="33"/>
      <c r="O1483" s="21"/>
      <c r="P1483" s="21"/>
    </row>
    <row r="1484" spans="1:16" s="52" customFormat="1" ht="39.950000000000003" customHeight="1">
      <c r="A1484" s="9">
        <v>64</v>
      </c>
      <c r="B1484" s="207" t="s">
        <v>979</v>
      </c>
      <c r="C1484" s="185" t="s">
        <v>2825</v>
      </c>
      <c r="D1484" s="50" t="s">
        <v>2836</v>
      </c>
      <c r="E1484" s="51" t="s">
        <v>511</v>
      </c>
      <c r="F1484" s="30">
        <v>7.5</v>
      </c>
      <c r="G1484" s="30">
        <v>2.5</v>
      </c>
      <c r="H1484" s="30">
        <f t="shared" ref="H1484" si="620">IF(G1484&gt;0,(G1484*1.5)+F1484,"YOK")</f>
        <v>11.25</v>
      </c>
      <c r="I1484" s="22" t="s">
        <v>1101</v>
      </c>
      <c r="J1484" s="31"/>
      <c r="K1484" s="32">
        <v>1</v>
      </c>
      <c r="L1484" s="32"/>
      <c r="M1484" s="33"/>
      <c r="N1484" s="33"/>
      <c r="O1484" s="21"/>
      <c r="P1484" s="21"/>
    </row>
    <row r="1485" spans="1:16" s="52" customFormat="1" ht="39.950000000000003" customHeight="1">
      <c r="A1485" s="9">
        <v>65</v>
      </c>
      <c r="B1485" s="207" t="s">
        <v>979</v>
      </c>
      <c r="C1485" s="185" t="s">
        <v>2826</v>
      </c>
      <c r="D1485" s="50" t="s">
        <v>2837</v>
      </c>
      <c r="E1485" s="51" t="s">
        <v>511</v>
      </c>
      <c r="F1485" s="30">
        <v>7.5</v>
      </c>
      <c r="G1485" s="30">
        <v>2.5</v>
      </c>
      <c r="H1485" s="30">
        <f t="shared" ref="H1485:H1493" si="621">IF(G1485&gt;0,(G1485*1.5)+F1485,"YOK")</f>
        <v>11.25</v>
      </c>
      <c r="I1485" s="22" t="s">
        <v>1101</v>
      </c>
      <c r="J1485" s="31"/>
      <c r="K1485" s="32">
        <v>1</v>
      </c>
      <c r="L1485" s="32"/>
      <c r="M1485" s="33"/>
      <c r="N1485" s="33"/>
      <c r="O1485" s="21"/>
      <c r="P1485" s="21"/>
    </row>
    <row r="1486" spans="1:16" s="52" customFormat="1" ht="39.950000000000003" customHeight="1">
      <c r="A1486" s="9">
        <v>66</v>
      </c>
      <c r="B1486" s="207" t="s">
        <v>979</v>
      </c>
      <c r="C1486" s="185" t="s">
        <v>2827</v>
      </c>
      <c r="D1486" s="50" t="s">
        <v>2838</v>
      </c>
      <c r="E1486" s="51" t="s">
        <v>511</v>
      </c>
      <c r="F1486" s="30">
        <v>7.5</v>
      </c>
      <c r="G1486" s="30">
        <v>2.5</v>
      </c>
      <c r="H1486" s="30">
        <f t="shared" ref="H1486" si="622">IF(G1486&gt;0,(G1486*1.5)+F1486,"YOK")</f>
        <v>11.25</v>
      </c>
      <c r="I1486" s="22" t="s">
        <v>1101</v>
      </c>
      <c r="J1486" s="31"/>
      <c r="K1486" s="32">
        <v>1</v>
      </c>
      <c r="L1486" s="32"/>
      <c r="M1486" s="33"/>
      <c r="N1486" s="33"/>
      <c r="O1486" s="21"/>
      <c r="P1486" s="21"/>
    </row>
    <row r="1487" spans="1:16" s="52" customFormat="1" ht="39.950000000000003" customHeight="1">
      <c r="A1487" s="9">
        <v>67</v>
      </c>
      <c r="B1487" s="207" t="s">
        <v>979</v>
      </c>
      <c r="C1487" s="185" t="s">
        <v>2828</v>
      </c>
      <c r="D1487" s="50" t="s">
        <v>2839</v>
      </c>
      <c r="E1487" s="51" t="s">
        <v>511</v>
      </c>
      <c r="F1487" s="30">
        <v>7.5</v>
      </c>
      <c r="G1487" s="30">
        <v>2.5</v>
      </c>
      <c r="H1487" s="30">
        <f t="shared" si="621"/>
        <v>11.25</v>
      </c>
      <c r="I1487" s="22" t="s">
        <v>1101</v>
      </c>
      <c r="J1487" s="31"/>
      <c r="K1487" s="32">
        <v>1</v>
      </c>
      <c r="L1487" s="32"/>
      <c r="M1487" s="33"/>
      <c r="N1487" s="33"/>
      <c r="O1487" s="21"/>
      <c r="P1487" s="21"/>
    </row>
    <row r="1488" spans="1:16" s="52" customFormat="1" ht="39.950000000000003" customHeight="1">
      <c r="A1488" s="9">
        <v>68</v>
      </c>
      <c r="B1488" s="207" t="s">
        <v>979</v>
      </c>
      <c r="C1488" s="185" t="s">
        <v>2829</v>
      </c>
      <c r="D1488" s="50" t="s">
        <v>2840</v>
      </c>
      <c r="E1488" s="51" t="s">
        <v>511</v>
      </c>
      <c r="F1488" s="30">
        <v>7.5</v>
      </c>
      <c r="G1488" s="30">
        <v>2.5</v>
      </c>
      <c r="H1488" s="30">
        <f t="shared" si="621"/>
        <v>11.25</v>
      </c>
      <c r="I1488" s="22" t="s">
        <v>1101</v>
      </c>
      <c r="J1488" s="31"/>
      <c r="K1488" s="32">
        <v>1</v>
      </c>
      <c r="L1488" s="32"/>
      <c r="M1488" s="33"/>
      <c r="N1488" s="33"/>
      <c r="O1488" s="21"/>
      <c r="P1488" s="21"/>
    </row>
    <row r="1489" spans="1:16" s="52" customFormat="1" ht="39.950000000000003" customHeight="1">
      <c r="A1489" s="9">
        <v>69</v>
      </c>
      <c r="B1489" s="207" t="s">
        <v>979</v>
      </c>
      <c r="C1489" s="185" t="s">
        <v>2830</v>
      </c>
      <c r="D1489" s="50" t="s">
        <v>2841</v>
      </c>
      <c r="E1489" s="51" t="s">
        <v>511</v>
      </c>
      <c r="F1489" s="30">
        <v>7.5</v>
      </c>
      <c r="G1489" s="30">
        <v>2.5</v>
      </c>
      <c r="H1489" s="30">
        <f t="shared" ref="H1489" si="623">IF(G1489&gt;0,(G1489*1.5)+F1489,"YOK")</f>
        <v>11.25</v>
      </c>
      <c r="I1489" s="22" t="s">
        <v>1101</v>
      </c>
      <c r="J1489" s="31"/>
      <c r="K1489" s="32">
        <v>1</v>
      </c>
      <c r="L1489" s="32"/>
      <c r="M1489" s="33"/>
      <c r="N1489" s="33"/>
      <c r="O1489" s="21"/>
      <c r="P1489" s="21"/>
    </row>
    <row r="1490" spans="1:16" s="52" customFormat="1" ht="39.950000000000003" customHeight="1">
      <c r="A1490" s="9">
        <v>70</v>
      </c>
      <c r="B1490" s="207" t="s">
        <v>979</v>
      </c>
      <c r="C1490" s="185" t="s">
        <v>2831</v>
      </c>
      <c r="D1490" s="50" t="s">
        <v>2842</v>
      </c>
      <c r="E1490" s="51" t="s">
        <v>511</v>
      </c>
      <c r="F1490" s="30">
        <v>7.5</v>
      </c>
      <c r="G1490" s="30">
        <v>2.5</v>
      </c>
      <c r="H1490" s="30">
        <f t="shared" ref="H1490" si="624">IF(G1490&gt;0,(G1490*1.5)+F1490,"YOK")</f>
        <v>11.25</v>
      </c>
      <c r="I1490" s="22" t="s">
        <v>1101</v>
      </c>
      <c r="J1490" s="31"/>
      <c r="K1490" s="32">
        <v>1</v>
      </c>
      <c r="L1490" s="32"/>
      <c r="M1490" s="33"/>
      <c r="N1490" s="33"/>
      <c r="O1490" s="21"/>
      <c r="P1490" s="21"/>
    </row>
    <row r="1491" spans="1:16" s="52" customFormat="1" ht="39.950000000000003" customHeight="1">
      <c r="A1491" s="9">
        <v>71</v>
      </c>
      <c r="B1491" s="207" t="s">
        <v>979</v>
      </c>
      <c r="C1491" s="185" t="s">
        <v>2832</v>
      </c>
      <c r="D1491" s="50" t="s">
        <v>2835</v>
      </c>
      <c r="E1491" s="51" t="s">
        <v>511</v>
      </c>
      <c r="F1491" s="30">
        <v>7.5</v>
      </c>
      <c r="G1491" s="30">
        <v>2.5</v>
      </c>
      <c r="H1491" s="30">
        <f t="shared" ref="H1491" si="625">IF(G1491&gt;0,(G1491*1.5)+F1491,"YOK")</f>
        <v>11.25</v>
      </c>
      <c r="I1491" s="22" t="s">
        <v>1101</v>
      </c>
      <c r="J1491" s="31"/>
      <c r="K1491" s="32">
        <v>1</v>
      </c>
      <c r="L1491" s="32"/>
      <c r="M1491" s="33"/>
      <c r="N1491" s="33"/>
      <c r="O1491" s="21"/>
      <c r="P1491" s="21"/>
    </row>
    <row r="1492" spans="1:16" s="52" customFormat="1" ht="39.950000000000003" customHeight="1">
      <c r="A1492" s="9">
        <v>72</v>
      </c>
      <c r="B1492" s="207" t="s">
        <v>979</v>
      </c>
      <c r="C1492" s="185" t="s">
        <v>2833</v>
      </c>
      <c r="D1492" s="50" t="s">
        <v>2843</v>
      </c>
      <c r="E1492" s="51" t="s">
        <v>511</v>
      </c>
      <c r="F1492" s="30">
        <v>7.5</v>
      </c>
      <c r="G1492" s="30">
        <v>2.5</v>
      </c>
      <c r="H1492" s="30">
        <f t="shared" si="621"/>
        <v>11.25</v>
      </c>
      <c r="I1492" s="22" t="s">
        <v>1101</v>
      </c>
      <c r="J1492" s="31"/>
      <c r="K1492" s="32">
        <v>1</v>
      </c>
      <c r="L1492" s="32"/>
      <c r="M1492" s="33"/>
      <c r="N1492" s="33"/>
      <c r="O1492" s="21"/>
      <c r="P1492" s="21"/>
    </row>
    <row r="1493" spans="1:16" s="52" customFormat="1" ht="39.950000000000003" customHeight="1">
      <c r="A1493" s="9">
        <v>73</v>
      </c>
      <c r="B1493" s="207" t="s">
        <v>979</v>
      </c>
      <c r="C1493" s="185" t="s">
        <v>2834</v>
      </c>
      <c r="D1493" s="50" t="s">
        <v>2844</v>
      </c>
      <c r="E1493" s="51" t="s">
        <v>511</v>
      </c>
      <c r="F1493" s="30">
        <v>7.5</v>
      </c>
      <c r="G1493" s="30">
        <v>2.5</v>
      </c>
      <c r="H1493" s="30">
        <f t="shared" si="621"/>
        <v>11.25</v>
      </c>
      <c r="I1493" s="22" t="s">
        <v>1101</v>
      </c>
      <c r="J1493" s="31"/>
      <c r="K1493" s="32">
        <v>1</v>
      </c>
      <c r="L1493" s="32"/>
      <c r="M1493" s="33"/>
      <c r="N1493" s="33"/>
      <c r="O1493" s="21"/>
      <c r="P1493" s="21"/>
    </row>
    <row r="1494" spans="1:16" s="52" customFormat="1" ht="39.950000000000003" customHeight="1">
      <c r="A1494" s="9">
        <v>74</v>
      </c>
      <c r="B1494" s="207" t="s">
        <v>979</v>
      </c>
      <c r="C1494" s="50" t="s">
        <v>1986</v>
      </c>
      <c r="D1494" s="50" t="s">
        <v>1987</v>
      </c>
      <c r="E1494" s="51" t="s">
        <v>511</v>
      </c>
      <c r="F1494" s="30">
        <v>7.5</v>
      </c>
      <c r="G1494" s="30">
        <v>2.5</v>
      </c>
      <c r="H1494" s="30">
        <f>IF(G1494&gt;0,(G1494*1.5)+F1494,"YOK")</f>
        <v>11.25</v>
      </c>
      <c r="I1494" s="22" t="s">
        <v>1102</v>
      </c>
      <c r="J1494" s="31"/>
      <c r="K1494" s="32">
        <v>1</v>
      </c>
      <c r="L1494" s="32"/>
      <c r="M1494" s="33"/>
      <c r="N1494" s="33"/>
      <c r="O1494" s="21"/>
      <c r="P1494" s="21"/>
    </row>
    <row r="1495" spans="1:16" s="52" customFormat="1" ht="39.950000000000003" customHeight="1">
      <c r="A1495" s="9">
        <v>75</v>
      </c>
      <c r="B1495" s="207" t="s">
        <v>979</v>
      </c>
      <c r="C1495" s="185" t="s">
        <v>3458</v>
      </c>
      <c r="D1495" s="50" t="s">
        <v>3459</v>
      </c>
      <c r="E1495" s="51" t="s">
        <v>511</v>
      </c>
      <c r="F1495" s="30">
        <v>7.5</v>
      </c>
      <c r="G1495" s="30">
        <v>2.5</v>
      </c>
      <c r="H1495" s="30">
        <f t="shared" ref="H1495" si="626">IF(G1495&gt;0,(G1495*1.5)+F1495,"YOK")</f>
        <v>11.25</v>
      </c>
      <c r="I1495" s="22" t="s">
        <v>1100</v>
      </c>
      <c r="J1495" s="31"/>
      <c r="K1495" s="32">
        <v>1</v>
      </c>
      <c r="L1495" s="32"/>
      <c r="M1495" s="33"/>
      <c r="N1495" s="33"/>
      <c r="O1495" s="21"/>
      <c r="P1495" s="21"/>
    </row>
    <row r="1496" spans="1:16" s="52" customFormat="1" ht="39.950000000000003" customHeight="1">
      <c r="A1496" s="9">
        <v>76</v>
      </c>
      <c r="B1496" s="207" t="s">
        <v>979</v>
      </c>
      <c r="C1496" s="50" t="s">
        <v>1788</v>
      </c>
      <c r="D1496" s="50" t="s">
        <v>1789</v>
      </c>
      <c r="E1496" s="51" t="s">
        <v>511</v>
      </c>
      <c r="F1496" s="30">
        <v>7.5</v>
      </c>
      <c r="G1496" s="30">
        <v>2.5</v>
      </c>
      <c r="H1496" s="30">
        <f t="shared" ref="H1496" si="627">IF(G1496&gt;0,(G1496*1.5)+F1496,"YOK")</f>
        <v>11.25</v>
      </c>
      <c r="I1496" s="22" t="s">
        <v>1100</v>
      </c>
      <c r="J1496" s="31"/>
      <c r="K1496" s="32">
        <v>1</v>
      </c>
      <c r="L1496" s="32"/>
      <c r="M1496" s="33"/>
      <c r="N1496"/>
      <c r="O1496" s="21"/>
      <c r="P1496" s="21"/>
    </row>
    <row r="1497" spans="1:16" s="52" customFormat="1" ht="39.950000000000003" customHeight="1">
      <c r="A1497" s="9">
        <v>77</v>
      </c>
      <c r="B1497" s="207" t="s">
        <v>979</v>
      </c>
      <c r="C1497" s="50" t="s">
        <v>1280</v>
      </c>
      <c r="D1497" s="50" t="s">
        <v>1281</v>
      </c>
      <c r="E1497" s="51" t="s">
        <v>511</v>
      </c>
      <c r="F1497" s="30">
        <v>7.5</v>
      </c>
      <c r="G1497" s="30">
        <v>2.5</v>
      </c>
      <c r="H1497" s="30">
        <f t="shared" ref="H1497" si="628">IF(G1497&gt;0,(G1497*1.5)+F1497,"YOK")</f>
        <v>11.25</v>
      </c>
      <c r="I1497" s="22" t="s">
        <v>1100</v>
      </c>
      <c r="J1497" s="31"/>
      <c r="K1497" s="32">
        <v>1</v>
      </c>
      <c r="L1497" s="32"/>
      <c r="M1497" s="33"/>
      <c r="N1497"/>
      <c r="O1497" s="21"/>
      <c r="P1497" s="21"/>
    </row>
    <row r="1498" spans="1:16" s="52" customFormat="1" ht="39.950000000000003" customHeight="1">
      <c r="A1498" s="9">
        <v>78</v>
      </c>
      <c r="B1498" s="207" t="s">
        <v>979</v>
      </c>
      <c r="C1498" s="50" t="s">
        <v>1282</v>
      </c>
      <c r="D1498" s="50" t="s">
        <v>1283</v>
      </c>
      <c r="E1498" s="51" t="s">
        <v>511</v>
      </c>
      <c r="F1498" s="30">
        <v>7.5</v>
      </c>
      <c r="G1498" s="30">
        <v>2.5</v>
      </c>
      <c r="H1498" s="30">
        <f t="shared" ref="H1498" si="629">IF(G1498&gt;0,(G1498*1.5)+F1498,"YOK")</f>
        <v>11.25</v>
      </c>
      <c r="I1498" s="22" t="s">
        <v>1100</v>
      </c>
      <c r="J1498" s="31"/>
      <c r="K1498" s="32">
        <v>1</v>
      </c>
      <c r="L1498" s="32"/>
      <c r="M1498" s="33"/>
      <c r="N1498"/>
      <c r="O1498" s="21"/>
      <c r="P1498" s="21"/>
    </row>
    <row r="1499" spans="1:16" s="52" customFormat="1" ht="39.950000000000003" customHeight="1">
      <c r="A1499" s="9">
        <v>79</v>
      </c>
      <c r="B1499" s="207" t="s">
        <v>979</v>
      </c>
      <c r="C1499" s="50" t="s">
        <v>2847</v>
      </c>
      <c r="D1499" s="50" t="s">
        <v>2853</v>
      </c>
      <c r="E1499" s="51" t="s">
        <v>511</v>
      </c>
      <c r="F1499" s="30">
        <v>7.5</v>
      </c>
      <c r="G1499" s="30">
        <v>2.5</v>
      </c>
      <c r="H1499" s="30">
        <f t="shared" ref="H1499" si="630">IF(G1499&gt;0,(G1499*1.5)+F1499,"YOK")</f>
        <v>11.25</v>
      </c>
      <c r="I1499" s="22" t="s">
        <v>1100</v>
      </c>
      <c r="J1499" s="31"/>
      <c r="K1499" s="32">
        <v>1</v>
      </c>
      <c r="L1499" s="32"/>
      <c r="M1499" s="33"/>
      <c r="N1499"/>
      <c r="O1499" s="21"/>
      <c r="P1499" s="21"/>
    </row>
    <row r="1500" spans="1:16" s="52" customFormat="1" ht="39.950000000000003" customHeight="1">
      <c r="A1500" s="9">
        <v>80</v>
      </c>
      <c r="B1500" s="207" t="s">
        <v>979</v>
      </c>
      <c r="C1500" s="50" t="s">
        <v>2849</v>
      </c>
      <c r="D1500" s="50" t="s">
        <v>2854</v>
      </c>
      <c r="E1500" s="51" t="s">
        <v>511</v>
      </c>
      <c r="F1500" s="30">
        <v>7.5</v>
      </c>
      <c r="G1500" s="30">
        <v>2.5</v>
      </c>
      <c r="H1500" s="30">
        <f t="shared" ref="H1500:H1521" si="631">IF(G1500&gt;0,(G1500*1.5)+F1500,"YOK")</f>
        <v>11.25</v>
      </c>
      <c r="I1500" s="22" t="s">
        <v>1100</v>
      </c>
      <c r="J1500" s="31"/>
      <c r="K1500" s="32">
        <v>1</v>
      </c>
      <c r="L1500" s="32"/>
      <c r="M1500" s="33"/>
      <c r="N1500"/>
      <c r="O1500" s="21"/>
      <c r="P1500" s="21"/>
    </row>
    <row r="1501" spans="1:16" s="52" customFormat="1" ht="39.950000000000003" customHeight="1">
      <c r="A1501" s="9">
        <v>81</v>
      </c>
      <c r="B1501" s="207" t="s">
        <v>979</v>
      </c>
      <c r="C1501" s="50" t="s">
        <v>2852</v>
      </c>
      <c r="D1501" s="50" t="s">
        <v>2855</v>
      </c>
      <c r="E1501" s="51" t="s">
        <v>511</v>
      </c>
      <c r="F1501" s="30">
        <v>7.5</v>
      </c>
      <c r="G1501" s="30">
        <v>2.5</v>
      </c>
      <c r="H1501" s="30">
        <f t="shared" si="631"/>
        <v>11.25</v>
      </c>
      <c r="I1501" s="22" t="s">
        <v>1100</v>
      </c>
      <c r="J1501" s="31"/>
      <c r="K1501" s="32">
        <v>1</v>
      </c>
      <c r="L1501" s="32"/>
      <c r="M1501" s="33"/>
      <c r="N1501"/>
      <c r="O1501" s="21"/>
      <c r="P1501" s="21"/>
    </row>
    <row r="1502" spans="1:16" s="52" customFormat="1" ht="39.950000000000003" customHeight="1">
      <c r="A1502" s="9">
        <v>82</v>
      </c>
      <c r="B1502" s="207" t="s">
        <v>979</v>
      </c>
      <c r="C1502" s="50" t="s">
        <v>3668</v>
      </c>
      <c r="D1502" s="50" t="s">
        <v>1989</v>
      </c>
      <c r="E1502" s="51" t="s">
        <v>533</v>
      </c>
      <c r="F1502" s="30">
        <v>7.5</v>
      </c>
      <c r="G1502" s="30">
        <v>2.5</v>
      </c>
      <c r="H1502" s="30">
        <f t="shared" ref="H1502" si="632">IF(G1502&gt;0,(G1502*1.5)+F1502,"YOK")</f>
        <v>11.25</v>
      </c>
      <c r="I1502" s="22" t="s">
        <v>1100</v>
      </c>
      <c r="J1502" s="31"/>
      <c r="K1502" s="32">
        <v>1</v>
      </c>
      <c r="L1502" s="32"/>
      <c r="M1502" s="33"/>
      <c r="N1502"/>
      <c r="O1502" s="21"/>
      <c r="P1502" s="21"/>
    </row>
    <row r="1503" spans="1:16" s="52" customFormat="1" ht="39.950000000000003" customHeight="1">
      <c r="A1503" s="9">
        <v>83</v>
      </c>
      <c r="B1503" s="207" t="s">
        <v>979</v>
      </c>
      <c r="C1503" s="50" t="s">
        <v>1990</v>
      </c>
      <c r="D1503" s="50" t="s">
        <v>1991</v>
      </c>
      <c r="E1503" s="51" t="s">
        <v>533</v>
      </c>
      <c r="F1503" s="30">
        <v>7.5</v>
      </c>
      <c r="G1503" s="30">
        <v>2.5</v>
      </c>
      <c r="H1503" s="30">
        <f>IF(G1503&gt;0,(G1503*1.5)+F1503,"YOK")</f>
        <v>11.25</v>
      </c>
      <c r="I1503" s="22" t="s">
        <v>1100</v>
      </c>
      <c r="J1503" s="31"/>
      <c r="K1503" s="32">
        <v>1</v>
      </c>
      <c r="L1503" s="32"/>
      <c r="M1503" s="33"/>
      <c r="N1503"/>
      <c r="O1503" s="21"/>
      <c r="P1503" s="21"/>
    </row>
    <row r="1504" spans="1:16" s="52" customFormat="1" ht="39.950000000000003" customHeight="1">
      <c r="A1504" s="9">
        <v>84</v>
      </c>
      <c r="B1504" s="207" t="s">
        <v>979</v>
      </c>
      <c r="C1504" s="50" t="s">
        <v>2848</v>
      </c>
      <c r="D1504" s="50" t="s">
        <v>2856</v>
      </c>
      <c r="E1504" s="51" t="s">
        <v>533</v>
      </c>
      <c r="F1504" s="30">
        <v>7.5</v>
      </c>
      <c r="G1504" s="30">
        <v>2.5</v>
      </c>
      <c r="H1504" s="30">
        <f t="shared" si="631"/>
        <v>11.25</v>
      </c>
      <c r="I1504" s="22" t="s">
        <v>1100</v>
      </c>
      <c r="J1504" s="31"/>
      <c r="K1504" s="32">
        <v>1</v>
      </c>
      <c r="L1504" s="32"/>
      <c r="M1504" s="33"/>
      <c r="N1504"/>
      <c r="O1504" s="21"/>
      <c r="P1504" s="21"/>
    </row>
    <row r="1505" spans="1:16" s="52" customFormat="1" ht="39.950000000000003" customHeight="1">
      <c r="A1505" s="9">
        <v>85</v>
      </c>
      <c r="B1505" s="207" t="s">
        <v>979</v>
      </c>
      <c r="C1505" s="50" t="s">
        <v>2850</v>
      </c>
      <c r="D1505" s="50" t="s">
        <v>2857</v>
      </c>
      <c r="E1505" s="51" t="s">
        <v>533</v>
      </c>
      <c r="F1505" s="30">
        <v>7.5</v>
      </c>
      <c r="G1505" s="30">
        <v>2.5</v>
      </c>
      <c r="H1505" s="30">
        <f t="shared" ref="H1505" si="633">IF(G1505&gt;0,(G1505*1.5)+F1505,"YOK")</f>
        <v>11.25</v>
      </c>
      <c r="I1505" s="22" t="s">
        <v>1100</v>
      </c>
      <c r="J1505" s="31"/>
      <c r="K1505" s="32">
        <v>1</v>
      </c>
      <c r="L1505" s="32"/>
      <c r="M1505" s="33"/>
      <c r="N1505"/>
      <c r="O1505" s="21"/>
      <c r="P1505" s="21"/>
    </row>
    <row r="1506" spans="1:16" s="52" customFormat="1" ht="39.950000000000003" customHeight="1">
      <c r="A1506" s="9">
        <v>86</v>
      </c>
      <c r="B1506" s="207" t="s">
        <v>979</v>
      </c>
      <c r="C1506" s="50" t="s">
        <v>2851</v>
      </c>
      <c r="D1506" s="50" t="s">
        <v>2858</v>
      </c>
      <c r="E1506" s="51" t="s">
        <v>533</v>
      </c>
      <c r="F1506" s="30">
        <v>7.5</v>
      </c>
      <c r="G1506" s="30">
        <v>2.5</v>
      </c>
      <c r="H1506" s="30">
        <f t="shared" si="631"/>
        <v>11.25</v>
      </c>
      <c r="I1506" s="22" t="s">
        <v>1100</v>
      </c>
      <c r="J1506" s="31"/>
      <c r="K1506" s="32">
        <v>1</v>
      </c>
      <c r="L1506" s="32"/>
      <c r="M1506" s="33"/>
      <c r="N1506"/>
      <c r="O1506" s="21"/>
      <c r="P1506" s="21"/>
    </row>
    <row r="1507" spans="1:16" s="52" customFormat="1" ht="39.950000000000003" customHeight="1">
      <c r="A1507" s="9">
        <v>87</v>
      </c>
      <c r="B1507" s="207">
        <v>5563</v>
      </c>
      <c r="C1507" s="185" t="s">
        <v>926</v>
      </c>
      <c r="D1507" s="50" t="s">
        <v>933</v>
      </c>
      <c r="E1507" s="51" t="s">
        <v>511</v>
      </c>
      <c r="F1507" s="30">
        <v>0</v>
      </c>
      <c r="G1507" s="30"/>
      <c r="H1507" s="30"/>
      <c r="I1507" s="22" t="s">
        <v>34</v>
      </c>
      <c r="J1507" s="31"/>
      <c r="K1507" s="32">
        <v>0</v>
      </c>
      <c r="L1507" s="32"/>
      <c r="M1507" s="33">
        <v>1</v>
      </c>
      <c r="N1507" s="33"/>
      <c r="O1507" s="21"/>
      <c r="P1507" s="21"/>
    </row>
    <row r="1508" spans="1:16" s="52" customFormat="1" ht="39.950000000000003" customHeight="1">
      <c r="A1508" s="9">
        <v>88</v>
      </c>
      <c r="B1508" s="207">
        <v>5821</v>
      </c>
      <c r="C1508" s="185" t="s">
        <v>1276</v>
      </c>
      <c r="D1508" s="50" t="s">
        <v>1275</v>
      </c>
      <c r="E1508" s="51" t="s">
        <v>511</v>
      </c>
      <c r="F1508" s="30">
        <v>0</v>
      </c>
      <c r="G1508" s="30"/>
      <c r="H1508" s="30"/>
      <c r="I1508" s="22" t="s">
        <v>34</v>
      </c>
      <c r="J1508" s="31"/>
      <c r="K1508" s="32">
        <v>0</v>
      </c>
      <c r="L1508" s="32"/>
      <c r="M1508" s="33">
        <v>1</v>
      </c>
      <c r="N1508"/>
      <c r="O1508" s="21"/>
      <c r="P1508" s="21"/>
    </row>
    <row r="1509" spans="1:16" s="52" customFormat="1" ht="39.950000000000003" customHeight="1">
      <c r="A1509" s="9">
        <v>89</v>
      </c>
      <c r="B1509" s="207">
        <v>4439</v>
      </c>
      <c r="C1509" s="185" t="s">
        <v>616</v>
      </c>
      <c r="D1509" s="50" t="s">
        <v>617</v>
      </c>
      <c r="E1509" s="51" t="s">
        <v>511</v>
      </c>
      <c r="F1509" s="30">
        <v>0</v>
      </c>
      <c r="G1509" s="30"/>
      <c r="H1509" s="30"/>
      <c r="I1509" s="22" t="s">
        <v>34</v>
      </c>
      <c r="J1509" s="31"/>
      <c r="K1509" s="32">
        <v>0</v>
      </c>
      <c r="L1509" s="32"/>
      <c r="M1509" s="33">
        <v>1</v>
      </c>
      <c r="N1509"/>
      <c r="O1509" s="21"/>
      <c r="P1509" s="21"/>
    </row>
    <row r="1510" spans="1:16" s="52" customFormat="1" ht="39.950000000000003" customHeight="1">
      <c r="A1510" s="9">
        <v>90</v>
      </c>
      <c r="B1510" s="207">
        <v>6069</v>
      </c>
      <c r="C1510" s="185" t="s">
        <v>1760</v>
      </c>
      <c r="D1510" s="50" t="s">
        <v>1761</v>
      </c>
      <c r="E1510" s="51" t="s">
        <v>511</v>
      </c>
      <c r="F1510" s="30">
        <v>0</v>
      </c>
      <c r="G1510" s="30"/>
      <c r="H1510" s="30"/>
      <c r="I1510" s="22" t="s">
        <v>34</v>
      </c>
      <c r="J1510" s="31"/>
      <c r="K1510" s="32">
        <v>0</v>
      </c>
      <c r="L1510" s="32"/>
      <c r="M1510" s="33">
        <v>1</v>
      </c>
      <c r="N1510"/>
      <c r="O1510" s="21"/>
      <c r="P1510" s="21"/>
    </row>
    <row r="1511" spans="1:16" s="52" customFormat="1" ht="39.950000000000003" customHeight="1">
      <c r="A1511" s="9">
        <v>91</v>
      </c>
      <c r="B1511" s="207">
        <v>5830</v>
      </c>
      <c r="C1511" s="185" t="s">
        <v>1288</v>
      </c>
      <c r="D1511" s="50" t="s">
        <v>1289</v>
      </c>
      <c r="E1511" s="51" t="s">
        <v>511</v>
      </c>
      <c r="F1511" s="30">
        <v>0</v>
      </c>
      <c r="G1511" s="30"/>
      <c r="H1511" s="30"/>
      <c r="I1511" s="22" t="s">
        <v>34</v>
      </c>
      <c r="J1511" s="31"/>
      <c r="K1511" s="32">
        <v>0</v>
      </c>
      <c r="L1511" s="32"/>
      <c r="M1511" s="33">
        <v>1</v>
      </c>
      <c r="N1511"/>
      <c r="O1511" s="21"/>
      <c r="P1511" s="21"/>
    </row>
    <row r="1512" spans="1:16" s="52" customFormat="1" ht="39.950000000000003" customHeight="1">
      <c r="A1512" s="9">
        <v>92</v>
      </c>
      <c r="B1512" s="207">
        <v>6061</v>
      </c>
      <c r="C1512" s="185" t="s">
        <v>1745</v>
      </c>
      <c r="D1512" s="50" t="s">
        <v>1746</v>
      </c>
      <c r="E1512" s="51" t="s">
        <v>533</v>
      </c>
      <c r="F1512" s="30">
        <v>0</v>
      </c>
      <c r="G1512" s="30"/>
      <c r="H1512" s="30"/>
      <c r="I1512" s="22" t="s">
        <v>34</v>
      </c>
      <c r="J1512" s="31"/>
      <c r="K1512" s="32">
        <v>0</v>
      </c>
      <c r="L1512" s="32"/>
      <c r="M1512" s="33">
        <v>1</v>
      </c>
      <c r="N1512"/>
      <c r="O1512" s="21"/>
      <c r="P1512" s="21"/>
    </row>
    <row r="1513" spans="1:16" s="52" customFormat="1" ht="39.950000000000003" customHeight="1">
      <c r="A1513" s="9">
        <v>93</v>
      </c>
      <c r="B1513" s="207">
        <v>6836</v>
      </c>
      <c r="C1513" s="185" t="s">
        <v>3643</v>
      </c>
      <c r="D1513" s="50" t="s">
        <v>3644</v>
      </c>
      <c r="E1513" s="51" t="s">
        <v>533</v>
      </c>
      <c r="F1513" s="30">
        <v>0</v>
      </c>
      <c r="G1513" s="30"/>
      <c r="H1513" s="30"/>
      <c r="I1513" s="22" t="s">
        <v>34</v>
      </c>
      <c r="J1513" s="31"/>
      <c r="K1513" s="32">
        <v>0</v>
      </c>
      <c r="L1513" s="32"/>
      <c r="M1513" s="33">
        <v>1</v>
      </c>
      <c r="N1513"/>
      <c r="O1513" s="21"/>
      <c r="P1513" s="21"/>
    </row>
    <row r="1514" spans="1:16" s="52" customFormat="1" ht="39.950000000000003" customHeight="1">
      <c r="A1514" s="9">
        <v>94</v>
      </c>
      <c r="B1514" s="207">
        <v>5757</v>
      </c>
      <c r="C1514" s="50" t="s">
        <v>1222</v>
      </c>
      <c r="D1514" s="50" t="s">
        <v>1221</v>
      </c>
      <c r="E1514" s="51" t="s">
        <v>533</v>
      </c>
      <c r="F1514" s="30">
        <v>0</v>
      </c>
      <c r="G1514" s="30"/>
      <c r="H1514" s="30"/>
      <c r="I1514" s="22" t="s">
        <v>34</v>
      </c>
      <c r="J1514" s="31"/>
      <c r="K1514" s="32">
        <v>0</v>
      </c>
      <c r="L1514" s="32"/>
      <c r="M1514" s="33">
        <v>1</v>
      </c>
      <c r="N1514"/>
      <c r="O1514" s="21"/>
      <c r="P1514" s="21"/>
    </row>
    <row r="1515" spans="1:16" s="52" customFormat="1" ht="39.950000000000003" customHeight="1">
      <c r="A1515" s="9">
        <v>95</v>
      </c>
      <c r="B1515" s="207">
        <v>6060</v>
      </c>
      <c r="C1515" s="50" t="s">
        <v>1743</v>
      </c>
      <c r="D1515" s="50" t="s">
        <v>1744</v>
      </c>
      <c r="E1515" s="51" t="s">
        <v>511</v>
      </c>
      <c r="F1515" s="30">
        <v>0</v>
      </c>
      <c r="G1515" s="30"/>
      <c r="H1515" s="30"/>
      <c r="I1515" s="22" t="s">
        <v>34</v>
      </c>
      <c r="J1515" s="31"/>
      <c r="K1515" s="32">
        <v>0</v>
      </c>
      <c r="L1515" s="32"/>
      <c r="M1515" s="33">
        <v>1</v>
      </c>
      <c r="N1515"/>
      <c r="O1515" s="21"/>
      <c r="P1515" s="21"/>
    </row>
    <row r="1516" spans="1:16" s="52" customFormat="1" ht="39.950000000000003" customHeight="1">
      <c r="A1516" s="9">
        <v>96</v>
      </c>
      <c r="B1516" s="222">
        <v>5187</v>
      </c>
      <c r="C1516" s="50" t="s">
        <v>610</v>
      </c>
      <c r="D1516" s="50" t="s">
        <v>611</v>
      </c>
      <c r="E1516" s="51" t="s">
        <v>511</v>
      </c>
      <c r="F1516" s="30">
        <v>0</v>
      </c>
      <c r="G1516" s="30"/>
      <c r="H1516" s="30"/>
      <c r="I1516" s="22" t="s">
        <v>34</v>
      </c>
      <c r="J1516" s="31"/>
      <c r="K1516" s="32">
        <v>0</v>
      </c>
      <c r="L1516" s="32"/>
      <c r="M1516" s="33">
        <v>1</v>
      </c>
      <c r="N1516"/>
      <c r="O1516" s="21"/>
      <c r="P1516" s="21"/>
    </row>
    <row r="1517" spans="1:16" s="52" customFormat="1" ht="39.950000000000003" customHeight="1">
      <c r="A1517" s="9">
        <v>97</v>
      </c>
      <c r="B1517" s="222">
        <v>5823</v>
      </c>
      <c r="C1517" s="50" t="s">
        <v>1279</v>
      </c>
      <c r="D1517" s="50" t="s">
        <v>1881</v>
      </c>
      <c r="E1517" s="51" t="s">
        <v>511</v>
      </c>
      <c r="F1517" s="30">
        <v>0</v>
      </c>
      <c r="G1517" s="30"/>
      <c r="H1517" s="30"/>
      <c r="I1517" s="22" t="s">
        <v>34</v>
      </c>
      <c r="J1517" s="31"/>
      <c r="K1517" s="32">
        <v>0</v>
      </c>
      <c r="L1517" s="32"/>
      <c r="M1517" s="33">
        <v>1</v>
      </c>
      <c r="N1517"/>
      <c r="O1517" s="21"/>
      <c r="P1517" s="21"/>
    </row>
    <row r="1518" spans="1:16" s="52" customFormat="1" ht="39.950000000000003" customHeight="1">
      <c r="A1518" s="9">
        <v>98</v>
      </c>
      <c r="B1518" s="207">
        <v>5760</v>
      </c>
      <c r="C1518" s="50" t="s">
        <v>1236</v>
      </c>
      <c r="D1518" s="50" t="s">
        <v>1235</v>
      </c>
      <c r="E1518" s="51" t="s">
        <v>511</v>
      </c>
      <c r="F1518" s="30">
        <v>0</v>
      </c>
      <c r="G1518" s="30"/>
      <c r="H1518" s="30"/>
      <c r="I1518" s="22" t="s">
        <v>34</v>
      </c>
      <c r="J1518" s="31"/>
      <c r="K1518" s="32">
        <v>0</v>
      </c>
      <c r="L1518" s="32"/>
      <c r="M1518" s="33">
        <v>1</v>
      </c>
      <c r="N1518"/>
      <c r="O1518" s="21"/>
      <c r="P1518" s="21"/>
    </row>
    <row r="1519" spans="1:16" s="52" customFormat="1" ht="39.950000000000003" customHeight="1">
      <c r="A1519" s="9">
        <v>99</v>
      </c>
      <c r="B1519" s="207">
        <v>6585</v>
      </c>
      <c r="C1519" s="185" t="s">
        <v>2812</v>
      </c>
      <c r="D1519" s="50" t="s">
        <v>2821</v>
      </c>
      <c r="E1519" s="51" t="s">
        <v>511</v>
      </c>
      <c r="F1519" s="30">
        <v>0</v>
      </c>
      <c r="G1519" s="30"/>
      <c r="H1519" s="30"/>
      <c r="I1519" s="22" t="s">
        <v>34</v>
      </c>
      <c r="J1519" s="31"/>
      <c r="K1519" s="32">
        <v>0</v>
      </c>
      <c r="L1519" s="32"/>
      <c r="M1519" s="33">
        <v>1</v>
      </c>
      <c r="N1519"/>
      <c r="O1519" s="21"/>
      <c r="P1519" s="21"/>
    </row>
    <row r="1520" spans="1:16" s="52" customFormat="1" ht="39.950000000000003" customHeight="1">
      <c r="A1520" s="9">
        <v>100</v>
      </c>
      <c r="B1520" s="207">
        <v>5542</v>
      </c>
      <c r="C1520" s="50" t="s">
        <v>895</v>
      </c>
      <c r="D1520" s="50" t="s">
        <v>896</v>
      </c>
      <c r="E1520" s="51" t="s">
        <v>533</v>
      </c>
      <c r="F1520" s="30">
        <v>7.5</v>
      </c>
      <c r="G1520" s="30">
        <v>2.5</v>
      </c>
      <c r="H1520" s="30">
        <f>IF(G1520&gt;0,(G1520*1.5)+F1520,"YOK")</f>
        <v>11.25</v>
      </c>
      <c r="I1520" s="48" t="s">
        <v>593</v>
      </c>
      <c r="J1520" s="31"/>
      <c r="K1520" s="32">
        <v>1</v>
      </c>
      <c r="L1520" s="32"/>
      <c r="M1520" s="33"/>
      <c r="N1520" s="33"/>
      <c r="O1520" s="21"/>
      <c r="P1520" s="21"/>
    </row>
    <row r="1521" spans="1:16" s="52" customFormat="1" ht="39.950000000000003" customHeight="1">
      <c r="A1521" s="9">
        <v>101</v>
      </c>
      <c r="B1521" s="207">
        <v>5645</v>
      </c>
      <c r="C1521" s="50" t="s">
        <v>1065</v>
      </c>
      <c r="D1521" s="50" t="s">
        <v>1066</v>
      </c>
      <c r="E1521" s="51" t="s">
        <v>533</v>
      </c>
      <c r="F1521" s="30">
        <v>7.5</v>
      </c>
      <c r="G1521" s="30">
        <v>2.5</v>
      </c>
      <c r="H1521" s="30">
        <f t="shared" si="631"/>
        <v>11.25</v>
      </c>
      <c r="I1521" s="48" t="s">
        <v>593</v>
      </c>
      <c r="J1521" s="31"/>
      <c r="K1521" s="32">
        <v>1</v>
      </c>
      <c r="L1521" s="32"/>
      <c r="M1521" s="33"/>
      <c r="N1521"/>
      <c r="O1521" s="21"/>
      <c r="P1521" s="21"/>
    </row>
    <row r="1522" spans="1:16" s="52" customFormat="1" ht="39.950000000000003" customHeight="1">
      <c r="A1522" s="9">
        <v>102</v>
      </c>
      <c r="B1522" s="207">
        <v>6147</v>
      </c>
      <c r="C1522" s="50" t="s">
        <v>1913</v>
      </c>
      <c r="D1522" s="50" t="s">
        <v>1914</v>
      </c>
      <c r="E1522" s="51" t="s">
        <v>533</v>
      </c>
      <c r="F1522" s="30">
        <v>7.5</v>
      </c>
      <c r="G1522" s="30">
        <v>2.5</v>
      </c>
      <c r="H1522" s="30">
        <f t="shared" ref="H1522" si="634">IF(G1522&gt;0,(G1522*1.5)+F1522,"YOK")</f>
        <v>11.25</v>
      </c>
      <c r="I1522" s="48" t="s">
        <v>593</v>
      </c>
      <c r="J1522" s="31"/>
      <c r="K1522" s="32">
        <v>1</v>
      </c>
      <c r="L1522" s="32"/>
      <c r="M1522" s="33"/>
      <c r="N1522"/>
      <c r="O1522" s="21"/>
      <c r="P1522" s="21"/>
    </row>
    <row r="1523" spans="1:16" s="52" customFormat="1" ht="39.950000000000003" customHeight="1">
      <c r="A1523" s="9">
        <v>103</v>
      </c>
      <c r="B1523" s="207">
        <v>6232</v>
      </c>
      <c r="C1523" s="50" t="s">
        <v>2180</v>
      </c>
      <c r="D1523" s="50" t="s">
        <v>2181</v>
      </c>
      <c r="E1523" s="51" t="s">
        <v>533</v>
      </c>
      <c r="F1523" s="30">
        <v>7.5</v>
      </c>
      <c r="G1523" s="30">
        <v>2.5</v>
      </c>
      <c r="H1523" s="30">
        <f t="shared" ref="H1523" si="635">IF(G1523&gt;0,(G1523*1.5)+F1523,"YOK")</f>
        <v>11.25</v>
      </c>
      <c r="I1523" s="48" t="s">
        <v>593</v>
      </c>
      <c r="J1523" s="31"/>
      <c r="K1523" s="32">
        <v>1</v>
      </c>
      <c r="L1523" s="32"/>
      <c r="M1523" s="33"/>
      <c r="N1523"/>
      <c r="O1523" s="21"/>
      <c r="P1523" s="21"/>
    </row>
    <row r="1524" spans="1:16" s="52" customFormat="1" ht="39.950000000000003" customHeight="1">
      <c r="A1524" s="9">
        <v>104</v>
      </c>
      <c r="B1524" s="207">
        <v>6285</v>
      </c>
      <c r="C1524" s="50" t="s">
        <v>2330</v>
      </c>
      <c r="D1524" s="50" t="s">
        <v>2331</v>
      </c>
      <c r="E1524" s="51" t="s">
        <v>533</v>
      </c>
      <c r="F1524" s="30">
        <v>7.5</v>
      </c>
      <c r="G1524" s="30">
        <v>2.5</v>
      </c>
      <c r="H1524" s="30">
        <f t="shared" ref="H1524" si="636">IF(G1524&gt;0,(G1524*1.5)+F1524,"YOK")</f>
        <v>11.25</v>
      </c>
      <c r="I1524" s="48" t="s">
        <v>593</v>
      </c>
      <c r="J1524" s="31"/>
      <c r="K1524" s="32">
        <v>1</v>
      </c>
      <c r="L1524" s="32"/>
      <c r="M1524" s="33"/>
      <c r="N1524"/>
      <c r="O1524" s="21"/>
      <c r="P1524" s="21"/>
    </row>
    <row r="1525" spans="1:16" s="52" customFormat="1" ht="39.950000000000003" customHeight="1">
      <c r="A1525" s="9">
        <v>105</v>
      </c>
      <c r="B1525" s="207">
        <v>6356</v>
      </c>
      <c r="C1525" s="50" t="s">
        <v>2415</v>
      </c>
      <c r="D1525" s="50" t="s">
        <v>2416</v>
      </c>
      <c r="E1525" s="51" t="s">
        <v>533</v>
      </c>
      <c r="F1525" s="30">
        <v>7.5</v>
      </c>
      <c r="G1525" s="30">
        <v>2.5</v>
      </c>
      <c r="H1525" s="30">
        <f t="shared" ref="H1525" si="637">IF(G1525&gt;0,(G1525*1.5)+F1525,"YOK")</f>
        <v>11.25</v>
      </c>
      <c r="I1525" s="48" t="s">
        <v>593</v>
      </c>
      <c r="J1525" s="31"/>
      <c r="K1525" s="32">
        <v>1</v>
      </c>
      <c r="L1525" s="32"/>
      <c r="M1525" s="33"/>
      <c r="N1525"/>
      <c r="O1525" s="21"/>
      <c r="P1525" s="21"/>
    </row>
    <row r="1526" spans="1:16" s="52" customFormat="1" ht="39.950000000000003" customHeight="1">
      <c r="A1526" s="9">
        <v>106</v>
      </c>
      <c r="B1526" s="207">
        <v>6392</v>
      </c>
      <c r="C1526" s="50" t="s">
        <v>2506</v>
      </c>
      <c r="D1526" s="50" t="s">
        <v>2507</v>
      </c>
      <c r="E1526" s="51" t="s">
        <v>533</v>
      </c>
      <c r="F1526" s="30">
        <v>7.5</v>
      </c>
      <c r="G1526" s="30">
        <v>2.5</v>
      </c>
      <c r="H1526" s="30">
        <f t="shared" ref="H1526" si="638">IF(G1526&gt;0,(G1526*1.5)+F1526,"YOK")</f>
        <v>11.25</v>
      </c>
      <c r="I1526" s="48" t="s">
        <v>593</v>
      </c>
      <c r="J1526" s="31"/>
      <c r="K1526" s="32">
        <v>1</v>
      </c>
      <c r="L1526" s="32"/>
      <c r="M1526" s="33"/>
      <c r="N1526"/>
      <c r="O1526" s="21"/>
      <c r="P1526" s="21"/>
    </row>
    <row r="1527" spans="1:16" s="52" customFormat="1" ht="39.950000000000003" customHeight="1">
      <c r="A1527" s="9">
        <v>107</v>
      </c>
      <c r="B1527" s="207">
        <v>6594</v>
      </c>
      <c r="C1527" s="185" t="s">
        <v>2815</v>
      </c>
      <c r="D1527" s="50" t="s">
        <v>2824</v>
      </c>
      <c r="E1527" s="51" t="s">
        <v>533</v>
      </c>
      <c r="F1527" s="30">
        <v>7.5</v>
      </c>
      <c r="G1527" s="30">
        <v>2.5</v>
      </c>
      <c r="H1527" s="30">
        <f t="shared" ref="H1527" si="639">IF(G1527&gt;0,(G1527*1.5)+F1527,"YOK")</f>
        <v>11.25</v>
      </c>
      <c r="I1527" s="48" t="s">
        <v>593</v>
      </c>
      <c r="J1527" s="31"/>
      <c r="K1527" s="32">
        <v>1</v>
      </c>
      <c r="L1527" s="32"/>
      <c r="M1527" s="33"/>
      <c r="N1527"/>
      <c r="O1527" s="21"/>
      <c r="P1527" s="21"/>
    </row>
    <row r="1528" spans="1:16" s="52" customFormat="1" ht="39.950000000000003" customHeight="1">
      <c r="A1528" s="9">
        <v>108</v>
      </c>
      <c r="B1528" s="207">
        <v>4594</v>
      </c>
      <c r="C1528" s="185" t="s">
        <v>596</v>
      </c>
      <c r="D1528" s="50" t="s">
        <v>953</v>
      </c>
      <c r="E1528" s="51" t="s">
        <v>533</v>
      </c>
      <c r="F1528" s="30">
        <v>7.5</v>
      </c>
      <c r="G1528" s="30">
        <v>2.5</v>
      </c>
      <c r="H1528" s="30">
        <f t="shared" ref="H1528" si="640">IF(G1528&gt;0,(G1528*1.5)+F1528,"YOK")</f>
        <v>11.25</v>
      </c>
      <c r="I1528" s="48" t="s">
        <v>593</v>
      </c>
      <c r="J1528" s="31"/>
      <c r="K1528" s="32">
        <v>1</v>
      </c>
      <c r="L1528" s="32"/>
      <c r="M1528" s="33"/>
      <c r="N1528"/>
      <c r="O1528" s="21"/>
      <c r="P1528" s="21"/>
    </row>
    <row r="1529" spans="1:16" s="52" customFormat="1" ht="39.950000000000003" customHeight="1">
      <c r="A1529" s="9">
        <v>109</v>
      </c>
      <c r="B1529" s="207">
        <v>4889</v>
      </c>
      <c r="C1529" s="50" t="s">
        <v>597</v>
      </c>
      <c r="D1529" s="50" t="s">
        <v>598</v>
      </c>
      <c r="E1529" s="51" t="s">
        <v>533</v>
      </c>
      <c r="F1529" s="30">
        <v>7.5</v>
      </c>
      <c r="G1529" s="30">
        <v>2.5</v>
      </c>
      <c r="H1529" s="30">
        <f t="shared" si="603"/>
        <v>11.25</v>
      </c>
      <c r="I1529" s="48" t="s">
        <v>593</v>
      </c>
      <c r="J1529" s="31"/>
      <c r="K1529" s="32">
        <v>1</v>
      </c>
      <c r="L1529" s="32"/>
      <c r="M1529" s="33"/>
      <c r="N1529"/>
      <c r="O1529" s="21"/>
      <c r="P1529" s="21"/>
    </row>
    <row r="1530" spans="1:16" s="52" customFormat="1" ht="39.950000000000003" customHeight="1">
      <c r="A1530" s="9">
        <v>110</v>
      </c>
      <c r="B1530" s="207">
        <v>5840</v>
      </c>
      <c r="C1530" s="50" t="s">
        <v>1388</v>
      </c>
      <c r="D1530" s="50" t="s">
        <v>1389</v>
      </c>
      <c r="E1530" s="51" t="s">
        <v>533</v>
      </c>
      <c r="F1530" s="30">
        <v>7.5</v>
      </c>
      <c r="G1530" s="30">
        <v>2.5</v>
      </c>
      <c r="H1530" s="30">
        <f t="shared" si="603"/>
        <v>11.25</v>
      </c>
      <c r="I1530" s="48" t="s">
        <v>593</v>
      </c>
      <c r="J1530" s="31"/>
      <c r="K1530" s="32">
        <v>1</v>
      </c>
      <c r="L1530" s="32"/>
      <c r="M1530" s="33"/>
      <c r="N1530"/>
      <c r="O1530" s="21"/>
      <c r="P1530" s="21"/>
    </row>
    <row r="1531" spans="1:16" s="52" customFormat="1" ht="39.950000000000003" customHeight="1">
      <c r="A1531" s="9">
        <v>111</v>
      </c>
      <c r="B1531" s="207">
        <v>5880</v>
      </c>
      <c r="C1531" s="50" t="s">
        <v>1415</v>
      </c>
      <c r="D1531" s="50" t="s">
        <v>1416</v>
      </c>
      <c r="E1531" s="51" t="s">
        <v>533</v>
      </c>
      <c r="F1531" s="30">
        <v>7.5</v>
      </c>
      <c r="G1531" s="30">
        <v>2.5</v>
      </c>
      <c r="H1531" s="30">
        <f t="shared" ref="H1531" si="641">IF(G1531&gt;0,(G1531*1.5)+F1531,"YOK")</f>
        <v>11.25</v>
      </c>
      <c r="I1531" s="48" t="s">
        <v>593</v>
      </c>
      <c r="J1531" s="31"/>
      <c r="K1531" s="32">
        <v>1</v>
      </c>
      <c r="L1531" s="32"/>
      <c r="M1531" s="33"/>
      <c r="N1531"/>
      <c r="O1531" s="21"/>
      <c r="P1531" s="21"/>
    </row>
    <row r="1532" spans="1:16" s="52" customFormat="1" ht="39.950000000000003" customHeight="1">
      <c r="A1532" s="9">
        <v>112</v>
      </c>
      <c r="B1532" s="207">
        <v>4496</v>
      </c>
      <c r="C1532" s="50" t="s">
        <v>594</v>
      </c>
      <c r="D1532" s="50" t="s">
        <v>595</v>
      </c>
      <c r="E1532" s="51" t="s">
        <v>533</v>
      </c>
      <c r="F1532" s="30">
        <v>7.5</v>
      </c>
      <c r="G1532" s="30">
        <v>2.5</v>
      </c>
      <c r="H1532" s="30">
        <f t="shared" ref="H1532" si="642">IF(G1532&gt;0,(G1532*1.5)+F1532,"YOK")</f>
        <v>11.25</v>
      </c>
      <c r="I1532" s="48" t="s">
        <v>593</v>
      </c>
      <c r="J1532" s="31"/>
      <c r="K1532" s="32">
        <v>1</v>
      </c>
      <c r="L1532" s="32"/>
      <c r="M1532" s="33"/>
      <c r="N1532"/>
      <c r="O1532" s="21"/>
      <c r="P1532" s="21"/>
    </row>
    <row r="1533" spans="1:16" s="52" customFormat="1" ht="39.950000000000003" customHeight="1">
      <c r="A1533" s="9">
        <v>113</v>
      </c>
      <c r="B1533" s="207">
        <v>6593</v>
      </c>
      <c r="C1533" s="50" t="s">
        <v>1338</v>
      </c>
      <c r="D1533" s="50" t="s">
        <v>1339</v>
      </c>
      <c r="E1533" s="51" t="s">
        <v>533</v>
      </c>
      <c r="F1533" s="30">
        <v>7.5</v>
      </c>
      <c r="G1533" s="30">
        <v>2.5</v>
      </c>
      <c r="H1533" s="30">
        <f>IF(G1533&gt;0,(G1533*1.5)+F1533,"YOK")</f>
        <v>11.25</v>
      </c>
      <c r="I1533" s="48" t="s">
        <v>593</v>
      </c>
      <c r="J1533" s="31"/>
      <c r="K1533" s="32">
        <v>1</v>
      </c>
      <c r="L1533" s="32"/>
      <c r="M1533" s="33"/>
      <c r="N1533"/>
      <c r="O1533" s="21"/>
      <c r="P1533" s="21"/>
    </row>
    <row r="1534" spans="1:16" s="52" customFormat="1" ht="39.950000000000003" customHeight="1">
      <c r="A1534" s="9">
        <v>114</v>
      </c>
      <c r="B1534" s="207">
        <v>6059</v>
      </c>
      <c r="C1534" s="50" t="s">
        <v>1741</v>
      </c>
      <c r="D1534" s="50" t="s">
        <v>1742</v>
      </c>
      <c r="E1534" s="51" t="s">
        <v>533</v>
      </c>
      <c r="F1534" s="30">
        <v>7.5</v>
      </c>
      <c r="G1534" s="30">
        <v>2.5</v>
      </c>
      <c r="H1534" s="30">
        <f>IF(G1534&gt;0,(G1534*1.5)+F1534,"YOK")</f>
        <v>11.25</v>
      </c>
      <c r="I1534" s="48" t="s">
        <v>593</v>
      </c>
      <c r="J1534" s="31"/>
      <c r="K1534" s="32">
        <v>1</v>
      </c>
      <c r="L1534" s="32"/>
      <c r="M1534" s="33"/>
      <c r="N1534" s="33"/>
      <c r="O1534" s="21"/>
      <c r="P1534" s="21"/>
    </row>
    <row r="1535" spans="1:16" s="52" customFormat="1" ht="39.950000000000003" customHeight="1">
      <c r="A1535" s="9">
        <v>115</v>
      </c>
      <c r="B1535" s="207">
        <v>6211</v>
      </c>
      <c r="C1535" s="50" t="s">
        <v>2104</v>
      </c>
      <c r="D1535" s="50" t="s">
        <v>2112</v>
      </c>
      <c r="E1535" s="51" t="s">
        <v>533</v>
      </c>
      <c r="F1535" s="30">
        <v>7.5</v>
      </c>
      <c r="G1535" s="30">
        <v>2.5</v>
      </c>
      <c r="H1535" s="30">
        <f t="shared" ref="H1535:H1541" si="643">IF(G1535&gt;0,(G1535*1.5)+F1535,"YOK")</f>
        <v>11.25</v>
      </c>
      <c r="I1535" s="48" t="s">
        <v>593</v>
      </c>
      <c r="J1535" s="31"/>
      <c r="K1535" s="32">
        <v>1</v>
      </c>
      <c r="L1535" s="32"/>
      <c r="M1535" s="33"/>
      <c r="N1535"/>
      <c r="O1535" s="21"/>
      <c r="P1535" s="21"/>
    </row>
    <row r="1536" spans="1:16" s="52" customFormat="1" ht="39.950000000000003" customHeight="1">
      <c r="A1536" s="9">
        <v>116</v>
      </c>
      <c r="B1536" s="207">
        <v>6231</v>
      </c>
      <c r="C1536" s="50" t="s">
        <v>2178</v>
      </c>
      <c r="D1536" s="50" t="s">
        <v>2179</v>
      </c>
      <c r="E1536" s="51" t="s">
        <v>533</v>
      </c>
      <c r="F1536" s="30">
        <v>7.5</v>
      </c>
      <c r="G1536" s="30">
        <v>2.5</v>
      </c>
      <c r="H1536" s="30">
        <f t="shared" ref="H1536" si="644">IF(G1536&gt;0,(G1536*1.5)+F1536,"YOK")</f>
        <v>11.25</v>
      </c>
      <c r="I1536" s="48" t="s">
        <v>593</v>
      </c>
      <c r="J1536" s="31"/>
      <c r="K1536" s="32">
        <v>1</v>
      </c>
      <c r="L1536" s="32"/>
      <c r="M1536" s="33"/>
      <c r="N1536"/>
      <c r="O1536" s="21"/>
      <c r="P1536" s="21"/>
    </row>
    <row r="1537" spans="1:16" s="52" customFormat="1" ht="39.950000000000003" customHeight="1">
      <c r="A1537" s="9">
        <v>117</v>
      </c>
      <c r="B1537" s="207">
        <v>6140</v>
      </c>
      <c r="C1537" s="50" t="s">
        <v>1988</v>
      </c>
      <c r="D1537" s="50" t="s">
        <v>1900</v>
      </c>
      <c r="E1537" s="51" t="s">
        <v>533</v>
      </c>
      <c r="F1537" s="30">
        <v>7.5</v>
      </c>
      <c r="G1537" s="30">
        <v>2.5</v>
      </c>
      <c r="H1537" s="30">
        <f t="shared" si="643"/>
        <v>11.25</v>
      </c>
      <c r="I1537" s="48" t="s">
        <v>593</v>
      </c>
      <c r="J1537" s="31"/>
      <c r="K1537" s="32">
        <v>1</v>
      </c>
      <c r="L1537" s="32"/>
      <c r="M1537" s="33"/>
      <c r="N1537"/>
      <c r="O1537" s="21"/>
      <c r="P1537" s="21"/>
    </row>
    <row r="1538" spans="1:16" s="52" customFormat="1" ht="39.950000000000003" customHeight="1">
      <c r="A1538" s="9">
        <v>118</v>
      </c>
      <c r="B1538" s="207">
        <v>6233</v>
      </c>
      <c r="C1538" s="50" t="s">
        <v>2182</v>
      </c>
      <c r="D1538" s="50" t="s">
        <v>2183</v>
      </c>
      <c r="E1538" s="51" t="s">
        <v>533</v>
      </c>
      <c r="F1538" s="30">
        <v>7.5</v>
      </c>
      <c r="G1538" s="30">
        <v>2.5</v>
      </c>
      <c r="H1538" s="30">
        <f t="shared" si="643"/>
        <v>11.25</v>
      </c>
      <c r="I1538" s="48" t="s">
        <v>593</v>
      </c>
      <c r="J1538" s="31"/>
      <c r="K1538" s="32">
        <v>1</v>
      </c>
      <c r="L1538" s="32"/>
      <c r="M1538" s="33"/>
      <c r="N1538"/>
      <c r="O1538" s="21"/>
      <c r="P1538" s="21"/>
    </row>
    <row r="1539" spans="1:16" s="52" customFormat="1" ht="39.950000000000003" customHeight="1">
      <c r="A1539" s="9">
        <v>119</v>
      </c>
      <c r="B1539" s="207">
        <v>6262</v>
      </c>
      <c r="C1539" s="185" t="s">
        <v>3136</v>
      </c>
      <c r="D1539" s="50" t="s">
        <v>3137</v>
      </c>
      <c r="E1539" s="51" t="s">
        <v>533</v>
      </c>
      <c r="F1539" s="30">
        <v>7.5</v>
      </c>
      <c r="G1539" s="30">
        <v>2.5</v>
      </c>
      <c r="H1539" s="30">
        <f t="shared" si="643"/>
        <v>11.25</v>
      </c>
      <c r="I1539" s="48" t="s">
        <v>593</v>
      </c>
      <c r="J1539" s="31"/>
      <c r="K1539" s="32">
        <v>1</v>
      </c>
      <c r="L1539" s="32"/>
      <c r="M1539" s="33"/>
      <c r="N1539"/>
      <c r="O1539" s="21"/>
      <c r="P1539" s="21"/>
    </row>
    <row r="1540" spans="1:16" s="52" customFormat="1" ht="39.950000000000003" customHeight="1">
      <c r="A1540" s="9">
        <v>120</v>
      </c>
      <c r="B1540" s="207">
        <v>6209</v>
      </c>
      <c r="C1540" s="50" t="s">
        <v>2102</v>
      </c>
      <c r="D1540" s="50" t="s">
        <v>2110</v>
      </c>
      <c r="E1540" s="51" t="s">
        <v>533</v>
      </c>
      <c r="F1540" s="30">
        <v>7.5</v>
      </c>
      <c r="G1540" s="30">
        <v>2.5</v>
      </c>
      <c r="H1540" s="30">
        <f t="shared" si="643"/>
        <v>11.25</v>
      </c>
      <c r="I1540" s="48" t="s">
        <v>593</v>
      </c>
      <c r="J1540" s="31"/>
      <c r="K1540" s="32">
        <v>1</v>
      </c>
      <c r="L1540" s="32"/>
      <c r="M1540" s="33"/>
      <c r="N1540"/>
      <c r="O1540" s="21"/>
      <c r="P1540" s="21"/>
    </row>
    <row r="1541" spans="1:16" s="52" customFormat="1" ht="39.950000000000003" customHeight="1">
      <c r="A1541" s="9">
        <v>121</v>
      </c>
      <c r="B1541" s="207">
        <v>6210</v>
      </c>
      <c r="C1541" s="50" t="s">
        <v>2103</v>
      </c>
      <c r="D1541" s="50" t="s">
        <v>2111</v>
      </c>
      <c r="E1541" s="51" t="s">
        <v>533</v>
      </c>
      <c r="F1541" s="30">
        <v>7.5</v>
      </c>
      <c r="G1541" s="30">
        <v>2.5</v>
      </c>
      <c r="H1541" s="30">
        <f t="shared" si="643"/>
        <v>11.25</v>
      </c>
      <c r="I1541" s="48" t="s">
        <v>593</v>
      </c>
      <c r="J1541" s="31"/>
      <c r="K1541" s="32">
        <v>1</v>
      </c>
      <c r="L1541" s="32"/>
      <c r="M1541" s="33"/>
      <c r="N1541"/>
      <c r="O1541" s="21"/>
      <c r="P1541" s="21"/>
    </row>
    <row r="1542" spans="1:16" s="52" customFormat="1" ht="39.950000000000003" customHeight="1">
      <c r="A1542" s="9">
        <v>122</v>
      </c>
      <c r="B1542" s="207">
        <v>4649</v>
      </c>
      <c r="C1542" s="50" t="s">
        <v>620</v>
      </c>
      <c r="D1542" s="50" t="s">
        <v>621</v>
      </c>
      <c r="E1542" s="51" t="s">
        <v>511</v>
      </c>
      <c r="F1542" s="30">
        <v>7.5</v>
      </c>
      <c r="G1542" s="30">
        <v>2.5</v>
      </c>
      <c r="H1542" s="30">
        <f t="shared" ref="H1542" si="645">IF(G1542&gt;0,(G1542*1.5)+F1542,"YOK")</f>
        <v>11.25</v>
      </c>
      <c r="I1542" s="48" t="s">
        <v>593</v>
      </c>
      <c r="J1542" s="31"/>
      <c r="K1542" s="32">
        <v>1</v>
      </c>
      <c r="L1542" s="32"/>
      <c r="M1542" s="33"/>
      <c r="N1542"/>
      <c r="O1542" s="21"/>
      <c r="P1542" s="21"/>
    </row>
    <row r="1543" spans="1:16" s="52" customFormat="1" ht="39.950000000000003" customHeight="1">
      <c r="A1543" s="9">
        <v>123</v>
      </c>
      <c r="B1543" s="207">
        <v>5578</v>
      </c>
      <c r="C1543" s="50" t="s">
        <v>965</v>
      </c>
      <c r="D1543" s="50" t="s">
        <v>966</v>
      </c>
      <c r="E1543" s="51" t="s">
        <v>511</v>
      </c>
      <c r="F1543" s="30">
        <v>7.5</v>
      </c>
      <c r="G1543" s="30">
        <v>2.5</v>
      </c>
      <c r="H1543" s="30">
        <f t="shared" ref="H1543" si="646">IF(G1543&gt;0,(G1543*1.5)+F1543,"YOK")</f>
        <v>11.25</v>
      </c>
      <c r="I1543" s="48" t="s">
        <v>593</v>
      </c>
      <c r="J1543" s="31"/>
      <c r="K1543" s="32">
        <v>1</v>
      </c>
      <c r="L1543" s="32"/>
      <c r="M1543" s="33"/>
      <c r="N1543"/>
      <c r="O1543" s="21"/>
      <c r="P1543" s="21"/>
    </row>
    <row r="1544" spans="1:16" s="52" customFormat="1" ht="39.950000000000003" customHeight="1">
      <c r="A1544" s="9">
        <v>124</v>
      </c>
      <c r="B1544" s="207">
        <v>5637</v>
      </c>
      <c r="C1544" s="50" t="s">
        <v>1055</v>
      </c>
      <c r="D1544" s="50" t="s">
        <v>1056</v>
      </c>
      <c r="E1544" s="51" t="s">
        <v>511</v>
      </c>
      <c r="F1544" s="30">
        <v>7.5</v>
      </c>
      <c r="G1544" s="30">
        <v>2.5</v>
      </c>
      <c r="H1544" s="30">
        <f t="shared" ref="H1544" si="647">IF(G1544&gt;0,(G1544*1.5)+F1544,"YOK")</f>
        <v>11.25</v>
      </c>
      <c r="I1544" s="48" t="s">
        <v>593</v>
      </c>
      <c r="J1544" s="31"/>
      <c r="K1544" s="32">
        <v>1</v>
      </c>
      <c r="L1544" s="32"/>
      <c r="M1544" s="33"/>
      <c r="N1544"/>
      <c r="O1544" s="21"/>
      <c r="P1544" s="21"/>
    </row>
    <row r="1545" spans="1:16" s="52" customFormat="1" ht="39.950000000000003" customHeight="1">
      <c r="A1545" s="9">
        <v>125</v>
      </c>
      <c r="B1545" s="207">
        <v>5618</v>
      </c>
      <c r="C1545" s="50" t="s">
        <v>1025</v>
      </c>
      <c r="D1545" s="50" t="s">
        <v>1026</v>
      </c>
      <c r="E1545" s="51" t="s">
        <v>511</v>
      </c>
      <c r="F1545" s="30">
        <v>7.5</v>
      </c>
      <c r="G1545" s="30">
        <v>2.5</v>
      </c>
      <c r="H1545" s="30">
        <f t="shared" ref="H1545" si="648">IF(G1545&gt;0,(G1545*1.5)+F1545,"YOK")</f>
        <v>11.25</v>
      </c>
      <c r="I1545" s="48" t="s">
        <v>593</v>
      </c>
      <c r="J1545" s="31"/>
      <c r="K1545" s="32">
        <v>1</v>
      </c>
      <c r="L1545" s="32"/>
      <c r="M1545" s="33"/>
      <c r="N1545"/>
      <c r="O1545" s="21"/>
      <c r="P1545" s="21"/>
    </row>
    <row r="1546" spans="1:16" s="52" customFormat="1" ht="39.950000000000003" customHeight="1">
      <c r="A1546" s="9">
        <v>126</v>
      </c>
      <c r="B1546" s="207">
        <v>5829</v>
      </c>
      <c r="C1546" s="50" t="s">
        <v>1290</v>
      </c>
      <c r="D1546" s="50" t="s">
        <v>1291</v>
      </c>
      <c r="E1546" s="51" t="s">
        <v>511</v>
      </c>
      <c r="F1546" s="30">
        <v>7.5</v>
      </c>
      <c r="G1546" s="30">
        <v>2.5</v>
      </c>
      <c r="H1546" s="30">
        <f>IF(G1546&gt;0,(G1546*1.5)+F1546,"YOK")</f>
        <v>11.25</v>
      </c>
      <c r="I1546" s="48" t="s">
        <v>593</v>
      </c>
      <c r="J1546" s="31"/>
      <c r="K1546" s="32">
        <v>1</v>
      </c>
      <c r="L1546" s="32"/>
      <c r="M1546" s="33"/>
      <c r="N1546"/>
      <c r="O1546" s="21"/>
      <c r="P1546" s="21"/>
    </row>
    <row r="1547" spans="1:16" s="52" customFormat="1" ht="39.950000000000003" customHeight="1">
      <c r="A1547" s="9">
        <v>127</v>
      </c>
      <c r="B1547" s="207">
        <v>5033</v>
      </c>
      <c r="C1547" s="50" t="s">
        <v>604</v>
      </c>
      <c r="D1547" s="50" t="s">
        <v>605</v>
      </c>
      <c r="E1547" s="51" t="s">
        <v>511</v>
      </c>
      <c r="F1547" s="30">
        <v>7.5</v>
      </c>
      <c r="G1547" s="30">
        <v>2.5</v>
      </c>
      <c r="H1547" s="30">
        <f>IF(G1547&gt;0,(G1547*1.5)+F1547,"YOK")</f>
        <v>11.25</v>
      </c>
      <c r="I1547" s="48" t="s">
        <v>593</v>
      </c>
      <c r="J1547" s="31"/>
      <c r="K1547" s="32">
        <v>1</v>
      </c>
      <c r="L1547" s="32"/>
      <c r="M1547" s="33"/>
      <c r="N1547"/>
      <c r="O1547" s="21"/>
      <c r="P1547" s="21"/>
    </row>
    <row r="1548" spans="1:16" s="52" customFormat="1" ht="39.950000000000003" customHeight="1">
      <c r="A1548" s="9">
        <v>128</v>
      </c>
      <c r="B1548" s="207">
        <v>5035</v>
      </c>
      <c r="C1548" s="50" t="s">
        <v>606</v>
      </c>
      <c r="D1548" s="50" t="s">
        <v>607</v>
      </c>
      <c r="E1548" s="51" t="s">
        <v>511</v>
      </c>
      <c r="F1548" s="30">
        <v>7.5</v>
      </c>
      <c r="G1548" s="30">
        <v>2.5</v>
      </c>
      <c r="H1548" s="30">
        <f t="shared" ref="H1548" si="649">IF(G1548&gt;0,(G1548*1.5)+F1548,"YOK")</f>
        <v>11.25</v>
      </c>
      <c r="I1548" s="48" t="s">
        <v>593</v>
      </c>
      <c r="J1548" s="31"/>
      <c r="K1548" s="32">
        <v>1</v>
      </c>
      <c r="L1548" s="32"/>
      <c r="M1548" s="33"/>
      <c r="N1548"/>
      <c r="O1548" s="21"/>
      <c r="P1548" s="21"/>
    </row>
    <row r="1549" spans="1:16" s="52" customFormat="1" ht="39.950000000000003" customHeight="1">
      <c r="A1549" s="9">
        <v>129</v>
      </c>
      <c r="B1549" s="207">
        <v>5911</v>
      </c>
      <c r="C1549" s="50" t="s">
        <v>1461</v>
      </c>
      <c r="D1549" s="50" t="s">
        <v>1460</v>
      </c>
      <c r="E1549" s="51" t="s">
        <v>511</v>
      </c>
      <c r="F1549" s="30">
        <v>7.5</v>
      </c>
      <c r="G1549" s="30">
        <v>2.5</v>
      </c>
      <c r="H1549" s="30">
        <f t="shared" ref="H1549" si="650">IF(G1549&gt;0,(G1549*1.5)+F1549,"YOK")</f>
        <v>11.25</v>
      </c>
      <c r="I1549" s="48" t="s">
        <v>593</v>
      </c>
      <c r="J1549" s="31"/>
      <c r="K1549" s="32">
        <v>1</v>
      </c>
      <c r="L1549" s="32"/>
      <c r="M1549" s="33"/>
      <c r="N1549"/>
      <c r="O1549" s="21"/>
      <c r="P1549" s="21"/>
    </row>
    <row r="1550" spans="1:16" s="52" customFormat="1" ht="39.950000000000003" customHeight="1">
      <c r="A1550" s="9">
        <v>130</v>
      </c>
      <c r="B1550" s="207">
        <v>5919</v>
      </c>
      <c r="C1550" s="50" t="s">
        <v>1491</v>
      </c>
      <c r="D1550" s="50" t="s">
        <v>1492</v>
      </c>
      <c r="E1550" s="51" t="s">
        <v>511</v>
      </c>
      <c r="F1550" s="30">
        <v>7.5</v>
      </c>
      <c r="G1550" s="30">
        <v>2.5</v>
      </c>
      <c r="H1550" s="30">
        <f>IF(G1550&gt;0,(G1550*1.5)+F1550,"YOK")</f>
        <v>11.25</v>
      </c>
      <c r="I1550" s="48" t="s">
        <v>593</v>
      </c>
      <c r="J1550" s="31"/>
      <c r="K1550" s="32">
        <v>1</v>
      </c>
      <c r="L1550" s="32"/>
      <c r="M1550" s="33"/>
      <c r="N1550"/>
      <c r="O1550" s="21"/>
      <c r="P1550" s="21"/>
    </row>
    <row r="1551" spans="1:16" s="52" customFormat="1" ht="39.950000000000003" customHeight="1">
      <c r="A1551" s="9">
        <v>131</v>
      </c>
      <c r="B1551" s="207">
        <v>5921</v>
      </c>
      <c r="C1551" s="50" t="s">
        <v>1493</v>
      </c>
      <c r="D1551" s="50" t="s">
        <v>1494</v>
      </c>
      <c r="E1551" s="51" t="s">
        <v>511</v>
      </c>
      <c r="F1551" s="30">
        <v>7.5</v>
      </c>
      <c r="G1551" s="30">
        <v>2.5</v>
      </c>
      <c r="H1551" s="30">
        <f>IF(G1551&gt;0,(G1551*1.5)+F1551,"YOK")</f>
        <v>11.25</v>
      </c>
      <c r="I1551" s="48" t="s">
        <v>593</v>
      </c>
      <c r="J1551" s="31"/>
      <c r="K1551" s="32">
        <v>1</v>
      </c>
      <c r="L1551" s="32"/>
      <c r="M1551" s="33"/>
      <c r="N1551"/>
      <c r="O1551" s="21"/>
      <c r="P1551" s="21"/>
    </row>
    <row r="1552" spans="1:16" s="52" customFormat="1" ht="39.950000000000003" customHeight="1">
      <c r="A1552" s="9">
        <v>132</v>
      </c>
      <c r="B1552" s="207">
        <v>6056</v>
      </c>
      <c r="C1552" s="50" t="s">
        <v>1735</v>
      </c>
      <c r="D1552" s="50" t="s">
        <v>1736</v>
      </c>
      <c r="E1552" s="51" t="s">
        <v>511</v>
      </c>
      <c r="F1552" s="30">
        <v>7.5</v>
      </c>
      <c r="G1552" s="30">
        <v>2.5</v>
      </c>
      <c r="H1552" s="30">
        <f>IF(G1552&gt;0,(G1552*1.5)+F1552,"YOK")</f>
        <v>11.25</v>
      </c>
      <c r="I1552" s="48" t="s">
        <v>593</v>
      </c>
      <c r="J1552" s="31"/>
      <c r="K1552" s="32">
        <v>1</v>
      </c>
      <c r="L1552" s="32"/>
      <c r="M1552" s="33"/>
      <c r="N1552"/>
      <c r="O1552" s="21"/>
      <c r="P1552" s="21"/>
    </row>
    <row r="1553" spans="1:17" s="52" customFormat="1" ht="39.950000000000003" customHeight="1">
      <c r="A1553" s="9">
        <v>133</v>
      </c>
      <c r="B1553" s="207">
        <v>6057</v>
      </c>
      <c r="C1553" s="50" t="s">
        <v>1737</v>
      </c>
      <c r="D1553" s="50" t="s">
        <v>1738</v>
      </c>
      <c r="E1553" s="51" t="s">
        <v>511</v>
      </c>
      <c r="F1553" s="30">
        <v>7.5</v>
      </c>
      <c r="G1553" s="30">
        <v>2.5</v>
      </c>
      <c r="H1553" s="30">
        <f t="shared" ref="H1553" si="651">IF(G1553&gt;0,(G1553*1.5)+F1553,"YOK")</f>
        <v>11.25</v>
      </c>
      <c r="I1553" s="48" t="s">
        <v>593</v>
      </c>
      <c r="J1553" s="31"/>
      <c r="K1553" s="32">
        <v>1</v>
      </c>
      <c r="L1553" s="32"/>
      <c r="M1553" s="33"/>
      <c r="N1553"/>
      <c r="O1553" s="21"/>
      <c r="P1553" s="21"/>
    </row>
    <row r="1554" spans="1:17" s="52" customFormat="1" ht="39.950000000000003" customHeight="1">
      <c r="A1554" s="9">
        <v>134</v>
      </c>
      <c r="B1554" s="207">
        <v>6058</v>
      </c>
      <c r="C1554" s="50" t="s">
        <v>1739</v>
      </c>
      <c r="D1554" s="50" t="s">
        <v>1740</v>
      </c>
      <c r="E1554" s="51" t="s">
        <v>511</v>
      </c>
      <c r="F1554" s="30">
        <v>7.5</v>
      </c>
      <c r="G1554" s="30">
        <v>2.5</v>
      </c>
      <c r="H1554" s="30">
        <f t="shared" ref="H1554" si="652">IF(G1554&gt;0,(G1554*1.5)+F1554,"YOK")</f>
        <v>11.25</v>
      </c>
      <c r="I1554" s="48" t="s">
        <v>593</v>
      </c>
      <c r="J1554" s="31"/>
      <c r="K1554" s="32">
        <v>1</v>
      </c>
      <c r="L1554" s="32"/>
      <c r="M1554" s="33"/>
      <c r="N1554" s="33"/>
      <c r="O1554" s="21"/>
      <c r="P1554" s="21"/>
    </row>
    <row r="1555" spans="1:17" s="52" customFormat="1" ht="39.950000000000003" customHeight="1">
      <c r="A1555" s="9">
        <v>135</v>
      </c>
      <c r="B1555" s="207">
        <v>6369</v>
      </c>
      <c r="C1555" s="50" t="s">
        <v>2446</v>
      </c>
      <c r="D1555" s="50" t="s">
        <v>2447</v>
      </c>
      <c r="E1555" s="51" t="s">
        <v>511</v>
      </c>
      <c r="F1555" s="30">
        <v>7.5</v>
      </c>
      <c r="G1555" s="30">
        <v>2.5</v>
      </c>
      <c r="H1555" s="30">
        <f t="shared" ref="H1555" si="653">IF(G1555&gt;0,(G1555*1.5)+F1555,"YOK")</f>
        <v>11.25</v>
      </c>
      <c r="I1555" s="48" t="s">
        <v>593</v>
      </c>
      <c r="J1555" s="31"/>
      <c r="K1555" s="32">
        <v>1</v>
      </c>
      <c r="L1555" s="32"/>
      <c r="M1555" s="33"/>
      <c r="N1555" s="33"/>
      <c r="O1555" s="21"/>
      <c r="P1555" s="21"/>
    </row>
    <row r="1556" spans="1:17" s="52" customFormat="1" ht="39.950000000000003" customHeight="1">
      <c r="A1556" s="9">
        <v>136</v>
      </c>
      <c r="B1556" s="207">
        <v>6587</v>
      </c>
      <c r="C1556" s="185" t="s">
        <v>1983</v>
      </c>
      <c r="D1556" s="50" t="s">
        <v>2816</v>
      </c>
      <c r="E1556" s="51" t="s">
        <v>511</v>
      </c>
      <c r="F1556" s="30">
        <v>7.5</v>
      </c>
      <c r="G1556" s="30">
        <v>2.5</v>
      </c>
      <c r="H1556" s="30">
        <f t="shared" ref="H1556:H1557" si="654">IF(G1556&gt;0,(G1556*1.5)+F1556,"YOK")</f>
        <v>11.25</v>
      </c>
      <c r="I1556" s="48" t="s">
        <v>593</v>
      </c>
      <c r="J1556" s="31"/>
      <c r="K1556" s="32">
        <v>1</v>
      </c>
      <c r="L1556" s="32"/>
      <c r="M1556" s="33"/>
      <c r="N1556" s="33"/>
      <c r="O1556" s="21"/>
      <c r="P1556" s="21"/>
    </row>
    <row r="1557" spans="1:17" s="52" customFormat="1" ht="39.950000000000003" customHeight="1">
      <c r="A1557" s="9">
        <v>137</v>
      </c>
      <c r="B1557" s="207">
        <v>6589</v>
      </c>
      <c r="C1557" s="50" t="s">
        <v>1984</v>
      </c>
      <c r="D1557" s="50" t="s">
        <v>2817</v>
      </c>
      <c r="E1557" s="51" t="s">
        <v>511</v>
      </c>
      <c r="F1557" s="30">
        <v>0</v>
      </c>
      <c r="G1557" s="30">
        <v>0</v>
      </c>
      <c r="H1557" s="30" t="str">
        <f t="shared" si="654"/>
        <v>YOK</v>
      </c>
      <c r="I1557" s="48" t="s">
        <v>1185</v>
      </c>
      <c r="J1557" s="31">
        <v>1</v>
      </c>
      <c r="K1557" s="32">
        <v>0</v>
      </c>
      <c r="L1557" s="32"/>
      <c r="M1557" s="33"/>
      <c r="N1557" s="33"/>
      <c r="O1557" s="21"/>
      <c r="P1557" s="21"/>
    </row>
    <row r="1558" spans="1:17" s="52" customFormat="1" ht="39.950000000000003" customHeight="1">
      <c r="A1558" s="9">
        <v>138</v>
      </c>
      <c r="B1558" s="207">
        <v>6592</v>
      </c>
      <c r="C1558" s="50" t="s">
        <v>1985</v>
      </c>
      <c r="D1558" s="50" t="s">
        <v>2818</v>
      </c>
      <c r="E1558" s="51" t="s">
        <v>511</v>
      </c>
      <c r="F1558" s="30">
        <v>7.5</v>
      </c>
      <c r="G1558" s="30">
        <v>2.5</v>
      </c>
      <c r="H1558" s="30">
        <f t="shared" ref="H1558" si="655">IF(G1558&gt;0,(G1558*1.5)+F1558,"YOK")</f>
        <v>11.25</v>
      </c>
      <c r="I1558" s="48" t="s">
        <v>593</v>
      </c>
      <c r="J1558" s="31"/>
      <c r="K1558" s="32">
        <v>1</v>
      </c>
      <c r="L1558" s="32"/>
      <c r="M1558" s="33"/>
      <c r="N1558" s="33"/>
      <c r="O1558" s="21"/>
      <c r="P1558" s="21"/>
    </row>
    <row r="1559" spans="1:17" s="52" customFormat="1" ht="39.950000000000003" customHeight="1">
      <c r="A1559" s="9">
        <v>139</v>
      </c>
      <c r="B1559" s="207">
        <v>6590</v>
      </c>
      <c r="C1559" s="50" t="s">
        <v>894</v>
      </c>
      <c r="D1559" s="50" t="s">
        <v>2819</v>
      </c>
      <c r="E1559" s="51" t="s">
        <v>511</v>
      </c>
      <c r="F1559" s="30">
        <v>0</v>
      </c>
      <c r="G1559" s="30">
        <v>0</v>
      </c>
      <c r="H1559" s="30" t="str">
        <f t="shared" ref="H1559" si="656">IF(G1559&gt;0,(G1559*1.5)+F1559,"YOK")</f>
        <v>YOK</v>
      </c>
      <c r="I1559" s="48" t="s">
        <v>1185</v>
      </c>
      <c r="J1559" s="31">
        <v>1</v>
      </c>
      <c r="K1559" s="32">
        <v>0</v>
      </c>
      <c r="L1559" s="32"/>
      <c r="M1559" s="33"/>
      <c r="N1559"/>
      <c r="O1559" s="21"/>
      <c r="P1559" s="21"/>
    </row>
    <row r="1560" spans="1:17" s="52" customFormat="1" ht="39.950000000000003" customHeight="1">
      <c r="A1560" s="9">
        <v>140</v>
      </c>
      <c r="B1560" s="207">
        <v>6213</v>
      </c>
      <c r="C1560" s="50" t="s">
        <v>2106</v>
      </c>
      <c r="D1560" s="50" t="s">
        <v>2114</v>
      </c>
      <c r="E1560" s="51" t="s">
        <v>511</v>
      </c>
      <c r="F1560" s="30">
        <v>0</v>
      </c>
      <c r="G1560" s="30">
        <v>0</v>
      </c>
      <c r="H1560" s="30" t="str">
        <f t="shared" ref="H1560" si="657">IF(G1560&gt;0,(G1560*1.5)+F1560,"YOK")</f>
        <v>YOK</v>
      </c>
      <c r="I1560" s="48" t="s">
        <v>1185</v>
      </c>
      <c r="J1560" s="31">
        <v>1</v>
      </c>
      <c r="K1560" s="32">
        <v>0</v>
      </c>
      <c r="L1560" s="32"/>
      <c r="M1560" s="33"/>
      <c r="N1560"/>
      <c r="O1560" s="21"/>
      <c r="P1560" s="21"/>
    </row>
    <row r="1561" spans="1:17" s="52" customFormat="1" ht="39.950000000000003" customHeight="1">
      <c r="A1561" s="9">
        <v>141</v>
      </c>
      <c r="B1561" s="207">
        <v>6266</v>
      </c>
      <c r="C1561" s="50" t="s">
        <v>2218</v>
      </c>
      <c r="D1561" s="50" t="s">
        <v>2219</v>
      </c>
      <c r="E1561" s="51" t="s">
        <v>511</v>
      </c>
      <c r="F1561" s="30">
        <v>7.5</v>
      </c>
      <c r="G1561" s="30">
        <v>2.5</v>
      </c>
      <c r="H1561" s="30">
        <f>IF(G1561&gt;0,(G1561*1.5)+F1561,"YOK")</f>
        <v>11.25</v>
      </c>
      <c r="I1561" s="48" t="s">
        <v>593</v>
      </c>
      <c r="J1561" s="31"/>
      <c r="K1561" s="32">
        <v>1</v>
      </c>
      <c r="L1561" s="32"/>
      <c r="M1561" s="33"/>
      <c r="N1561"/>
      <c r="O1561" s="21"/>
      <c r="P1561" s="21"/>
    </row>
    <row r="1562" spans="1:17" s="52" customFormat="1" ht="39.950000000000003" customHeight="1">
      <c r="A1562" s="9">
        <v>142</v>
      </c>
      <c r="B1562" s="222">
        <v>6267</v>
      </c>
      <c r="C1562" s="50" t="s">
        <v>2220</v>
      </c>
      <c r="D1562" s="50" t="s">
        <v>2221</v>
      </c>
      <c r="E1562" s="51" t="s">
        <v>511</v>
      </c>
      <c r="F1562" s="30">
        <v>7.5</v>
      </c>
      <c r="G1562" s="30">
        <v>2.5</v>
      </c>
      <c r="H1562" s="30">
        <f>IF(G1562&gt;0,(G1562*1.5)+F1562,"YOK")</f>
        <v>11.25</v>
      </c>
      <c r="I1562" s="48" t="s">
        <v>593</v>
      </c>
      <c r="J1562" s="31"/>
      <c r="K1562" s="32">
        <v>1</v>
      </c>
      <c r="L1562" s="32"/>
      <c r="M1562" s="33"/>
      <c r="N1562"/>
      <c r="O1562" s="21"/>
      <c r="P1562" s="21"/>
    </row>
    <row r="1563" spans="1:17" s="52" customFormat="1" ht="39.950000000000003" customHeight="1">
      <c r="A1563" s="9">
        <v>143</v>
      </c>
      <c r="B1563" s="207">
        <v>6214</v>
      </c>
      <c r="C1563" s="50" t="s">
        <v>2107</v>
      </c>
      <c r="D1563" s="50" t="s">
        <v>2115</v>
      </c>
      <c r="E1563" s="51" t="s">
        <v>511</v>
      </c>
      <c r="F1563" s="30">
        <v>7.5</v>
      </c>
      <c r="G1563" s="30">
        <v>2.5</v>
      </c>
      <c r="H1563" s="30">
        <f t="shared" ref="H1563:H1564" si="658">IF(G1563&gt;0,(G1563*1.5)+F1563,"YOK")</f>
        <v>11.25</v>
      </c>
      <c r="I1563" s="48" t="s">
        <v>593</v>
      </c>
      <c r="J1563" s="31"/>
      <c r="K1563" s="32">
        <v>1</v>
      </c>
      <c r="L1563" s="32"/>
      <c r="M1563" s="33"/>
      <c r="N1563"/>
      <c r="O1563" s="21"/>
      <c r="P1563" s="21"/>
    </row>
    <row r="1564" spans="1:17" s="52" customFormat="1" ht="39.950000000000003" customHeight="1">
      <c r="A1564" s="9">
        <v>144</v>
      </c>
      <c r="B1564" s="207">
        <v>5966</v>
      </c>
      <c r="C1564" s="50" t="s">
        <v>1567</v>
      </c>
      <c r="D1564" s="50" t="s">
        <v>1568</v>
      </c>
      <c r="E1564" s="51" t="s">
        <v>511</v>
      </c>
      <c r="F1564" s="30">
        <v>7.5</v>
      </c>
      <c r="G1564" s="30">
        <v>2.5</v>
      </c>
      <c r="H1564" s="30">
        <f t="shared" si="658"/>
        <v>11.25</v>
      </c>
      <c r="I1564" s="48" t="s">
        <v>593</v>
      </c>
      <c r="J1564" s="31"/>
      <c r="K1564" s="32">
        <v>1</v>
      </c>
      <c r="L1564" s="32"/>
      <c r="M1564" s="33"/>
      <c r="N1564"/>
      <c r="O1564" s="21"/>
      <c r="P1564" s="21"/>
    </row>
    <row r="1565" spans="1:17" s="52" customFormat="1" ht="39.950000000000003" customHeight="1">
      <c r="A1565" s="9">
        <v>145</v>
      </c>
      <c r="B1565" s="207">
        <v>5995</v>
      </c>
      <c r="C1565" s="50" t="s">
        <v>1628</v>
      </c>
      <c r="D1565" s="50" t="s">
        <v>1629</v>
      </c>
      <c r="E1565" s="51" t="s">
        <v>511</v>
      </c>
      <c r="F1565" s="30">
        <v>7.5</v>
      </c>
      <c r="G1565" s="30">
        <v>2.5</v>
      </c>
      <c r="H1565" s="30">
        <f t="shared" ref="H1565" si="659">IF(G1565&gt;0,(G1565*1.5)+F1565,"YOK")</f>
        <v>11.25</v>
      </c>
      <c r="I1565" s="48" t="s">
        <v>593</v>
      </c>
      <c r="J1565" s="31"/>
      <c r="K1565" s="32">
        <v>1</v>
      </c>
      <c r="L1565" s="32"/>
      <c r="M1565" s="33"/>
      <c r="N1565" s="33"/>
      <c r="O1565" s="21"/>
      <c r="P1565" s="21"/>
      <c r="Q1565" s="21"/>
    </row>
    <row r="1566" spans="1:17" s="52" customFormat="1" ht="39.950000000000003" customHeight="1">
      <c r="A1566" s="9">
        <v>146</v>
      </c>
      <c r="B1566" s="207">
        <v>6017</v>
      </c>
      <c r="C1566" s="50" t="s">
        <v>1630</v>
      </c>
      <c r="D1566" s="50" t="s">
        <v>1631</v>
      </c>
      <c r="E1566" s="51" t="s">
        <v>511</v>
      </c>
      <c r="F1566" s="30">
        <v>7.5</v>
      </c>
      <c r="G1566" s="30">
        <v>2.5</v>
      </c>
      <c r="H1566" s="30">
        <f t="shared" ref="H1566" si="660">IF(G1566&gt;0,(G1566*1.5)+F1566,"YOK")</f>
        <v>11.25</v>
      </c>
      <c r="I1566" s="48" t="s">
        <v>593</v>
      </c>
      <c r="J1566" s="31"/>
      <c r="K1566" s="32">
        <v>1</v>
      </c>
      <c r="L1566" s="32"/>
      <c r="M1566" s="33"/>
      <c r="N1566"/>
      <c r="O1566" s="21"/>
      <c r="P1566" s="21"/>
      <c r="Q1566" s="21"/>
    </row>
    <row r="1567" spans="1:17" s="52" customFormat="1" ht="39.950000000000003" customHeight="1">
      <c r="A1567" s="9">
        <v>147</v>
      </c>
      <c r="B1567" s="207">
        <v>6070</v>
      </c>
      <c r="C1567" s="50" t="s">
        <v>1758</v>
      </c>
      <c r="D1567" s="50" t="s">
        <v>1759</v>
      </c>
      <c r="E1567" s="51" t="s">
        <v>511</v>
      </c>
      <c r="F1567" s="30">
        <v>0</v>
      </c>
      <c r="G1567" s="30">
        <v>0</v>
      </c>
      <c r="H1567" s="30" t="str">
        <f t="shared" ref="H1567" si="661">IF(G1567&gt;0,(G1567*1.5)+F1567,"YOK")</f>
        <v>YOK</v>
      </c>
      <c r="I1567" s="48" t="s">
        <v>1185</v>
      </c>
      <c r="J1567" s="31">
        <v>1</v>
      </c>
      <c r="K1567" s="32">
        <v>0</v>
      </c>
      <c r="L1567" s="32"/>
      <c r="M1567" s="33"/>
      <c r="N1567"/>
      <c r="O1567" s="21"/>
      <c r="P1567" s="21"/>
      <c r="Q1567" s="21"/>
    </row>
    <row r="1568" spans="1:17" s="52" customFormat="1" ht="39.950000000000003" customHeight="1">
      <c r="A1568" s="9">
        <v>148</v>
      </c>
      <c r="B1568" s="207">
        <v>6130</v>
      </c>
      <c r="C1568" s="50" t="s">
        <v>1878</v>
      </c>
      <c r="D1568" s="50" t="s">
        <v>1877</v>
      </c>
      <c r="E1568" s="51" t="s">
        <v>511</v>
      </c>
      <c r="F1568" s="30">
        <v>7.5</v>
      </c>
      <c r="G1568" s="30">
        <v>2.5</v>
      </c>
      <c r="H1568" s="30">
        <f t="shared" ref="H1568" si="662">IF(G1568&gt;0,(G1568*1.5)+F1568,"YOK")</f>
        <v>11.25</v>
      </c>
      <c r="I1568" s="48" t="s">
        <v>593</v>
      </c>
      <c r="J1568" s="31"/>
      <c r="K1568" s="32">
        <v>1</v>
      </c>
      <c r="L1568" s="32"/>
      <c r="M1568" s="33"/>
      <c r="N1568"/>
      <c r="O1568" s="21"/>
      <c r="P1568" s="21"/>
    </row>
    <row r="1569" spans="1:16" s="52" customFormat="1" ht="39.950000000000003" customHeight="1">
      <c r="A1569" s="9">
        <v>149</v>
      </c>
      <c r="B1569" s="207">
        <v>6171</v>
      </c>
      <c r="C1569" s="50" t="s">
        <v>2027</v>
      </c>
      <c r="D1569" s="50" t="s">
        <v>2028</v>
      </c>
      <c r="E1569" s="51" t="s">
        <v>511</v>
      </c>
      <c r="F1569" s="30">
        <v>7.5</v>
      </c>
      <c r="G1569" s="30">
        <v>0</v>
      </c>
      <c r="H1569" s="30">
        <v>7.5</v>
      </c>
      <c r="I1569" s="16" t="s">
        <v>3670</v>
      </c>
      <c r="J1569" s="31">
        <v>1</v>
      </c>
      <c r="K1569" s="32">
        <v>0</v>
      </c>
      <c r="L1569" s="32"/>
      <c r="M1569" s="33"/>
      <c r="N1569"/>
      <c r="O1569" s="21"/>
      <c r="P1569" s="21"/>
    </row>
    <row r="1570" spans="1:16" s="52" customFormat="1" ht="39.950000000000003" customHeight="1">
      <c r="A1570" s="9">
        <v>150</v>
      </c>
      <c r="B1570" s="207">
        <v>6327</v>
      </c>
      <c r="C1570" s="185" t="s">
        <v>2348</v>
      </c>
      <c r="D1570" s="50" t="s">
        <v>2349</v>
      </c>
      <c r="E1570" s="51" t="s">
        <v>511</v>
      </c>
      <c r="F1570" s="30">
        <v>7.5</v>
      </c>
      <c r="G1570" s="30">
        <v>2.5</v>
      </c>
      <c r="H1570" s="30">
        <f t="shared" ref="H1570" si="663">IF(G1570&gt;0,(G1570*1.5)+F1570,"YOK")</f>
        <v>11.25</v>
      </c>
      <c r="I1570" s="48" t="s">
        <v>593</v>
      </c>
      <c r="J1570" s="31"/>
      <c r="K1570" s="32">
        <v>1</v>
      </c>
      <c r="L1570" s="32"/>
      <c r="M1570" s="33"/>
      <c r="N1570"/>
      <c r="O1570" s="21"/>
      <c r="P1570" s="21"/>
    </row>
    <row r="1571" spans="1:16" s="52" customFormat="1" ht="39.950000000000003" customHeight="1">
      <c r="A1571" s="9">
        <v>151</v>
      </c>
      <c r="B1571" s="207">
        <v>6623</v>
      </c>
      <c r="C1571" s="185" t="s">
        <v>2811</v>
      </c>
      <c r="D1571" s="50" t="s">
        <v>2820</v>
      </c>
      <c r="E1571" s="51" t="s">
        <v>511</v>
      </c>
      <c r="F1571" s="30">
        <v>7.5</v>
      </c>
      <c r="G1571" s="30">
        <v>2.5</v>
      </c>
      <c r="H1571" s="30">
        <f t="shared" ref="H1571:H1573" si="664">IF(G1571&gt;0,(G1571*1.5)+F1571,"YOK")</f>
        <v>11.25</v>
      </c>
      <c r="I1571" s="48" t="s">
        <v>593</v>
      </c>
      <c r="J1571" s="31"/>
      <c r="K1571" s="32">
        <v>1</v>
      </c>
      <c r="L1571" s="32"/>
      <c r="M1571" s="33"/>
      <c r="N1571"/>
      <c r="O1571" s="21"/>
      <c r="P1571" s="21"/>
    </row>
    <row r="1572" spans="1:16" s="52" customFormat="1" ht="39.950000000000003" customHeight="1">
      <c r="A1572" s="9">
        <v>152</v>
      </c>
      <c r="B1572" s="207">
        <v>6586</v>
      </c>
      <c r="C1572" s="185" t="s">
        <v>2813</v>
      </c>
      <c r="D1572" s="50" t="s">
        <v>2822</v>
      </c>
      <c r="E1572" s="51" t="s">
        <v>511</v>
      </c>
      <c r="F1572" s="30">
        <v>7.5</v>
      </c>
      <c r="G1572" s="30">
        <v>2.5</v>
      </c>
      <c r="H1572" s="30">
        <f t="shared" si="664"/>
        <v>11.25</v>
      </c>
      <c r="I1572" s="48" t="s">
        <v>593</v>
      </c>
      <c r="J1572" s="31"/>
      <c r="K1572" s="32">
        <v>1</v>
      </c>
      <c r="L1572" s="32"/>
      <c r="M1572" s="33"/>
      <c r="N1572"/>
      <c r="O1572" s="21"/>
      <c r="P1572" s="21"/>
    </row>
    <row r="1573" spans="1:16" s="52" customFormat="1" ht="39.950000000000003" customHeight="1">
      <c r="A1573" s="9">
        <v>153</v>
      </c>
      <c r="B1573" s="207">
        <v>6588</v>
      </c>
      <c r="C1573" s="185" t="s">
        <v>2814</v>
      </c>
      <c r="D1573" s="50" t="s">
        <v>2823</v>
      </c>
      <c r="E1573" s="51" t="s">
        <v>511</v>
      </c>
      <c r="F1573" s="30">
        <v>7.5</v>
      </c>
      <c r="G1573" s="30">
        <v>2.5</v>
      </c>
      <c r="H1573" s="30">
        <f t="shared" si="664"/>
        <v>11.25</v>
      </c>
      <c r="I1573" s="48" t="s">
        <v>593</v>
      </c>
      <c r="J1573" s="31"/>
      <c r="K1573" s="32">
        <v>1</v>
      </c>
      <c r="L1573" s="32"/>
      <c r="M1573" s="33"/>
      <c r="N1573"/>
      <c r="O1573" s="21"/>
      <c r="P1573" s="21"/>
    </row>
    <row r="1574" spans="1:16" s="52" customFormat="1" ht="39.950000000000003" customHeight="1">
      <c r="A1574" s="9">
        <v>154</v>
      </c>
      <c r="B1574" s="222">
        <v>6667</v>
      </c>
      <c r="C1574" s="185" t="s">
        <v>2994</v>
      </c>
      <c r="D1574" s="50" t="s">
        <v>2995</v>
      </c>
      <c r="E1574" s="51" t="s">
        <v>511</v>
      </c>
      <c r="F1574" s="30">
        <v>7.5</v>
      </c>
      <c r="G1574" s="30">
        <v>2.5</v>
      </c>
      <c r="H1574" s="30">
        <f t="shared" ref="H1574" si="665">IF(G1574&gt;0,(G1574*1.5)+F1574,"YOK")</f>
        <v>11.25</v>
      </c>
      <c r="I1574" s="48" t="s">
        <v>593</v>
      </c>
      <c r="J1574" s="31"/>
      <c r="K1574" s="32">
        <v>1</v>
      </c>
      <c r="L1574" s="32"/>
      <c r="M1574" s="33"/>
      <c r="N1574"/>
      <c r="O1574" s="21"/>
      <c r="P1574" s="21"/>
    </row>
    <row r="1575" spans="1:16" s="52" customFormat="1" ht="39.950000000000003" customHeight="1">
      <c r="A1575" s="9">
        <v>155</v>
      </c>
      <c r="B1575" s="207">
        <v>6706</v>
      </c>
      <c r="C1575" s="50" t="s">
        <v>590</v>
      </c>
      <c r="D1575" s="50" t="s">
        <v>591</v>
      </c>
      <c r="E1575" s="51" t="s">
        <v>511</v>
      </c>
      <c r="F1575" s="30">
        <v>7.5</v>
      </c>
      <c r="G1575" s="30">
        <v>2.5</v>
      </c>
      <c r="H1575" s="30">
        <f t="shared" ref="H1575" si="666">IF(G1575&gt;0,(G1575*1.5)+F1575,"YOK")</f>
        <v>11.25</v>
      </c>
      <c r="I1575" s="48" t="s">
        <v>593</v>
      </c>
      <c r="J1575" s="31"/>
      <c r="K1575" s="32">
        <v>1</v>
      </c>
      <c r="L1575" s="32"/>
      <c r="M1575" s="33"/>
      <c r="N1575"/>
      <c r="O1575" s="21"/>
      <c r="P1575" s="21"/>
    </row>
    <row r="1576" spans="1:16" s="52" customFormat="1" ht="39.950000000000003" customHeight="1">
      <c r="A1576" s="9">
        <v>156</v>
      </c>
      <c r="B1576" s="207">
        <v>6707</v>
      </c>
      <c r="C1576" s="185" t="s">
        <v>3209</v>
      </c>
      <c r="D1576" s="50" t="s">
        <v>3210</v>
      </c>
      <c r="E1576" s="51" t="s">
        <v>511</v>
      </c>
      <c r="F1576" s="30">
        <v>7.5</v>
      </c>
      <c r="G1576" s="30">
        <v>2.5</v>
      </c>
      <c r="H1576" s="30">
        <f t="shared" ref="H1576" si="667">IF(G1576&gt;0,(G1576*1.5)+F1576,"YOK")</f>
        <v>11.25</v>
      </c>
      <c r="I1576" s="48" t="s">
        <v>593</v>
      </c>
      <c r="J1576" s="31"/>
      <c r="K1576" s="32">
        <v>1</v>
      </c>
      <c r="L1576" s="32"/>
      <c r="M1576" s="33"/>
      <c r="N1576"/>
      <c r="O1576" s="21"/>
      <c r="P1576" s="21"/>
    </row>
    <row r="1577" spans="1:16" s="52" customFormat="1" ht="39.950000000000003" customHeight="1">
      <c r="A1577" s="9">
        <v>157</v>
      </c>
      <c r="B1577" s="207">
        <v>6822</v>
      </c>
      <c r="C1577" s="185" t="s">
        <v>3635</v>
      </c>
      <c r="D1577" s="50" t="s">
        <v>3636</v>
      </c>
      <c r="E1577" s="51" t="s">
        <v>511</v>
      </c>
      <c r="F1577" s="30">
        <v>7.5</v>
      </c>
      <c r="G1577" s="30">
        <v>2.5</v>
      </c>
      <c r="H1577" s="30">
        <f t="shared" ref="H1577" si="668">IF(G1577&gt;0,(G1577*1.5)+F1577,"YOK")</f>
        <v>11.25</v>
      </c>
      <c r="I1577" s="48" t="s">
        <v>593</v>
      </c>
      <c r="J1577" s="31"/>
      <c r="K1577" s="32">
        <v>1</v>
      </c>
      <c r="L1577" s="32"/>
      <c r="M1577" s="33"/>
      <c r="N1577"/>
      <c r="O1577" s="21"/>
      <c r="P1577" s="21"/>
    </row>
    <row r="1578" spans="1:16" s="52" customFormat="1" ht="39.950000000000003" customHeight="1">
      <c r="A1578" s="9">
        <v>158</v>
      </c>
      <c r="B1578" s="207">
        <v>4330</v>
      </c>
      <c r="C1578" s="50" t="s">
        <v>938</v>
      </c>
      <c r="D1578" s="50" t="s">
        <v>939</v>
      </c>
      <c r="E1578" s="51" t="s">
        <v>511</v>
      </c>
      <c r="F1578" s="30">
        <v>7.5</v>
      </c>
      <c r="G1578" s="30">
        <v>2.5</v>
      </c>
      <c r="H1578" s="30">
        <f t="shared" ref="H1578" si="669">IF(G1578&gt;0,(G1578*1.5)+F1578,"YOK")</f>
        <v>11.25</v>
      </c>
      <c r="I1578" s="48" t="s">
        <v>593</v>
      </c>
      <c r="J1578" s="31"/>
      <c r="K1578" s="32">
        <v>1</v>
      </c>
      <c r="L1578" s="32"/>
      <c r="M1578" s="33"/>
      <c r="N1578"/>
      <c r="O1578" s="21"/>
      <c r="P1578" s="21"/>
    </row>
    <row r="1579" spans="1:16" s="52" customFormat="1" ht="39.950000000000003" customHeight="1">
      <c r="A1579" s="9">
        <v>159</v>
      </c>
      <c r="B1579" s="207">
        <v>4429</v>
      </c>
      <c r="C1579" s="50" t="s">
        <v>612</v>
      </c>
      <c r="D1579" s="50" t="s">
        <v>613</v>
      </c>
      <c r="E1579" s="51" t="s">
        <v>511</v>
      </c>
      <c r="F1579" s="30">
        <v>7.5</v>
      </c>
      <c r="G1579" s="30">
        <v>2.5</v>
      </c>
      <c r="H1579" s="30">
        <f t="shared" ref="H1579" si="670">IF(G1579&gt;0,(G1579*1.5)+F1579,"YOK")</f>
        <v>11.25</v>
      </c>
      <c r="I1579" s="48" t="s">
        <v>593</v>
      </c>
      <c r="J1579" s="31"/>
      <c r="K1579" s="32">
        <v>1</v>
      </c>
      <c r="L1579" s="32"/>
      <c r="M1579" s="33"/>
      <c r="N1579"/>
      <c r="O1579" s="21"/>
      <c r="P1579" s="21"/>
    </row>
    <row r="1580" spans="1:16" s="52" customFormat="1" ht="39.950000000000003" customHeight="1">
      <c r="A1580" s="9">
        <v>160</v>
      </c>
      <c r="B1580" s="207">
        <v>4438</v>
      </c>
      <c r="C1580" s="50" t="s">
        <v>614</v>
      </c>
      <c r="D1580" s="50" t="s">
        <v>615</v>
      </c>
      <c r="E1580" s="51" t="s">
        <v>511</v>
      </c>
      <c r="F1580" s="30">
        <v>7.5</v>
      </c>
      <c r="G1580" s="30">
        <v>2.5</v>
      </c>
      <c r="H1580" s="30">
        <f t="shared" ref="H1580" si="671">IF(G1580&gt;0,(G1580*1.5)+F1580,"YOK")</f>
        <v>11.25</v>
      </c>
      <c r="I1580" s="48" t="s">
        <v>593</v>
      </c>
      <c r="J1580" s="31"/>
      <c r="K1580" s="32">
        <v>1</v>
      </c>
      <c r="L1580" s="32"/>
      <c r="M1580" s="33"/>
      <c r="N1580"/>
      <c r="O1580" s="21"/>
      <c r="P1580" s="21"/>
    </row>
    <row r="1581" spans="1:16" s="52" customFormat="1" ht="39.950000000000003" customHeight="1">
      <c r="A1581" s="9">
        <v>161</v>
      </c>
      <c r="B1581" s="222">
        <v>4648</v>
      </c>
      <c r="C1581" s="50" t="s">
        <v>618</v>
      </c>
      <c r="D1581" s="50" t="s">
        <v>619</v>
      </c>
      <c r="E1581" s="51" t="s">
        <v>511</v>
      </c>
      <c r="F1581" s="30">
        <v>7.5</v>
      </c>
      <c r="G1581" s="30">
        <v>2.5</v>
      </c>
      <c r="H1581" s="30">
        <f t="shared" ref="H1581" si="672">IF(G1581&gt;0,(G1581*1.5)+F1581,"YOK")</f>
        <v>11.25</v>
      </c>
      <c r="I1581" s="48" t="s">
        <v>593</v>
      </c>
      <c r="J1581" s="31"/>
      <c r="K1581" s="32">
        <v>1</v>
      </c>
      <c r="L1581" s="32"/>
      <c r="M1581" s="33"/>
      <c r="N1581"/>
      <c r="O1581" s="21"/>
      <c r="P1581" s="21"/>
    </row>
    <row r="1582" spans="1:16" s="52" customFormat="1" ht="39.950000000000003" customHeight="1">
      <c r="A1582" s="9">
        <v>162</v>
      </c>
      <c r="B1582" s="222">
        <v>5511</v>
      </c>
      <c r="C1582" s="50" t="s">
        <v>875</v>
      </c>
      <c r="D1582" s="50" t="s">
        <v>876</v>
      </c>
      <c r="E1582" s="51" t="s">
        <v>511</v>
      </c>
      <c r="F1582" s="30">
        <v>0</v>
      </c>
      <c r="G1582" s="30">
        <v>0</v>
      </c>
      <c r="H1582" s="30" t="str">
        <f t="shared" ref="H1582" si="673">IF(G1582&gt;0,(G1582*1.5)+F1582,"YOK")</f>
        <v>YOK</v>
      </c>
      <c r="I1582" s="48" t="s">
        <v>1185</v>
      </c>
      <c r="J1582" s="31">
        <v>1</v>
      </c>
      <c r="K1582" s="32">
        <v>0</v>
      </c>
      <c r="L1582" s="32"/>
      <c r="M1582" s="33"/>
      <c r="N1582"/>
      <c r="O1582" s="21"/>
      <c r="P1582" s="21"/>
    </row>
    <row r="1583" spans="1:16" s="52" customFormat="1" ht="39.950000000000003" customHeight="1">
      <c r="A1583" s="9">
        <v>163</v>
      </c>
      <c r="B1583" s="222">
        <v>5687</v>
      </c>
      <c r="C1583" s="50" t="s">
        <v>1135</v>
      </c>
      <c r="D1583" s="50" t="s">
        <v>1137</v>
      </c>
      <c r="E1583" s="51" t="s">
        <v>511</v>
      </c>
      <c r="F1583" s="30">
        <v>7.5</v>
      </c>
      <c r="G1583" s="30">
        <v>2.5</v>
      </c>
      <c r="H1583" s="30">
        <f t="shared" ref="H1583" si="674">IF(G1583&gt;0,(G1583*1.5)+F1583,"YOK")</f>
        <v>11.25</v>
      </c>
      <c r="I1583" s="48" t="s">
        <v>593</v>
      </c>
      <c r="J1583" s="31"/>
      <c r="K1583" s="32">
        <v>1</v>
      </c>
      <c r="L1583" s="32"/>
      <c r="M1583" s="33"/>
      <c r="N1583"/>
      <c r="O1583" s="21"/>
      <c r="P1583" s="21"/>
    </row>
    <row r="1584" spans="1:16" s="52" customFormat="1" ht="39.950000000000003" customHeight="1">
      <c r="A1584" s="9">
        <v>164</v>
      </c>
      <c r="B1584" s="222">
        <v>4510</v>
      </c>
      <c r="C1584" s="50" t="s">
        <v>608</v>
      </c>
      <c r="D1584" s="50" t="s">
        <v>609</v>
      </c>
      <c r="E1584" s="51" t="s">
        <v>511</v>
      </c>
      <c r="F1584" s="30">
        <v>7.5</v>
      </c>
      <c r="G1584" s="30">
        <v>2.5</v>
      </c>
      <c r="H1584" s="30">
        <f t="shared" ref="H1584" si="675">IF(G1584&gt;0,(G1584*1.5)+F1584,"YOK")</f>
        <v>11.25</v>
      </c>
      <c r="I1584" s="48" t="s">
        <v>593</v>
      </c>
      <c r="J1584" s="31"/>
      <c r="K1584" s="32">
        <v>1</v>
      </c>
      <c r="L1584" s="32"/>
      <c r="M1584" s="33"/>
      <c r="N1584"/>
      <c r="O1584" s="21"/>
      <c r="P1584" s="21"/>
    </row>
    <row r="1585" spans="1:16" s="52" customFormat="1" ht="39.950000000000003" customHeight="1">
      <c r="A1585" s="9">
        <v>165</v>
      </c>
      <c r="B1585" s="222">
        <v>5822</v>
      </c>
      <c r="C1585" s="50" t="s">
        <v>1277</v>
      </c>
      <c r="D1585" s="50" t="s">
        <v>1278</v>
      </c>
      <c r="E1585" s="51" t="s">
        <v>511</v>
      </c>
      <c r="F1585" s="30">
        <v>7.5</v>
      </c>
      <c r="G1585" s="30">
        <v>2.5</v>
      </c>
      <c r="H1585" s="30">
        <f t="shared" ref="H1585:H1586" si="676">IF(G1585&gt;0,(G1585*1.5)+F1585,"YOK")</f>
        <v>11.25</v>
      </c>
      <c r="I1585" s="48" t="s">
        <v>593</v>
      </c>
      <c r="J1585" s="31"/>
      <c r="K1585" s="32">
        <v>1</v>
      </c>
      <c r="L1585" s="32"/>
      <c r="M1585" s="33"/>
      <c r="N1585"/>
      <c r="O1585" s="21"/>
      <c r="P1585" s="21"/>
    </row>
    <row r="1586" spans="1:16" s="52" customFormat="1" ht="39.950000000000003" customHeight="1">
      <c r="A1586" s="9">
        <v>166</v>
      </c>
      <c r="B1586" s="207">
        <v>5316</v>
      </c>
      <c r="C1586" s="50" t="s">
        <v>622</v>
      </c>
      <c r="D1586" s="50" t="s">
        <v>623</v>
      </c>
      <c r="E1586" s="51" t="s">
        <v>162</v>
      </c>
      <c r="F1586" s="30">
        <v>7.5</v>
      </c>
      <c r="G1586" s="30">
        <v>2.5</v>
      </c>
      <c r="H1586" s="30">
        <f t="shared" si="676"/>
        <v>11.25</v>
      </c>
      <c r="I1586" s="48" t="s">
        <v>593</v>
      </c>
      <c r="J1586" s="31"/>
      <c r="K1586" s="32">
        <v>1</v>
      </c>
      <c r="L1586" s="32"/>
      <c r="M1586" s="33"/>
      <c r="N1586"/>
      <c r="O1586" s="21"/>
      <c r="P1586" s="21"/>
    </row>
    <row r="1587" spans="1:16" s="52" customFormat="1" ht="39.950000000000003" customHeight="1">
      <c r="A1587" s="9">
        <v>167</v>
      </c>
      <c r="B1587" s="207">
        <v>6200</v>
      </c>
      <c r="C1587" s="50" t="s">
        <v>2086</v>
      </c>
      <c r="D1587" s="50" t="s">
        <v>2085</v>
      </c>
      <c r="E1587" s="51" t="s">
        <v>589</v>
      </c>
      <c r="F1587" s="30">
        <v>7.5</v>
      </c>
      <c r="G1587" s="30">
        <v>2.5</v>
      </c>
      <c r="H1587" s="30">
        <f t="shared" ref="H1587:H1594" si="677">IF(G1587&gt;0,(G1587*1.5)+F1587,"YOK")</f>
        <v>11.25</v>
      </c>
      <c r="I1587" s="48" t="s">
        <v>593</v>
      </c>
      <c r="J1587" s="31"/>
      <c r="K1587" s="32">
        <v>1</v>
      </c>
      <c r="L1587" s="32"/>
      <c r="M1587" s="33"/>
      <c r="N1587"/>
      <c r="O1587" s="21"/>
      <c r="P1587" s="21"/>
    </row>
    <row r="1588" spans="1:16" s="52" customFormat="1" ht="39.950000000000003" customHeight="1">
      <c r="A1588" s="9">
        <v>168</v>
      </c>
      <c r="B1588" s="207">
        <v>6201</v>
      </c>
      <c r="C1588" s="50" t="s">
        <v>2087</v>
      </c>
      <c r="D1588" s="50" t="s">
        <v>2088</v>
      </c>
      <c r="E1588" s="51" t="s">
        <v>589</v>
      </c>
      <c r="F1588" s="30">
        <v>7.5</v>
      </c>
      <c r="G1588" s="30">
        <v>2.5</v>
      </c>
      <c r="H1588" s="30">
        <f t="shared" si="677"/>
        <v>11.25</v>
      </c>
      <c r="I1588" s="48" t="s">
        <v>593</v>
      </c>
      <c r="J1588" s="31"/>
      <c r="K1588" s="32">
        <v>1</v>
      </c>
      <c r="L1588" s="32"/>
      <c r="M1588" s="33"/>
      <c r="N1588" s="33"/>
      <c r="O1588" s="21"/>
      <c r="P1588" s="21"/>
    </row>
    <row r="1589" spans="1:16" s="52" customFormat="1" ht="39.950000000000003" customHeight="1">
      <c r="A1589" s="9">
        <v>169</v>
      </c>
      <c r="B1589" s="207">
        <v>5854</v>
      </c>
      <c r="C1589" s="50" t="s">
        <v>1340</v>
      </c>
      <c r="D1589" s="50" t="s">
        <v>1352</v>
      </c>
      <c r="E1589" s="51" t="s">
        <v>511</v>
      </c>
      <c r="F1589" s="30">
        <v>7.5</v>
      </c>
      <c r="G1589" s="30">
        <v>2.5</v>
      </c>
      <c r="H1589" s="30">
        <f t="shared" ref="H1589" si="678">IF(G1589&gt;0,(G1589*1.5)+F1589,"YOK")</f>
        <v>11.25</v>
      </c>
      <c r="I1589" s="48" t="s">
        <v>593</v>
      </c>
      <c r="J1589" s="31"/>
      <c r="K1589" s="32">
        <v>1</v>
      </c>
      <c r="L1589" s="32"/>
      <c r="M1589" s="33"/>
      <c r="N1589"/>
      <c r="O1589" s="21"/>
      <c r="P1589" s="21"/>
    </row>
    <row r="1590" spans="1:16" s="52" customFormat="1" ht="39.950000000000003" customHeight="1">
      <c r="A1590" s="9">
        <v>170</v>
      </c>
      <c r="B1590" s="207">
        <v>5617</v>
      </c>
      <c r="C1590" s="50" t="s">
        <v>1024</v>
      </c>
      <c r="D1590" s="50" t="s">
        <v>1027</v>
      </c>
      <c r="E1590" s="51" t="s">
        <v>511</v>
      </c>
      <c r="F1590" s="30">
        <v>7.5</v>
      </c>
      <c r="G1590" s="30">
        <v>2.5</v>
      </c>
      <c r="H1590" s="30">
        <f t="shared" si="677"/>
        <v>11.25</v>
      </c>
      <c r="I1590" s="48" t="s">
        <v>593</v>
      </c>
      <c r="J1590" s="31"/>
      <c r="K1590" s="32">
        <v>1</v>
      </c>
      <c r="L1590" s="32"/>
      <c r="M1590" s="33"/>
      <c r="N1590" s="33"/>
      <c r="O1590" s="21"/>
      <c r="P1590" s="21"/>
    </row>
    <row r="1591" spans="1:16" s="52" customFormat="1" ht="39.950000000000003" customHeight="1">
      <c r="A1591" s="9">
        <v>171</v>
      </c>
      <c r="B1591" s="207">
        <v>5403</v>
      </c>
      <c r="C1591" s="50" t="s">
        <v>770</v>
      </c>
      <c r="D1591" s="50" t="s">
        <v>771</v>
      </c>
      <c r="E1591" s="51" t="s">
        <v>511</v>
      </c>
      <c r="F1591" s="30">
        <v>7.5</v>
      </c>
      <c r="G1591" s="30">
        <v>2.5</v>
      </c>
      <c r="H1591" s="30">
        <f t="shared" ref="H1591" si="679">IF(G1591&gt;0,(G1591*1.5)+F1591,"YOK")</f>
        <v>11.25</v>
      </c>
      <c r="I1591" s="48" t="s">
        <v>593</v>
      </c>
      <c r="J1591" s="31"/>
      <c r="K1591" s="32">
        <v>1</v>
      </c>
      <c r="L1591" s="32"/>
      <c r="M1591" s="33"/>
      <c r="N1591" s="33"/>
      <c r="O1591" s="21"/>
      <c r="P1591" s="21"/>
    </row>
    <row r="1592" spans="1:16" s="52" customFormat="1" ht="39.950000000000003" customHeight="1">
      <c r="A1592" s="9">
        <v>172</v>
      </c>
      <c r="B1592" s="207">
        <v>5562</v>
      </c>
      <c r="C1592" s="50" t="s">
        <v>925</v>
      </c>
      <c r="D1592" s="50" t="s">
        <v>932</v>
      </c>
      <c r="E1592" s="51" t="s">
        <v>511</v>
      </c>
      <c r="F1592" s="30">
        <v>7.5</v>
      </c>
      <c r="G1592" s="30">
        <v>2.5</v>
      </c>
      <c r="H1592" s="30">
        <f t="shared" si="677"/>
        <v>11.25</v>
      </c>
      <c r="I1592" s="48" t="s">
        <v>593</v>
      </c>
      <c r="J1592" s="31"/>
      <c r="K1592" s="32">
        <v>1</v>
      </c>
      <c r="L1592" s="32"/>
      <c r="M1592" s="33"/>
      <c r="N1592" s="33"/>
      <c r="O1592" s="21"/>
      <c r="P1592" s="21"/>
    </row>
    <row r="1593" spans="1:16" s="52" customFormat="1" ht="39.950000000000003" customHeight="1">
      <c r="A1593" s="9">
        <v>173</v>
      </c>
      <c r="B1593" s="207">
        <v>5616</v>
      </c>
      <c r="C1593" s="50" t="s">
        <v>1023</v>
      </c>
      <c r="D1593" s="50" t="s">
        <v>1028</v>
      </c>
      <c r="E1593" s="51" t="s">
        <v>511</v>
      </c>
      <c r="F1593" s="30">
        <v>7.5</v>
      </c>
      <c r="G1593" s="30">
        <v>2.5</v>
      </c>
      <c r="H1593" s="30">
        <f t="shared" si="677"/>
        <v>11.25</v>
      </c>
      <c r="I1593" s="48" t="s">
        <v>593</v>
      </c>
      <c r="J1593" s="31"/>
      <c r="K1593" s="32">
        <v>1</v>
      </c>
      <c r="L1593" s="32"/>
      <c r="M1593" s="33"/>
      <c r="N1593" s="33"/>
      <c r="O1593" s="21"/>
      <c r="P1593" s="21"/>
    </row>
    <row r="1594" spans="1:16" s="52" customFormat="1" ht="39.950000000000003" customHeight="1">
      <c r="A1594" s="9">
        <v>174</v>
      </c>
      <c r="B1594" s="207">
        <v>5820</v>
      </c>
      <c r="C1594" s="50" t="s">
        <v>1273</v>
      </c>
      <c r="D1594" s="50" t="s">
        <v>1274</v>
      </c>
      <c r="E1594" s="51" t="s">
        <v>511</v>
      </c>
      <c r="F1594" s="30">
        <v>7.5</v>
      </c>
      <c r="G1594" s="30">
        <v>2.5</v>
      </c>
      <c r="H1594" s="30">
        <f t="shared" si="677"/>
        <v>11.25</v>
      </c>
      <c r="I1594" s="48" t="s">
        <v>593</v>
      </c>
      <c r="J1594" s="31"/>
      <c r="K1594" s="32">
        <v>1</v>
      </c>
      <c r="L1594" s="32"/>
      <c r="M1594" s="33"/>
      <c r="N1594" s="33"/>
      <c r="O1594" s="21"/>
      <c r="P1594" s="21"/>
    </row>
    <row r="1595" spans="1:16" s="52" customFormat="1" ht="39.950000000000003" customHeight="1">
      <c r="A1595" s="9">
        <v>175</v>
      </c>
      <c r="B1595" s="207">
        <v>5859</v>
      </c>
      <c r="C1595" s="50" t="s">
        <v>1366</v>
      </c>
      <c r="D1595" s="50" t="s">
        <v>1367</v>
      </c>
      <c r="E1595" s="51" t="s">
        <v>511</v>
      </c>
      <c r="F1595" s="30">
        <v>7.5</v>
      </c>
      <c r="G1595" s="30">
        <v>2.5</v>
      </c>
      <c r="H1595" s="30">
        <f t="shared" ref="H1595" si="680">IF(G1595&gt;0,(G1595*1.5)+F1595,"YOK")</f>
        <v>11.25</v>
      </c>
      <c r="I1595" s="48" t="s">
        <v>593</v>
      </c>
      <c r="J1595" s="31"/>
      <c r="K1595" s="32">
        <v>1</v>
      </c>
      <c r="L1595" s="32"/>
      <c r="M1595" s="33"/>
      <c r="N1595"/>
      <c r="O1595" s="21"/>
      <c r="P1595" s="21"/>
    </row>
    <row r="1596" spans="1:16" s="52" customFormat="1" ht="39.950000000000003" customHeight="1">
      <c r="A1596" s="9">
        <v>176</v>
      </c>
      <c r="B1596" s="222">
        <v>6620</v>
      </c>
      <c r="C1596" s="185" t="s">
        <v>2898</v>
      </c>
      <c r="D1596" s="50" t="s">
        <v>2899</v>
      </c>
      <c r="E1596" s="51" t="s">
        <v>533</v>
      </c>
      <c r="F1596" s="30">
        <v>7.5</v>
      </c>
      <c r="G1596" s="30">
        <v>2.5</v>
      </c>
      <c r="H1596" s="30">
        <f>IF(G1596&gt;0,(G1596*1.5)+F1596,"YOK")</f>
        <v>11.25</v>
      </c>
      <c r="I1596" s="47" t="s">
        <v>132</v>
      </c>
      <c r="J1596" s="31"/>
      <c r="K1596" s="32">
        <v>1</v>
      </c>
      <c r="L1596" s="32">
        <v>1</v>
      </c>
      <c r="M1596" s="33"/>
      <c r="N1596"/>
      <c r="O1596" s="21"/>
      <c r="P1596" s="21"/>
    </row>
    <row r="1597" spans="1:16" s="52" customFormat="1" ht="39.950000000000003" customHeight="1">
      <c r="A1597" s="9">
        <v>177</v>
      </c>
      <c r="B1597" s="222">
        <v>6263</v>
      </c>
      <c r="C1597" s="50" t="s">
        <v>2222</v>
      </c>
      <c r="D1597" s="50" t="s">
        <v>2223</v>
      </c>
      <c r="E1597" s="51" t="s">
        <v>533</v>
      </c>
      <c r="F1597" s="30">
        <v>7.5</v>
      </c>
      <c r="G1597" s="30">
        <v>2.5</v>
      </c>
      <c r="H1597" s="30">
        <f t="shared" ref="H1597" si="681">IF(G1597&gt;0,(G1597*1.5)+F1597,"YOK")</f>
        <v>11.25</v>
      </c>
      <c r="I1597" s="47" t="s">
        <v>132</v>
      </c>
      <c r="J1597" s="31"/>
      <c r="K1597" s="32">
        <v>1</v>
      </c>
      <c r="L1597" s="32">
        <v>1</v>
      </c>
      <c r="M1597" s="33"/>
      <c r="N1597"/>
      <c r="O1597" s="21"/>
      <c r="P1597" s="21"/>
    </row>
    <row r="1598" spans="1:16" s="52" customFormat="1" ht="39.950000000000003" customHeight="1">
      <c r="A1598" s="9">
        <v>178</v>
      </c>
      <c r="B1598" s="222">
        <v>6208</v>
      </c>
      <c r="C1598" s="50" t="s">
        <v>2108</v>
      </c>
      <c r="D1598" s="50" t="s">
        <v>2109</v>
      </c>
      <c r="E1598" s="51" t="s">
        <v>533</v>
      </c>
      <c r="F1598" s="30">
        <v>7.5</v>
      </c>
      <c r="G1598" s="30">
        <v>2.5</v>
      </c>
      <c r="H1598" s="30">
        <f t="shared" ref="H1598:H1603" si="682">IF(G1598&gt;0,(G1598*1.5)+F1598,"YOK")</f>
        <v>11.25</v>
      </c>
      <c r="I1598" s="47" t="s">
        <v>132</v>
      </c>
      <c r="J1598" s="31"/>
      <c r="K1598" s="32">
        <v>1</v>
      </c>
      <c r="L1598" s="32">
        <v>1</v>
      </c>
      <c r="M1598" s="33"/>
      <c r="N1598"/>
      <c r="O1598" s="21"/>
      <c r="P1598" s="21"/>
    </row>
    <row r="1599" spans="1:16" s="52" customFormat="1" ht="39.950000000000003" customHeight="1">
      <c r="A1599" s="9">
        <v>179</v>
      </c>
      <c r="B1599" s="222">
        <v>6753</v>
      </c>
      <c r="C1599" s="185" t="s">
        <v>3313</v>
      </c>
      <c r="D1599" s="50" t="s">
        <v>3314</v>
      </c>
      <c r="E1599" s="51" t="s">
        <v>533</v>
      </c>
      <c r="F1599" s="30">
        <v>7.5</v>
      </c>
      <c r="G1599" s="30">
        <v>2.5</v>
      </c>
      <c r="H1599" s="30">
        <f t="shared" si="682"/>
        <v>11.25</v>
      </c>
      <c r="I1599" s="47" t="s">
        <v>132</v>
      </c>
      <c r="J1599" s="31"/>
      <c r="K1599" s="32">
        <v>1</v>
      </c>
      <c r="L1599" s="32">
        <v>1</v>
      </c>
      <c r="M1599" s="33"/>
      <c r="N1599"/>
      <c r="O1599" s="21"/>
      <c r="P1599" s="21"/>
    </row>
    <row r="1600" spans="1:16" s="52" customFormat="1" ht="39.950000000000003" customHeight="1">
      <c r="A1600" s="9">
        <v>180</v>
      </c>
      <c r="B1600" s="222">
        <v>6754</v>
      </c>
      <c r="C1600" s="185" t="s">
        <v>3315</v>
      </c>
      <c r="D1600" s="50" t="s">
        <v>3316</v>
      </c>
      <c r="E1600" s="51" t="s">
        <v>533</v>
      </c>
      <c r="F1600" s="30">
        <v>7.5</v>
      </c>
      <c r="G1600" s="30">
        <v>2.5</v>
      </c>
      <c r="H1600" s="30">
        <f t="shared" si="682"/>
        <v>11.25</v>
      </c>
      <c r="I1600" s="47" t="s">
        <v>132</v>
      </c>
      <c r="J1600" s="31"/>
      <c r="K1600" s="32">
        <v>1</v>
      </c>
      <c r="L1600" s="32">
        <v>1</v>
      </c>
      <c r="M1600" s="33"/>
      <c r="N1600"/>
      <c r="O1600" s="21"/>
      <c r="P1600" s="21"/>
    </row>
    <row r="1601" spans="1:16" s="52" customFormat="1" ht="39.950000000000003" customHeight="1">
      <c r="A1601" s="9">
        <v>181</v>
      </c>
      <c r="B1601" s="207">
        <v>6801</v>
      </c>
      <c r="C1601" s="185" t="s">
        <v>3418</v>
      </c>
      <c r="D1601" s="50" t="s">
        <v>3419</v>
      </c>
      <c r="E1601" s="51" t="s">
        <v>533</v>
      </c>
      <c r="F1601" s="30">
        <v>7.5</v>
      </c>
      <c r="G1601" s="30">
        <v>2.5</v>
      </c>
      <c r="H1601" s="30">
        <f t="shared" si="682"/>
        <v>11.25</v>
      </c>
      <c r="I1601" s="47" t="s">
        <v>132</v>
      </c>
      <c r="J1601" s="31"/>
      <c r="K1601" s="32">
        <v>1</v>
      </c>
      <c r="L1601" s="32">
        <v>1</v>
      </c>
      <c r="M1601" s="33"/>
      <c r="N1601"/>
      <c r="O1601" s="21"/>
      <c r="P1601" s="21"/>
    </row>
    <row r="1602" spans="1:16" s="52" customFormat="1" ht="39.950000000000003" customHeight="1">
      <c r="A1602" s="9">
        <v>182</v>
      </c>
      <c r="B1602" s="207">
        <v>6804</v>
      </c>
      <c r="C1602" s="185" t="s">
        <v>3416</v>
      </c>
      <c r="D1602" s="50" t="s">
        <v>3417</v>
      </c>
      <c r="E1602" s="51" t="s">
        <v>533</v>
      </c>
      <c r="F1602" s="30">
        <v>7.5</v>
      </c>
      <c r="G1602" s="30">
        <v>2.5</v>
      </c>
      <c r="H1602" s="30">
        <f t="shared" si="682"/>
        <v>11.25</v>
      </c>
      <c r="I1602" s="47" t="s">
        <v>132</v>
      </c>
      <c r="J1602" s="31"/>
      <c r="K1602" s="32">
        <v>1</v>
      </c>
      <c r="L1602" s="32">
        <v>1</v>
      </c>
      <c r="M1602" s="33"/>
      <c r="N1602"/>
      <c r="O1602" s="21"/>
      <c r="P1602" s="21"/>
    </row>
    <row r="1603" spans="1:16" s="52" customFormat="1" ht="39.950000000000003" customHeight="1">
      <c r="A1603" s="9">
        <v>183</v>
      </c>
      <c r="B1603" s="222">
        <v>5922</v>
      </c>
      <c r="C1603" s="50" t="s">
        <v>1496</v>
      </c>
      <c r="D1603" s="50" t="s">
        <v>1495</v>
      </c>
      <c r="E1603" s="51" t="s">
        <v>511</v>
      </c>
      <c r="F1603" s="30">
        <v>7.5</v>
      </c>
      <c r="G1603" s="30">
        <v>2.5</v>
      </c>
      <c r="H1603" s="30">
        <f t="shared" si="682"/>
        <v>11.25</v>
      </c>
      <c r="I1603" s="47" t="s">
        <v>132</v>
      </c>
      <c r="J1603" s="31"/>
      <c r="K1603" s="32">
        <v>1</v>
      </c>
      <c r="L1603" s="32">
        <v>1</v>
      </c>
      <c r="M1603" s="33"/>
      <c r="N1603"/>
      <c r="O1603" s="21"/>
      <c r="P1603" s="21"/>
    </row>
    <row r="1604" spans="1:16" s="52" customFormat="1" ht="39.950000000000003" customHeight="1">
      <c r="A1604" s="9">
        <v>184</v>
      </c>
      <c r="B1604" s="222">
        <v>5927</v>
      </c>
      <c r="C1604" s="50" t="s">
        <v>1505</v>
      </c>
      <c r="D1604" s="50" t="s">
        <v>1504</v>
      </c>
      <c r="E1604" s="51" t="s">
        <v>511</v>
      </c>
      <c r="F1604" s="30">
        <v>7.5</v>
      </c>
      <c r="G1604" s="30">
        <v>2.5</v>
      </c>
      <c r="H1604" s="30">
        <f t="shared" ref="H1604" si="683">IF(G1604&gt;0,(G1604*1.5)+F1604,"YOK")</f>
        <v>11.25</v>
      </c>
      <c r="I1604" s="47" t="s">
        <v>132</v>
      </c>
      <c r="J1604" s="31"/>
      <c r="K1604" s="32">
        <v>1</v>
      </c>
      <c r="L1604" s="32">
        <v>1</v>
      </c>
      <c r="M1604" s="33"/>
      <c r="N1604"/>
      <c r="O1604" s="21"/>
      <c r="P1604" s="21"/>
    </row>
    <row r="1605" spans="1:16" s="52" customFormat="1" ht="39.950000000000003" customHeight="1">
      <c r="A1605" s="9">
        <v>185</v>
      </c>
      <c r="B1605" s="222">
        <v>5973</v>
      </c>
      <c r="C1605" s="50" t="s">
        <v>1566</v>
      </c>
      <c r="D1605" s="50" t="s">
        <v>1569</v>
      </c>
      <c r="E1605" s="51" t="s">
        <v>511</v>
      </c>
      <c r="F1605" s="30">
        <v>7.5</v>
      </c>
      <c r="G1605" s="30">
        <v>2.5</v>
      </c>
      <c r="H1605" s="30">
        <f t="shared" ref="H1605" si="684">IF(G1605&gt;0,(G1605*1.5)+F1605,"YOK")</f>
        <v>11.25</v>
      </c>
      <c r="I1605" s="47" t="s">
        <v>132</v>
      </c>
      <c r="J1605" s="31"/>
      <c r="K1605" s="32">
        <v>1</v>
      </c>
      <c r="L1605" s="32">
        <v>1</v>
      </c>
      <c r="M1605" s="33"/>
      <c r="N1605"/>
      <c r="O1605" s="21"/>
      <c r="P1605" s="21"/>
    </row>
    <row r="1606" spans="1:16" s="52" customFormat="1" ht="39.950000000000003" customHeight="1">
      <c r="A1606" s="9">
        <v>186</v>
      </c>
      <c r="B1606" s="222">
        <v>6368</v>
      </c>
      <c r="C1606" s="50" t="s">
        <v>2449</v>
      </c>
      <c r="D1606" s="50" t="s">
        <v>2448</v>
      </c>
      <c r="E1606" s="51" t="s">
        <v>511</v>
      </c>
      <c r="F1606" s="30">
        <v>7.5</v>
      </c>
      <c r="G1606" s="30">
        <v>2.5</v>
      </c>
      <c r="H1606" s="30">
        <f>IF(G1606&gt;0,(G1606*1.5)+F1606,"YOK")</f>
        <v>11.25</v>
      </c>
      <c r="I1606" s="47" t="s">
        <v>132</v>
      </c>
      <c r="J1606" s="31"/>
      <c r="K1606" s="32">
        <v>1</v>
      </c>
      <c r="L1606" s="32">
        <v>1</v>
      </c>
      <c r="M1606" s="33"/>
      <c r="N1606" s="33"/>
      <c r="O1606" s="21"/>
      <c r="P1606" s="21"/>
    </row>
    <row r="1607" spans="1:16" s="52" customFormat="1" ht="39.950000000000003" customHeight="1">
      <c r="A1607" s="9">
        <v>187</v>
      </c>
      <c r="B1607" s="222">
        <v>6390</v>
      </c>
      <c r="C1607" s="50" t="s">
        <v>2502</v>
      </c>
      <c r="D1607" s="50" t="s">
        <v>2503</v>
      </c>
      <c r="E1607" s="51" t="s">
        <v>511</v>
      </c>
      <c r="F1607" s="30">
        <v>7.5</v>
      </c>
      <c r="G1607" s="30">
        <v>2.5</v>
      </c>
      <c r="H1607" s="30">
        <f t="shared" ref="H1607" si="685">IF(G1607&gt;0,(G1607*1.5)+F1607,"YOK")</f>
        <v>11.25</v>
      </c>
      <c r="I1607" s="47" t="s">
        <v>132</v>
      </c>
      <c r="J1607" s="31"/>
      <c r="K1607" s="32">
        <v>1</v>
      </c>
      <c r="L1607" s="32">
        <v>1</v>
      </c>
      <c r="M1607" s="33"/>
      <c r="N1607" s="33"/>
      <c r="O1607" s="21"/>
      <c r="P1607" s="21"/>
    </row>
    <row r="1608" spans="1:16" s="52" customFormat="1" ht="39.950000000000003" customHeight="1">
      <c r="A1608" s="9">
        <v>188</v>
      </c>
      <c r="B1608" s="222">
        <v>6391</v>
      </c>
      <c r="C1608" s="50" t="s">
        <v>2504</v>
      </c>
      <c r="D1608" s="50" t="s">
        <v>2505</v>
      </c>
      <c r="E1608" s="51" t="s">
        <v>511</v>
      </c>
      <c r="F1608" s="30">
        <v>7.5</v>
      </c>
      <c r="G1608" s="30">
        <v>2.5</v>
      </c>
      <c r="H1608" s="30">
        <f t="shared" ref="H1608" si="686">IF(G1608&gt;0,(G1608*1.5)+F1608,"YOK")</f>
        <v>11.25</v>
      </c>
      <c r="I1608" s="47" t="s">
        <v>132</v>
      </c>
      <c r="J1608" s="31"/>
      <c r="K1608" s="32">
        <v>1</v>
      </c>
      <c r="L1608" s="32">
        <v>1</v>
      </c>
      <c r="M1608" s="33"/>
      <c r="N1608" s="33"/>
      <c r="O1608" s="21"/>
      <c r="P1608" s="21"/>
    </row>
    <row r="1609" spans="1:16" s="52" customFormat="1" ht="39.950000000000003" customHeight="1">
      <c r="A1609" s="9">
        <v>189</v>
      </c>
      <c r="B1609" s="222">
        <v>6212</v>
      </c>
      <c r="C1609" s="50" t="s">
        <v>2105</v>
      </c>
      <c r="D1609" s="50" t="s">
        <v>2113</v>
      </c>
      <c r="E1609" s="51" t="s">
        <v>511</v>
      </c>
      <c r="F1609" s="30">
        <v>7.5</v>
      </c>
      <c r="G1609" s="30">
        <v>2.5</v>
      </c>
      <c r="H1609" s="30">
        <f t="shared" ref="H1609" si="687">IF(G1609&gt;0,(G1609*1.5)+F1609,"YOK")</f>
        <v>11.25</v>
      </c>
      <c r="I1609" s="47" t="s">
        <v>132</v>
      </c>
      <c r="J1609" s="31"/>
      <c r="K1609" s="32">
        <v>1</v>
      </c>
      <c r="L1609" s="32">
        <v>1</v>
      </c>
      <c r="M1609" s="33"/>
      <c r="N1609"/>
      <c r="O1609" s="21"/>
      <c r="P1609" s="21"/>
    </row>
    <row r="1610" spans="1:16" s="52" customFormat="1" ht="39.950000000000003" customHeight="1">
      <c r="A1610" s="9">
        <v>190</v>
      </c>
      <c r="B1610" s="222">
        <v>6264</v>
      </c>
      <c r="C1610" s="50" t="s">
        <v>2216</v>
      </c>
      <c r="D1610" s="50" t="s">
        <v>2217</v>
      </c>
      <c r="E1610" s="51" t="s">
        <v>511</v>
      </c>
      <c r="F1610" s="30">
        <v>7.5</v>
      </c>
      <c r="G1610" s="30">
        <v>2.5</v>
      </c>
      <c r="H1610" s="30">
        <f t="shared" ref="H1610" si="688">IF(G1610&gt;0,(G1610*1.5)+F1610,"YOK")</f>
        <v>11.25</v>
      </c>
      <c r="I1610" s="47" t="s">
        <v>132</v>
      </c>
      <c r="J1610" s="31"/>
      <c r="K1610" s="32">
        <v>1</v>
      </c>
      <c r="L1610" s="32">
        <v>1</v>
      </c>
      <c r="M1610" s="33"/>
      <c r="N1610"/>
      <c r="O1610" s="21"/>
      <c r="P1610" s="21"/>
    </row>
    <row r="1611" spans="1:16" s="52" customFormat="1" ht="39.950000000000003" customHeight="1">
      <c r="A1611" s="9">
        <v>191</v>
      </c>
      <c r="B1611" s="222">
        <v>5600</v>
      </c>
      <c r="C1611" s="50" t="s">
        <v>1004</v>
      </c>
      <c r="D1611" s="50" t="s">
        <v>1005</v>
      </c>
      <c r="E1611" s="51" t="s">
        <v>511</v>
      </c>
      <c r="F1611" s="30">
        <v>7.5</v>
      </c>
      <c r="G1611" s="30">
        <v>2.5</v>
      </c>
      <c r="H1611" s="30">
        <f t="shared" ref="H1611" si="689">IF(G1611&gt;0,(G1611*1.5)+F1611,"YOK")</f>
        <v>11.25</v>
      </c>
      <c r="I1611" s="47" t="s">
        <v>132</v>
      </c>
      <c r="J1611" s="31"/>
      <c r="K1611" s="32">
        <v>1</v>
      </c>
      <c r="L1611" s="32">
        <v>1</v>
      </c>
      <c r="M1611" s="33"/>
      <c r="N1611" s="33"/>
      <c r="O1611" s="21"/>
      <c r="P1611" s="21"/>
    </row>
    <row r="1612" spans="1:16" s="52" customFormat="1" ht="39.950000000000003" customHeight="1">
      <c r="A1612" s="9">
        <v>192</v>
      </c>
      <c r="B1612" s="222">
        <v>6621</v>
      </c>
      <c r="C1612" s="185" t="s">
        <v>2894</v>
      </c>
      <c r="D1612" s="50" t="s">
        <v>2895</v>
      </c>
      <c r="E1612" s="51" t="s">
        <v>511</v>
      </c>
      <c r="F1612" s="30">
        <v>7.5</v>
      </c>
      <c r="G1612" s="30">
        <v>2.5</v>
      </c>
      <c r="H1612" s="30">
        <f>IF(G1612&gt;0,(G1612*1.5)+F1612,"YOK")</f>
        <v>11.25</v>
      </c>
      <c r="I1612" s="47" t="s">
        <v>132</v>
      </c>
      <c r="J1612" s="31"/>
      <c r="K1612" s="32">
        <v>1</v>
      </c>
      <c r="L1612" s="32">
        <v>1</v>
      </c>
      <c r="M1612" s="33"/>
      <c r="N1612"/>
      <c r="O1612" s="21"/>
      <c r="P1612" s="21"/>
    </row>
    <row r="1613" spans="1:16" s="52" customFormat="1" ht="39.950000000000003" customHeight="1">
      <c r="A1613" s="9">
        <v>193</v>
      </c>
      <c r="B1613" s="222">
        <v>6622</v>
      </c>
      <c r="C1613" s="185" t="s">
        <v>2896</v>
      </c>
      <c r="D1613" s="50" t="s">
        <v>2897</v>
      </c>
      <c r="E1613" s="51" t="s">
        <v>511</v>
      </c>
      <c r="F1613" s="30">
        <v>7.5</v>
      </c>
      <c r="G1613" s="30">
        <v>2.5</v>
      </c>
      <c r="H1613" s="30">
        <f>IF(G1613&gt;0,(G1613*1.5)+F1613,"YOK")</f>
        <v>11.25</v>
      </c>
      <c r="I1613" s="47" t="s">
        <v>132</v>
      </c>
      <c r="J1613" s="31"/>
      <c r="K1613" s="32">
        <v>1</v>
      </c>
      <c r="L1613" s="32">
        <v>1</v>
      </c>
      <c r="M1613" s="33"/>
      <c r="N1613"/>
      <c r="O1613" s="21"/>
      <c r="P1613" s="21"/>
    </row>
    <row r="1614" spans="1:16" s="52" customFormat="1" ht="39.950000000000003" customHeight="1">
      <c r="A1614" s="9">
        <v>194</v>
      </c>
      <c r="B1614" s="222">
        <v>6666</v>
      </c>
      <c r="C1614" s="185" t="s">
        <v>2992</v>
      </c>
      <c r="D1614" s="50" t="s">
        <v>2993</v>
      </c>
      <c r="E1614" s="51" t="s">
        <v>511</v>
      </c>
      <c r="F1614" s="30">
        <v>7.5</v>
      </c>
      <c r="G1614" s="30">
        <v>2.5</v>
      </c>
      <c r="H1614" s="30">
        <f t="shared" ref="H1614:H1615" si="690">IF(G1614&gt;0,(G1614*1.5)+F1614,"YOK")</f>
        <v>11.25</v>
      </c>
      <c r="I1614" s="47" t="s">
        <v>132</v>
      </c>
      <c r="J1614" s="31"/>
      <c r="K1614" s="32">
        <v>1</v>
      </c>
      <c r="L1614" s="32">
        <v>1</v>
      </c>
      <c r="M1614" s="33"/>
      <c r="N1614"/>
      <c r="O1614" s="21"/>
      <c r="P1614" s="21"/>
    </row>
    <row r="1615" spans="1:16" s="52" customFormat="1" ht="39.950000000000003" customHeight="1">
      <c r="A1615" s="9">
        <v>195</v>
      </c>
      <c r="B1615" s="222">
        <v>6668</v>
      </c>
      <c r="C1615" s="185" t="s">
        <v>2996</v>
      </c>
      <c r="D1615" s="50" t="s">
        <v>2997</v>
      </c>
      <c r="E1615" s="51" t="s">
        <v>511</v>
      </c>
      <c r="F1615" s="30">
        <v>7.5</v>
      </c>
      <c r="G1615" s="30">
        <v>2.5</v>
      </c>
      <c r="H1615" s="30">
        <f t="shared" si="690"/>
        <v>11.25</v>
      </c>
      <c r="I1615" s="47" t="s">
        <v>132</v>
      </c>
      <c r="J1615" s="31"/>
      <c r="K1615" s="32">
        <v>1</v>
      </c>
      <c r="L1615" s="32">
        <v>1</v>
      </c>
      <c r="M1615" s="33"/>
      <c r="N1615"/>
      <c r="O1615" s="21"/>
      <c r="P1615" s="21"/>
    </row>
    <row r="1616" spans="1:16" s="52" customFormat="1" ht="39.950000000000003" customHeight="1">
      <c r="A1616" s="9">
        <v>196</v>
      </c>
      <c r="B1616" s="222">
        <v>6703</v>
      </c>
      <c r="C1616" s="185" t="s">
        <v>3085</v>
      </c>
      <c r="D1616" s="50" t="s">
        <v>3086</v>
      </c>
      <c r="E1616" s="51" t="s">
        <v>511</v>
      </c>
      <c r="F1616" s="30">
        <v>7.5</v>
      </c>
      <c r="G1616" s="30">
        <v>2.5</v>
      </c>
      <c r="H1616" s="30">
        <f t="shared" ref="H1616" si="691">IF(G1616&gt;0,(G1616*1.5)+F1616,"YOK")</f>
        <v>11.25</v>
      </c>
      <c r="I1616" s="47" t="s">
        <v>132</v>
      </c>
      <c r="J1616" s="31"/>
      <c r="K1616" s="32">
        <v>1</v>
      </c>
      <c r="L1616" s="32">
        <v>1</v>
      </c>
      <c r="M1616" s="33"/>
      <c r="N1616"/>
      <c r="O1616" s="21"/>
      <c r="P1616" s="21"/>
    </row>
    <row r="1617" spans="1:18" s="52" customFormat="1" ht="39.950000000000003" customHeight="1">
      <c r="A1617" s="9">
        <v>197</v>
      </c>
      <c r="B1617" s="207">
        <v>6752</v>
      </c>
      <c r="C1617" s="185" t="s">
        <v>3311</v>
      </c>
      <c r="D1617" s="50" t="s">
        <v>3312</v>
      </c>
      <c r="E1617" s="51" t="s">
        <v>511</v>
      </c>
      <c r="F1617" s="30">
        <v>7.5</v>
      </c>
      <c r="G1617" s="30">
        <v>2.5</v>
      </c>
      <c r="H1617" s="30">
        <f t="shared" ref="H1617:H1624" si="692">IF(G1617&gt;0,(G1617*1.5)+F1617,"YOK")</f>
        <v>11.25</v>
      </c>
      <c r="I1617" s="47" t="s">
        <v>132</v>
      </c>
      <c r="J1617" s="31"/>
      <c r="K1617" s="32">
        <v>1</v>
      </c>
      <c r="L1617" s="32">
        <v>1</v>
      </c>
      <c r="M1617" s="33"/>
      <c r="N1617"/>
      <c r="O1617" s="21"/>
      <c r="P1617" s="21"/>
    </row>
    <row r="1618" spans="1:18" s="52" customFormat="1" ht="39.950000000000003" customHeight="1">
      <c r="A1618" s="9">
        <v>198</v>
      </c>
      <c r="B1618" s="207">
        <v>6800</v>
      </c>
      <c r="C1618" s="185" t="s">
        <v>3420</v>
      </c>
      <c r="D1618" s="50" t="s">
        <v>3421</v>
      </c>
      <c r="E1618" s="51" t="s">
        <v>511</v>
      </c>
      <c r="F1618" s="30">
        <v>7.5</v>
      </c>
      <c r="G1618" s="30">
        <v>2.5</v>
      </c>
      <c r="H1618" s="30">
        <f t="shared" si="692"/>
        <v>11.25</v>
      </c>
      <c r="I1618" s="47" t="s">
        <v>132</v>
      </c>
      <c r="J1618" s="31"/>
      <c r="K1618" s="32">
        <v>1</v>
      </c>
      <c r="L1618" s="32">
        <v>1</v>
      </c>
      <c r="M1618" s="33"/>
      <c r="N1618"/>
      <c r="O1618" s="21"/>
      <c r="P1618" s="21"/>
    </row>
    <row r="1619" spans="1:18" s="52" customFormat="1" ht="39.950000000000003" customHeight="1">
      <c r="A1619" s="9">
        <v>199</v>
      </c>
      <c r="B1619" s="207">
        <v>6802</v>
      </c>
      <c r="C1619" s="185" t="s">
        <v>3422</v>
      </c>
      <c r="D1619" s="50" t="s">
        <v>3423</v>
      </c>
      <c r="E1619" s="51" t="s">
        <v>511</v>
      </c>
      <c r="F1619" s="30">
        <v>7.5</v>
      </c>
      <c r="G1619" s="30">
        <v>2.5</v>
      </c>
      <c r="H1619" s="30">
        <f t="shared" si="692"/>
        <v>11.25</v>
      </c>
      <c r="I1619" s="47" t="s">
        <v>132</v>
      </c>
      <c r="J1619" s="31"/>
      <c r="K1619" s="32">
        <v>1</v>
      </c>
      <c r="L1619" s="32">
        <v>1</v>
      </c>
      <c r="M1619" s="33"/>
      <c r="N1619"/>
      <c r="O1619" s="21"/>
      <c r="P1619" s="21"/>
    </row>
    <row r="1620" spans="1:18" s="52" customFormat="1" ht="39.950000000000003" customHeight="1">
      <c r="A1620" s="9">
        <v>200</v>
      </c>
      <c r="B1620" s="207">
        <v>6803</v>
      </c>
      <c r="C1620" s="185" t="s">
        <v>3424</v>
      </c>
      <c r="D1620" s="50" t="s">
        <v>3425</v>
      </c>
      <c r="E1620" s="51" t="s">
        <v>511</v>
      </c>
      <c r="F1620" s="30">
        <v>7.5</v>
      </c>
      <c r="G1620" s="30">
        <v>2.5</v>
      </c>
      <c r="H1620" s="30">
        <f t="shared" si="692"/>
        <v>11.25</v>
      </c>
      <c r="I1620" s="47" t="s">
        <v>132</v>
      </c>
      <c r="J1620" s="31"/>
      <c r="K1620" s="32">
        <v>1</v>
      </c>
      <c r="L1620" s="32">
        <v>1</v>
      </c>
      <c r="M1620" s="33"/>
      <c r="N1620"/>
      <c r="O1620" s="21"/>
      <c r="P1620" s="21"/>
    </row>
    <row r="1621" spans="1:18" s="52" customFormat="1" ht="39.950000000000003" customHeight="1">
      <c r="A1621" s="9">
        <v>201</v>
      </c>
      <c r="B1621" s="207">
        <v>6805</v>
      </c>
      <c r="C1621" s="185" t="s">
        <v>3426</v>
      </c>
      <c r="D1621" s="50" t="s">
        <v>3427</v>
      </c>
      <c r="E1621" s="51" t="s">
        <v>511</v>
      </c>
      <c r="F1621" s="30">
        <v>7.5</v>
      </c>
      <c r="G1621" s="30">
        <v>2.5</v>
      </c>
      <c r="H1621" s="30">
        <f t="shared" si="692"/>
        <v>11.25</v>
      </c>
      <c r="I1621" s="47" t="s">
        <v>132</v>
      </c>
      <c r="J1621" s="31"/>
      <c r="K1621" s="32">
        <v>1</v>
      </c>
      <c r="L1621" s="32">
        <v>1</v>
      </c>
      <c r="M1621" s="33"/>
      <c r="N1621"/>
      <c r="O1621" s="21"/>
      <c r="P1621" s="21"/>
    </row>
    <row r="1622" spans="1:18" s="52" customFormat="1" ht="39.950000000000003" customHeight="1">
      <c r="A1622" s="9">
        <v>202</v>
      </c>
      <c r="B1622" s="207">
        <v>6806</v>
      </c>
      <c r="C1622" s="185" t="s">
        <v>3428</v>
      </c>
      <c r="D1622" s="50" t="s">
        <v>3429</v>
      </c>
      <c r="E1622" s="51" t="s">
        <v>511</v>
      </c>
      <c r="F1622" s="30">
        <v>7.5</v>
      </c>
      <c r="G1622" s="30">
        <v>2.5</v>
      </c>
      <c r="H1622" s="30">
        <f t="shared" si="692"/>
        <v>11.25</v>
      </c>
      <c r="I1622" s="47" t="s">
        <v>132</v>
      </c>
      <c r="J1622" s="31"/>
      <c r="K1622" s="32">
        <v>1</v>
      </c>
      <c r="L1622" s="32">
        <v>1</v>
      </c>
      <c r="M1622" s="33"/>
      <c r="N1622"/>
      <c r="O1622" s="21"/>
      <c r="P1622" s="21"/>
    </row>
    <row r="1623" spans="1:18" s="52" customFormat="1" ht="39.950000000000003" customHeight="1">
      <c r="A1623" s="9">
        <v>203</v>
      </c>
      <c r="B1623" s="207">
        <v>4364</v>
      </c>
      <c r="C1623" s="50" t="s">
        <v>592</v>
      </c>
      <c r="D1623" s="50" t="s">
        <v>1039</v>
      </c>
      <c r="E1623" s="51" t="s">
        <v>589</v>
      </c>
      <c r="F1623" s="30">
        <v>7.5</v>
      </c>
      <c r="G1623" s="30">
        <v>2.5</v>
      </c>
      <c r="H1623" s="30">
        <f t="shared" ref="H1623" si="693">IF(G1623&gt;0,(G1623*1.5)+F1623,"YOK")</f>
        <v>11.25</v>
      </c>
      <c r="I1623" s="47" t="s">
        <v>132</v>
      </c>
      <c r="J1623" s="31"/>
      <c r="K1623" s="32">
        <v>1</v>
      </c>
      <c r="L1623" s="32">
        <v>1</v>
      </c>
      <c r="M1623" s="33"/>
      <c r="N1623"/>
      <c r="O1623" s="21"/>
      <c r="P1623" s="21"/>
    </row>
    <row r="1624" spans="1:18" ht="45.75" customHeight="1">
      <c r="A1624" s="9">
        <v>204</v>
      </c>
      <c r="B1624" s="222">
        <v>6199</v>
      </c>
      <c r="C1624" s="50" t="s">
        <v>2083</v>
      </c>
      <c r="D1624" s="50" t="s">
        <v>2084</v>
      </c>
      <c r="E1624" s="51" t="s">
        <v>589</v>
      </c>
      <c r="F1624" s="30">
        <v>7.5</v>
      </c>
      <c r="G1624" s="30">
        <v>2.5</v>
      </c>
      <c r="H1624" s="30">
        <f t="shared" si="692"/>
        <v>11.25</v>
      </c>
      <c r="I1624" s="47" t="s">
        <v>132</v>
      </c>
      <c r="J1624" s="31"/>
      <c r="K1624" s="32">
        <v>1</v>
      </c>
      <c r="L1624" s="70">
        <v>1</v>
      </c>
      <c r="N1624" s="64"/>
      <c r="Q1624" s="65" t="s">
        <v>624</v>
      </c>
      <c r="R1624" s="66">
        <f>+A1624+A1419+A1361+A1288+A1195+A1168+A1164+A1125+A992+A910+A879+A707+A699+A651+A526+A461+A381+A165+A145+A123+A104+A91+A66</f>
        <v>1358</v>
      </c>
    </row>
    <row r="1625" spans="1:18" ht="45.75" customHeight="1">
      <c r="B1625" s="215"/>
      <c r="D1625" s="59"/>
      <c r="E1625" s="60"/>
      <c r="F1625" s="61"/>
      <c r="G1625" s="57"/>
      <c r="H1625" s="57"/>
      <c r="I1625" s="60"/>
      <c r="J1625" s="63">
        <f>SUM(J1421:J1624)</f>
        <v>8</v>
      </c>
      <c r="K1625" s="63">
        <f>SUM(K1421:K1624)</f>
        <v>178</v>
      </c>
      <c r="L1625" s="63">
        <f>SUM(L1421:L1624)</f>
        <v>34</v>
      </c>
      <c r="M1625" s="63">
        <f>SUM(M1421:M1595)</f>
        <v>18</v>
      </c>
      <c r="Q1625" s="65" t="s">
        <v>626</v>
      </c>
      <c r="R1625" s="66">
        <f>+A1624</f>
        <v>204</v>
      </c>
    </row>
    <row r="1626" spans="1:18" ht="45.75" customHeight="1">
      <c r="A1626" s="270" t="s">
        <v>69</v>
      </c>
      <c r="B1626" s="270"/>
      <c r="C1626" s="270"/>
      <c r="D1626" s="67"/>
      <c r="E1626" s="67" t="s">
        <v>625</v>
      </c>
      <c r="F1626" s="67"/>
      <c r="G1626" s="68"/>
      <c r="H1626" s="57"/>
      <c r="I1626" s="68" t="s">
        <v>48</v>
      </c>
    </row>
    <row r="1627" spans="1:18" ht="45.75" customHeight="1">
      <c r="A1627" s="270" t="s">
        <v>1512</v>
      </c>
      <c r="B1627" s="270"/>
      <c r="C1627" s="270"/>
      <c r="D1627" s="186"/>
      <c r="E1627" s="72" t="s">
        <v>627</v>
      </c>
      <c r="F1627" s="186"/>
      <c r="G1627" s="187"/>
      <c r="H1627" s="60"/>
      <c r="I1627" s="72" t="s">
        <v>3121</v>
      </c>
    </row>
    <row r="1628" spans="1:18" ht="45.75" customHeight="1">
      <c r="A1628" s="73"/>
      <c r="B1628" s="216"/>
      <c r="C1628" s="216"/>
      <c r="D1628" s="73"/>
      <c r="E1628" s="74"/>
      <c r="F1628" s="74"/>
      <c r="G1628" s="74"/>
      <c r="H1628" s="74"/>
      <c r="I1628" s="74"/>
    </row>
    <row r="1629" spans="1:18" ht="45.75" customHeight="1">
      <c r="A1629" s="75"/>
      <c r="B1629" s="217"/>
      <c r="C1629" s="217"/>
      <c r="D1629" s="75"/>
      <c r="E1629" s="75"/>
      <c r="F1629" s="75"/>
      <c r="G1629" s="57"/>
      <c r="H1629" s="57"/>
      <c r="I1629" s="68"/>
    </row>
    <row r="1630" spans="1:18" ht="45.75" customHeight="1">
      <c r="A1630" s="67"/>
      <c r="B1630" s="218"/>
      <c r="C1630" s="218"/>
      <c r="D1630" s="67"/>
      <c r="E1630" s="75"/>
      <c r="F1630" s="68"/>
      <c r="G1630" s="68"/>
      <c r="H1630" s="57"/>
      <c r="I1630" s="188"/>
    </row>
    <row r="1631" spans="1:18" ht="45.75" customHeight="1">
      <c r="B1631" s="219"/>
      <c r="C1631" s="218"/>
      <c r="D1631" s="67"/>
      <c r="E1631" s="74"/>
      <c r="F1631" s="68"/>
      <c r="G1631" s="74"/>
      <c r="H1631" s="74"/>
      <c r="I1631" s="68"/>
    </row>
    <row r="1632" spans="1:18" ht="45.75" customHeight="1">
      <c r="A1632" s="270" t="s">
        <v>628</v>
      </c>
      <c r="B1632" s="270"/>
      <c r="C1632" s="270"/>
      <c r="D1632" s="67"/>
      <c r="E1632" s="68" t="s">
        <v>629</v>
      </c>
      <c r="F1632" s="67"/>
      <c r="G1632" s="68"/>
      <c r="H1632" s="68"/>
      <c r="I1632" s="188" t="s">
        <v>18</v>
      </c>
    </row>
    <row r="1633" spans="1:14" ht="45.75" customHeight="1">
      <c r="A1633" s="270" t="s">
        <v>630</v>
      </c>
      <c r="B1633" s="270"/>
      <c r="C1633" s="270"/>
      <c r="D1633" s="67"/>
      <c r="E1633" s="68" t="s">
        <v>631</v>
      </c>
      <c r="F1633" s="67"/>
      <c r="G1633" s="68"/>
      <c r="H1633" s="68"/>
      <c r="I1633" s="68"/>
    </row>
    <row r="1634" spans="1:14" ht="26.25">
      <c r="D1634" s="76"/>
      <c r="E1634" s="75"/>
      <c r="F1634" s="77"/>
      <c r="G1634" s="61"/>
      <c r="H1634" s="61"/>
      <c r="I1634" s="188"/>
    </row>
    <row r="1640" spans="1:14">
      <c r="E1640" s="70"/>
      <c r="F1640" s="70"/>
      <c r="G1640" s="70"/>
      <c r="H1640" s="70"/>
    </row>
    <row r="1641" spans="1:14">
      <c r="E1641" s="70"/>
      <c r="F1641" s="70"/>
      <c r="G1641" s="70"/>
      <c r="H1641" s="70"/>
    </row>
    <row r="1646" spans="1:14">
      <c r="M1646" s="71"/>
      <c r="N1646"/>
    </row>
    <row r="1647" spans="1:14">
      <c r="D1647" s="78"/>
      <c r="E1647" s="56"/>
      <c r="H1647" s="62"/>
      <c r="I1647" s="69"/>
      <c r="J1647" s="70"/>
    </row>
    <row r="1648" spans="1:14">
      <c r="C1648" s="220"/>
    </row>
    <row r="1651" spans="4:14">
      <c r="M1651" s="71"/>
      <c r="N1651"/>
    </row>
    <row r="1652" spans="4:14">
      <c r="D1652" s="78"/>
      <c r="E1652" s="56"/>
      <c r="H1652" s="62"/>
      <c r="I1652" s="69"/>
      <c r="J1652" s="70"/>
    </row>
    <row r="1654" spans="4:14">
      <c r="D1654" s="78"/>
    </row>
    <row r="1656" spans="4:14">
      <c r="D1656" s="78"/>
    </row>
    <row r="1658" spans="4:14">
      <c r="D1658" s="78"/>
    </row>
    <row r="1660" spans="4:14">
      <c r="D1660" s="78"/>
    </row>
    <row r="1662" spans="4:14">
      <c r="D1662" s="78"/>
    </row>
    <row r="1664" spans="4:14">
      <c r="D1664" s="78"/>
    </row>
    <row r="1666" spans="4:4">
      <c r="D1666" s="78"/>
    </row>
  </sheetData>
  <autoFilter ref="A2:O1627" xr:uid="{00000000-0009-0000-0000-000002000000}"/>
  <sortState xmlns:xlrd2="http://schemas.microsoft.com/office/spreadsheetml/2017/richdata2" ref="C965:E1019">
    <sortCondition ref="C965:C1019"/>
  </sortState>
  <mergeCells count="33">
    <mergeCell ref="A1626:C1626"/>
    <mergeCell ref="A1627:C1627"/>
    <mergeCell ref="A1632:C1632"/>
    <mergeCell ref="A1633:C1633"/>
    <mergeCell ref="B1169:D1169"/>
    <mergeCell ref="B1196:D1196"/>
    <mergeCell ref="B1289:D1289"/>
    <mergeCell ref="B1362:D1362"/>
    <mergeCell ref="B1420:D1420"/>
    <mergeCell ref="B1244:D1244"/>
    <mergeCell ref="B1333:D1333"/>
    <mergeCell ref="B1126:D1126"/>
    <mergeCell ref="B166:D166"/>
    <mergeCell ref="B382:D382"/>
    <mergeCell ref="B462:D462"/>
    <mergeCell ref="B527:D527"/>
    <mergeCell ref="B652:D652"/>
    <mergeCell ref="B700:D700"/>
    <mergeCell ref="B708:D708"/>
    <mergeCell ref="B880:D880"/>
    <mergeCell ref="B911:D911"/>
    <mergeCell ref="M1:M2"/>
    <mergeCell ref="N1:N2"/>
    <mergeCell ref="B146:D146"/>
    <mergeCell ref="J1:J2"/>
    <mergeCell ref="K1:K2"/>
    <mergeCell ref="L1:L2"/>
    <mergeCell ref="B57:D57"/>
    <mergeCell ref="B67:D67"/>
    <mergeCell ref="B92:D92"/>
    <mergeCell ref="B105:D105"/>
    <mergeCell ref="B124:D124"/>
    <mergeCell ref="A1:D1"/>
  </mergeCells>
  <phoneticPr fontId="73" type="noConversion"/>
  <conditionalFormatting sqref="B2">
    <cfRule type="duplicateValues" dxfId="2559" priority="7023"/>
  </conditionalFormatting>
  <conditionalFormatting sqref="B22">
    <cfRule type="duplicateValues" dxfId="2558" priority="9014"/>
    <cfRule type="duplicateValues" dxfId="2557" priority="9015"/>
    <cfRule type="duplicateValues" dxfId="2556" priority="9020"/>
  </conditionalFormatting>
  <conditionalFormatting sqref="B31">
    <cfRule type="duplicateValues" dxfId="2555" priority="9007"/>
    <cfRule type="duplicateValues" dxfId="2554" priority="9008"/>
    <cfRule type="duplicateValues" dxfId="2553" priority="9013"/>
  </conditionalFormatting>
  <conditionalFormatting sqref="B36">
    <cfRule type="duplicateValues" dxfId="2552" priority="9000"/>
    <cfRule type="duplicateValues" dxfId="2551" priority="9001"/>
    <cfRule type="duplicateValues" dxfId="2550" priority="9006"/>
  </conditionalFormatting>
  <conditionalFormatting sqref="B108:B113 B115">
    <cfRule type="duplicateValues" dxfId="2549" priority="4556"/>
    <cfRule type="duplicateValues" dxfId="2548" priority="4558"/>
    <cfRule type="duplicateValues" dxfId="2547" priority="4559"/>
    <cfRule type="duplicateValues" dxfId="2546" priority="4561"/>
    <cfRule type="duplicateValues" dxfId="2545" priority="4562"/>
    <cfRule type="duplicateValues" dxfId="2544" priority="4567"/>
    <cfRule type="duplicateValues" dxfId="2543" priority="4570"/>
    <cfRule type="duplicateValues" dxfId="2542" priority="4571"/>
    <cfRule type="duplicateValues" dxfId="2541" priority="4572"/>
    <cfRule type="duplicateValues" dxfId="2540" priority="4573"/>
    <cfRule type="duplicateValues" dxfId="2539" priority="4574"/>
    <cfRule type="duplicateValues" dxfId="2538" priority="4575"/>
    <cfRule type="duplicateValues" dxfId="2537" priority="4576"/>
    <cfRule type="duplicateValues" dxfId="2536" priority="4579"/>
    <cfRule type="duplicateValues" dxfId="2535" priority="4580"/>
    <cfRule type="duplicateValues" dxfId="2534" priority="4582"/>
  </conditionalFormatting>
  <conditionalFormatting sqref="B175 B169:B171">
    <cfRule type="duplicateValues" dxfId="2533" priority="5504"/>
    <cfRule type="duplicateValues" dxfId="2532" priority="5505"/>
    <cfRule type="duplicateValues" dxfId="2531" priority="5506"/>
    <cfRule type="duplicateValues" dxfId="2530" priority="5507"/>
    <cfRule type="duplicateValues" dxfId="2529" priority="5508"/>
    <cfRule type="duplicateValues" dxfId="2528" priority="5509"/>
    <cfRule type="duplicateValues" dxfId="2527" priority="5510"/>
    <cfRule type="duplicateValues" dxfId="2526" priority="5511"/>
    <cfRule type="duplicateValues" dxfId="2525" priority="5512"/>
    <cfRule type="duplicateValues" dxfId="2524" priority="5513"/>
    <cfRule type="duplicateValues" dxfId="2523" priority="5514"/>
    <cfRule type="duplicateValues" dxfId="2522" priority="5515"/>
    <cfRule type="duplicateValues" dxfId="2521" priority="5516"/>
    <cfRule type="duplicateValues" dxfId="2520" priority="5517"/>
    <cfRule type="duplicateValues" dxfId="2519" priority="5518"/>
    <cfRule type="duplicateValues" dxfId="2518" priority="5519"/>
    <cfRule type="duplicateValues" dxfId="2517" priority="5520"/>
    <cfRule type="duplicateValues" dxfId="2516" priority="5521"/>
  </conditionalFormatting>
  <conditionalFormatting sqref="B456">
    <cfRule type="duplicateValues" dxfId="2515" priority="5679"/>
    <cfRule type="duplicateValues" dxfId="2514" priority="5680"/>
    <cfRule type="duplicateValues" dxfId="2513" priority="5682"/>
    <cfRule type="duplicateValues" dxfId="2512" priority="5683"/>
    <cfRule type="duplicateValues" dxfId="2511" priority="5687"/>
    <cfRule type="duplicateValues" dxfId="2510" priority="5690"/>
    <cfRule type="duplicateValues" dxfId="2509" priority="5691"/>
    <cfRule type="duplicateValues" dxfId="2508" priority="5692"/>
    <cfRule type="duplicateValues" dxfId="2507" priority="5693"/>
    <cfRule type="duplicateValues" dxfId="2506" priority="5694"/>
    <cfRule type="duplicateValues" dxfId="2505" priority="5695"/>
    <cfRule type="duplicateValues" dxfId="2504" priority="5696"/>
    <cfRule type="duplicateValues" dxfId="2503" priority="5699"/>
    <cfRule type="duplicateValues" dxfId="2502" priority="5700"/>
    <cfRule type="duplicateValues" dxfId="2501" priority="5702"/>
  </conditionalFormatting>
  <conditionalFormatting sqref="B528:B568 B572:B617 B619:B651">
    <cfRule type="duplicateValues" dxfId="2500" priority="99097"/>
    <cfRule type="duplicateValues" dxfId="2499" priority="99105"/>
    <cfRule type="duplicateValues" dxfId="2498" priority="99106"/>
    <cfRule type="duplicateValues" dxfId="2497" priority="99117"/>
    <cfRule type="duplicateValues" dxfId="2496" priority="99118"/>
    <cfRule type="duplicateValues" dxfId="2495" priority="99119"/>
    <cfRule type="duplicateValues" dxfId="2494" priority="99120"/>
    <cfRule type="duplicateValues" dxfId="2493" priority="99121"/>
    <cfRule type="duplicateValues" dxfId="2492" priority="99122"/>
    <cfRule type="duplicateValues" dxfId="2491" priority="99123"/>
  </conditionalFormatting>
  <conditionalFormatting sqref="B618 B569:B571">
    <cfRule type="duplicateValues" dxfId="2490" priority="4944"/>
    <cfRule type="duplicateValues" dxfId="2489" priority="4945"/>
    <cfRule type="duplicateValues" dxfId="2488" priority="4946"/>
    <cfRule type="duplicateValues" dxfId="2487" priority="4947"/>
    <cfRule type="duplicateValues" dxfId="2486" priority="4948"/>
    <cfRule type="duplicateValues" dxfId="2485" priority="4949"/>
    <cfRule type="duplicateValues" dxfId="2484" priority="4950"/>
    <cfRule type="duplicateValues" dxfId="2483" priority="4952"/>
    <cfRule type="duplicateValues" dxfId="2482" priority="4953"/>
    <cfRule type="duplicateValues" dxfId="2481" priority="4955"/>
  </conditionalFormatting>
  <conditionalFormatting sqref="B688:B689 B659 B691">
    <cfRule type="duplicateValues" dxfId="2480" priority="4719"/>
    <cfRule type="duplicateValues" dxfId="2479" priority="4720"/>
    <cfRule type="duplicateValues" dxfId="2478" priority="4722"/>
  </conditionalFormatting>
  <conditionalFormatting sqref="B692">
    <cfRule type="duplicateValues" dxfId="2477" priority="4762"/>
    <cfRule type="duplicateValues" dxfId="2476" priority="4765"/>
    <cfRule type="duplicateValues" dxfId="2475" priority="4766"/>
    <cfRule type="duplicateValues" dxfId="2474" priority="4767"/>
    <cfRule type="duplicateValues" dxfId="2473" priority="4768"/>
    <cfRule type="duplicateValues" dxfId="2472" priority="4769"/>
    <cfRule type="duplicateValues" dxfId="2471" priority="4770"/>
    <cfRule type="duplicateValues" dxfId="2470" priority="4771"/>
    <cfRule type="duplicateValues" dxfId="2469" priority="4772"/>
    <cfRule type="duplicateValues" dxfId="2468" priority="4773"/>
    <cfRule type="duplicateValues" dxfId="2467" priority="4775"/>
    <cfRule type="duplicateValues" dxfId="2466" priority="4778"/>
    <cfRule type="duplicateValues" dxfId="2465" priority="4779"/>
    <cfRule type="duplicateValues" dxfId="2464" priority="4781"/>
  </conditionalFormatting>
  <conditionalFormatting sqref="B878 B862:B863">
    <cfRule type="duplicateValues" dxfId="2463" priority="97921"/>
    <cfRule type="duplicateValues" dxfId="2462" priority="97925"/>
    <cfRule type="duplicateValues" dxfId="2461" priority="97926"/>
    <cfRule type="duplicateValues" dxfId="2460" priority="97931"/>
    <cfRule type="duplicateValues" dxfId="2459" priority="97932"/>
    <cfRule type="duplicateValues" dxfId="2458" priority="97933"/>
    <cfRule type="duplicateValues" dxfId="2457" priority="97934"/>
    <cfRule type="duplicateValues" dxfId="2456" priority="97935"/>
    <cfRule type="duplicateValues" dxfId="2455" priority="97936"/>
    <cfRule type="duplicateValues" dxfId="2454" priority="97937"/>
  </conditionalFormatting>
  <conditionalFormatting sqref="B1271:B1273">
    <cfRule type="duplicateValues" dxfId="2453" priority="90776"/>
    <cfRule type="duplicateValues" dxfId="2452" priority="90778"/>
    <cfRule type="duplicateValues" dxfId="2451" priority="90779"/>
  </conditionalFormatting>
  <conditionalFormatting sqref="B1348:B1349">
    <cfRule type="duplicateValues" dxfId="2450" priority="6800"/>
    <cfRule type="duplicateValues" dxfId="2449" priority="6801"/>
    <cfRule type="duplicateValues" dxfId="2448" priority="6803"/>
    <cfRule type="duplicateValues" dxfId="2447" priority="6805"/>
    <cfRule type="duplicateValues" dxfId="2446" priority="6806"/>
    <cfRule type="duplicateValues" dxfId="2445" priority="6808"/>
  </conditionalFormatting>
  <conditionalFormatting sqref="B1351">
    <cfRule type="duplicateValues" dxfId="2444" priority="6810"/>
    <cfRule type="duplicateValues" dxfId="2443" priority="6811"/>
    <cfRule type="duplicateValues" dxfId="2442" priority="6813"/>
  </conditionalFormatting>
  <conditionalFormatting sqref="B108:C113 B115:C115">
    <cfRule type="duplicateValues" dxfId="2441" priority="4563"/>
    <cfRule type="duplicateValues" dxfId="2440" priority="4564"/>
    <cfRule type="duplicateValues" dxfId="2439" priority="4565"/>
  </conditionalFormatting>
  <conditionalFormatting sqref="B456:C456">
    <cfRule type="duplicateValues" dxfId="2438" priority="5684"/>
    <cfRule type="duplicateValues" dxfId="2437" priority="5685"/>
    <cfRule type="duplicateValues" dxfId="2436" priority="5686"/>
  </conditionalFormatting>
  <conditionalFormatting sqref="B528:C568 B572:C617 B619:C651">
    <cfRule type="duplicateValues" dxfId="2435" priority="99153"/>
  </conditionalFormatting>
  <conditionalFormatting sqref="B618:C618 B569:C571">
    <cfRule type="duplicateValues" dxfId="2434" priority="4956"/>
  </conditionalFormatting>
  <conditionalFormatting sqref="B688:C689 B659:C659 B691:C691">
    <cfRule type="duplicateValues" dxfId="2433" priority="4723"/>
  </conditionalFormatting>
  <conditionalFormatting sqref="B692:C692">
    <cfRule type="duplicateValues" dxfId="2432" priority="4760"/>
    <cfRule type="duplicateValues" dxfId="2431" priority="4761"/>
    <cfRule type="duplicateValues" dxfId="2430" priority="4782"/>
  </conditionalFormatting>
  <conditionalFormatting sqref="B878:C878 B862:C863">
    <cfRule type="duplicateValues" dxfId="2429" priority="97919"/>
  </conditionalFormatting>
  <conditionalFormatting sqref="B1348:C1349">
    <cfRule type="duplicateValues" dxfId="2428" priority="6804"/>
  </conditionalFormatting>
  <conditionalFormatting sqref="B1351:C1351">
    <cfRule type="duplicateValues" dxfId="2427" priority="6809"/>
  </conditionalFormatting>
  <conditionalFormatting sqref="C22">
    <cfRule type="duplicateValues" dxfId="2426" priority="9016"/>
  </conditionalFormatting>
  <conditionalFormatting sqref="C31">
    <cfRule type="duplicateValues" dxfId="2425" priority="9009"/>
  </conditionalFormatting>
  <conditionalFormatting sqref="C36">
    <cfRule type="duplicateValues" dxfId="2424" priority="9002"/>
  </conditionalFormatting>
  <conditionalFormatting sqref="C108:C113 C115">
    <cfRule type="duplicateValues" dxfId="2423" priority="4555"/>
    <cfRule type="duplicateValues" dxfId="2422" priority="4560"/>
    <cfRule type="duplicateValues" dxfId="2421" priority="4568"/>
    <cfRule type="duplicateValues" dxfId="2420" priority="4569"/>
    <cfRule type="duplicateValues" dxfId="2419" priority="4578"/>
    <cfRule type="duplicateValues" dxfId="2418" priority="4581"/>
  </conditionalFormatting>
  <conditionalFormatting sqref="C175 C169:C171">
    <cfRule type="duplicateValues" dxfId="2417" priority="5602"/>
    <cfRule type="duplicateValues" dxfId="2416" priority="5605"/>
  </conditionalFormatting>
  <conditionalFormatting sqref="C456">
    <cfRule type="duplicateValues" dxfId="2415" priority="5681"/>
    <cfRule type="duplicateValues" dxfId="2414" priority="5688"/>
    <cfRule type="duplicateValues" dxfId="2413" priority="5689"/>
    <cfRule type="duplicateValues" dxfId="2412" priority="5698"/>
    <cfRule type="duplicateValues" dxfId="2411" priority="5701"/>
  </conditionalFormatting>
  <conditionalFormatting sqref="C528:C568 C572:C617 C619:C651">
    <cfRule type="duplicateValues" dxfId="2410" priority="99101"/>
    <cfRule type="duplicateValues" dxfId="2409" priority="99145"/>
    <cfRule type="duplicateValues" dxfId="2408" priority="99146"/>
  </conditionalFormatting>
  <conditionalFormatting sqref="C618 C569:C571">
    <cfRule type="duplicateValues" dxfId="2407" priority="4942"/>
    <cfRule type="duplicateValues" dxfId="2406" priority="4943"/>
    <cfRule type="duplicateValues" dxfId="2405" priority="4954"/>
  </conditionalFormatting>
  <conditionalFormatting sqref="C688:C689 C659 C691">
    <cfRule type="duplicateValues" dxfId="2404" priority="4721"/>
  </conditionalFormatting>
  <conditionalFormatting sqref="C692">
    <cfRule type="duplicateValues" dxfId="2403" priority="4763"/>
    <cfRule type="duplicateValues" dxfId="2402" priority="4764"/>
    <cfRule type="duplicateValues" dxfId="2401" priority="4774"/>
    <cfRule type="duplicateValues" dxfId="2400" priority="4777"/>
    <cfRule type="duplicateValues" dxfId="2399" priority="4780"/>
  </conditionalFormatting>
  <conditionalFormatting sqref="C878 C862:C863">
    <cfRule type="duplicateValues" dxfId="2398" priority="97923"/>
    <cfRule type="duplicateValues" dxfId="2397" priority="97945"/>
    <cfRule type="duplicateValues" dxfId="2396" priority="97946"/>
  </conditionalFormatting>
  <conditionalFormatting sqref="C1217">
    <cfRule type="duplicateValues" dxfId="2395" priority="6643"/>
    <cfRule type="duplicateValues" dxfId="2394" priority="6644"/>
    <cfRule type="duplicateValues" dxfId="2393" priority="6662"/>
  </conditionalFormatting>
  <conditionalFormatting sqref="C1271:C1273">
    <cfRule type="duplicateValues" dxfId="2392" priority="90777"/>
  </conditionalFormatting>
  <conditionalFormatting sqref="C1348:C1349">
    <cfRule type="duplicateValues" dxfId="2391" priority="6799"/>
    <cfRule type="duplicateValues" dxfId="2390" priority="6802"/>
    <cfRule type="duplicateValues" dxfId="2389" priority="6807"/>
  </conditionalFormatting>
  <conditionalFormatting sqref="C1351">
    <cfRule type="duplicateValues" dxfId="2388" priority="6812"/>
  </conditionalFormatting>
  <conditionalFormatting sqref="D108:D113 D115">
    <cfRule type="duplicateValues" dxfId="2387" priority="4557"/>
    <cfRule type="duplicateValues" dxfId="2386" priority="4577"/>
  </conditionalFormatting>
  <conditionalFormatting sqref="D456">
    <cfRule type="duplicateValues" dxfId="2385" priority="5678"/>
    <cfRule type="duplicateValues" dxfId="2384" priority="5697"/>
  </conditionalFormatting>
  <conditionalFormatting sqref="D528:D568 D572:D617 D619:D651">
    <cfRule type="duplicateValues" dxfId="2383" priority="99113"/>
  </conditionalFormatting>
  <conditionalFormatting sqref="D618 D569:D571">
    <cfRule type="duplicateValues" dxfId="2382" priority="4951"/>
  </conditionalFormatting>
  <conditionalFormatting sqref="D688:D689 D659 D691">
    <cfRule type="duplicateValues" dxfId="2381" priority="4718"/>
  </conditionalFormatting>
  <conditionalFormatting sqref="D692">
    <cfRule type="duplicateValues" dxfId="2380" priority="4776"/>
  </conditionalFormatting>
  <conditionalFormatting sqref="D878 D862:D863">
    <cfRule type="duplicateValues" dxfId="2379" priority="97929"/>
  </conditionalFormatting>
  <conditionalFormatting sqref="D1217">
    <cfRule type="duplicateValues" dxfId="2378" priority="6656"/>
  </conditionalFormatting>
  <conditionalFormatting sqref="D1348:D1349">
    <cfRule type="duplicateValues" dxfId="2377" priority="6798"/>
  </conditionalFormatting>
  <conditionalFormatting sqref="H1647 I1648:I1651 I1653:I1048576 H1652 I1:I2 I5 I1211 I1427 I239:I240 I1289 I235:I236 I71:I76 I109:I114 I455:I456 I459:I462 I1333:I1335 I997:I1001 I1006 I490 I1200 I1628:I1646 I231:I233 I1080:I1082 I146:I148 I880:I881 I1217:I1223 I704:I706 I136:I142 I78:I107 I150:I151 I526:I530 I691:I696 I698 I700 I242:I245 I708:I717 I873:I877 I1494 I25:I28 I1100:I1109 I1244:I1266 I1281:I1287 I191:I195 I32:I69 I793:I801 I883:I887 I965:I969 I116:I128 I131:I132 I992:I993 I497:I498 I1159:I1169 I587:I591 I1026:I1027 I1040 I1016 I1293 I738:I740 I1434:I1441 I156:I162 I165:I186 I654:I660 I662:I667 I725:I729 I750:I755 I1050:I1053 I1063:I1077 I379:I382 I257:I271 I745:I746 I889:I897 I978:I982 I1084 I1270:I1277 I1338:I1373 I1375:I1384 I350:I377 I1171 I578:I585 I616:I652 I987 I989:I990 I466:I474 I505:I524 I476:I487 I1207:I1208 I1114:I1156 I1086:I1087 I15:I22 I757:I770 I1447:I1474 I1580:I1585 I1593:I1626 I1563:I1568 I1571:I1577 I1496:I1520 I219:I224 I277:I280 I532:I563 I594:I612 I782:I790 I803:I871 I911:I928 I944 I1031:I1034 I1176:I1179 I1398:I1421 I1541:I1556 I1588:I1591 I198:I214 I286:I290 I292:I311 I282:I284 I932:I942 I946:I950 I952:I962 I1386:I1390 I1036:I1037 I899 I901:I909 I670:I688 I1181:I1198 I417 I421:I429 I440:I441 I431:I438 I408:I415 I386:I394 I1558:I1560 I1476:I1484 I1523:I1537 I565:I576">
    <cfRule type="cellIs" dxfId="2376" priority="4551" operator="equal">
      <formula>"ogleden sonra gitti"</formula>
    </cfRule>
  </conditionalFormatting>
  <conditionalFormatting sqref="H1647 I1648:I1651 I1653:I1048576 H1652 I1:I2 I5 I1427 I239:I240 I1289 I235:I236 I71:I76 I109:I114 I455:I456 I459:I462 I1333:I1335 I997:I1001 I1006 I490 I1628:I1646 I1080:I1082 I146:I148 I880:I881 I704:I706 I1159:I1169 I136:I142 I78:I107 I150:I151 I526:I530 I691:I696 I698 I700 I242:I245 I708:I717 I873:I877 I1494 I25:I28 I1100:I1109 I1244:I1266 I1281:I1287 I191:I195 I32:I69 I793:I801 I883:I887 I965:I969 I116:I128 I131:I132 I992:I993 I497:I498 I587:I591 I1026:I1027 I1040 I1016 I1293 I738:I740 I1434:I1441 I156:I162 I165:I186 I654:I660 I662:I667 I725:I729 I750:I755 I1050:I1053 I1063:I1077 I379:I382 I257:I271 I745:I746 I889:I897 I978:I982 I1084 I1270:I1277 I1338:I1373 I1375:I1384 I350:I377 I578:I585 I616:I652 I987 I989:I990 I466:I474 I505:I524 I476:I487 I1114:I1156 I1086:I1087 I15:I22 I757:I770 I1447:I1474 I1580:I1585 I1593:I1626 I1563:I1568 I1571:I1577 I1496:I1520 I219:I224 I277:I280 I532:I563 I594:I612 I782:I790 I803:I871 I911:I928 I944 I1031:I1034 I1176:I1179 I1398:I1421 I1541:I1556 I1588:I1591 I198:I214 I226:I233 I286:I290 I292:I311 I282:I284 I932:I942 I946:I950 I952:I962 I1386:I1390 I1036:I1037 I899 I901:I909 I670:I688 I1181:I1195 I417 I421:I429 I440:I441 I431:I438 I408:I415 I386:I394 I1558:I1560 I1476:I1484 I1523:I1537 I565:I576">
    <cfRule type="cellIs" dxfId="2375" priority="4503" operator="equal">
      <formula>"ISE CIKMADI"</formula>
    </cfRule>
    <cfRule type="cellIs" dxfId="2374" priority="4504" operator="equal">
      <formula>"ISE CIKMADI"</formula>
    </cfRule>
  </conditionalFormatting>
  <conditionalFormatting sqref="I226:I230">
    <cfRule type="cellIs" dxfId="2373" priority="4813" operator="equal">
      <formula>"ogleden sonra gitti"</formula>
    </cfRule>
  </conditionalFormatting>
  <conditionalFormatting sqref="I1171">
    <cfRule type="cellIs" dxfId="2372" priority="9518" operator="equal">
      <formula>"ISE CIKMADI DIS GOREV NIJNIYNOVGORODDEN GELDI"</formula>
    </cfRule>
    <cfRule type="cellIs" dxfId="2371" priority="9520" operator="equal">
      <formula>"ISE CIKMADI"</formula>
    </cfRule>
  </conditionalFormatting>
  <conditionalFormatting sqref="I1196:I1198 I1211 I1200 I1217:I1223 I1207:I1208">
    <cfRule type="cellIs" dxfId="2370" priority="5115" operator="equal">
      <formula>"ISE CIKMADI"</formula>
    </cfRule>
    <cfRule type="cellIs" dxfId="2369" priority="5116" operator="equal">
      <formula>"ISE CIKMADI"</formula>
    </cfRule>
  </conditionalFormatting>
  <conditionalFormatting sqref="I86">
    <cfRule type="cellIs" dxfId="2368" priority="4498" operator="equal">
      <formula>"ogleden sonra gitti"</formula>
    </cfRule>
  </conditionalFormatting>
  <conditionalFormatting sqref="I86">
    <cfRule type="cellIs" dxfId="2367" priority="4496" operator="equal">
      <formula>"ISE CIKMADI"</formula>
    </cfRule>
    <cfRule type="cellIs" dxfId="2366" priority="4497" operator="equal">
      <formula>"ISE CIKMADI"</formula>
    </cfRule>
  </conditionalFormatting>
  <conditionalFormatting sqref="I1158">
    <cfRule type="cellIs" dxfId="2365" priority="4479" operator="equal">
      <formula>"ogleden sonra gitti"</formula>
    </cfRule>
  </conditionalFormatting>
  <conditionalFormatting sqref="I1158">
    <cfRule type="cellIs" dxfId="2364" priority="4477" operator="equal">
      <formula>"ISE CIKMADI"</formula>
    </cfRule>
    <cfRule type="cellIs" dxfId="2363" priority="4478" operator="equal">
      <formula>"ISE CIKMADI"</formula>
    </cfRule>
  </conditionalFormatting>
  <conditionalFormatting sqref="I634">
    <cfRule type="cellIs" dxfId="2362" priority="4440" operator="equal">
      <formula>"ogleden sonra gitti"</formula>
    </cfRule>
  </conditionalFormatting>
  <conditionalFormatting sqref="I634">
    <cfRule type="cellIs" dxfId="2361" priority="4438" operator="equal">
      <formula>"ISE CIKMADI"</formula>
    </cfRule>
    <cfRule type="cellIs" dxfId="2360" priority="4439" operator="equal">
      <formula>"ISE CIKMADI"</formula>
    </cfRule>
  </conditionalFormatting>
  <conditionalFormatting sqref="I749">
    <cfRule type="cellIs" dxfId="2359" priority="4401" operator="equal">
      <formula>"ogleden sonra gitti"</formula>
    </cfRule>
  </conditionalFormatting>
  <conditionalFormatting sqref="I749">
    <cfRule type="cellIs" dxfId="2358" priority="4399" operator="equal">
      <formula>"ISE CIKMADI"</formula>
    </cfRule>
    <cfRule type="cellIs" dxfId="2357" priority="4400" operator="equal">
      <formula>"ISE CIKMADI"</formula>
    </cfRule>
  </conditionalFormatting>
  <conditionalFormatting sqref="I488:I489">
    <cfRule type="cellIs" dxfId="2356" priority="4395" operator="equal">
      <formula>"ogleden sonra gitti"</formula>
    </cfRule>
  </conditionalFormatting>
  <conditionalFormatting sqref="I488:I489">
    <cfRule type="cellIs" dxfId="2355" priority="4393" operator="equal">
      <formula>"ISE CIKMADI"</formula>
    </cfRule>
    <cfRule type="cellIs" dxfId="2354" priority="4394" operator="equal">
      <formula>"ISE CIKMADI"</formula>
    </cfRule>
  </conditionalFormatting>
  <conditionalFormatting sqref="I1079">
    <cfRule type="cellIs" dxfId="2353" priority="4368" operator="equal">
      <formula>"ogleden sonra gitti"</formula>
    </cfRule>
  </conditionalFormatting>
  <conditionalFormatting sqref="I1079">
    <cfRule type="cellIs" dxfId="2352" priority="4366" operator="equal">
      <formula>"ISE CIKMADI"</formula>
    </cfRule>
    <cfRule type="cellIs" dxfId="2351" priority="4367" operator="equal">
      <formula>"ISE CIKMADI"</formula>
    </cfRule>
  </conditionalFormatting>
  <conditionalFormatting sqref="I380">
    <cfRule type="cellIs" dxfId="2350" priority="4317" operator="equal">
      <formula>"ogleden sonra gitti"</formula>
    </cfRule>
  </conditionalFormatting>
  <conditionalFormatting sqref="I380">
    <cfRule type="cellIs" dxfId="2349" priority="4315" operator="equal">
      <formula>"ISE CIKMADI"</formula>
    </cfRule>
    <cfRule type="cellIs" dxfId="2348" priority="4316" operator="equal">
      <formula>"ISE CIKMADI"</formula>
    </cfRule>
  </conditionalFormatting>
  <conditionalFormatting sqref="I791:I792">
    <cfRule type="cellIs" dxfId="2347" priority="4311" operator="equal">
      <formula>"ogleden sonra gitti"</formula>
    </cfRule>
  </conditionalFormatting>
  <conditionalFormatting sqref="I791:I792">
    <cfRule type="cellIs" dxfId="2346" priority="4309" operator="equal">
      <formula>"ISE CIKMADI"</formula>
    </cfRule>
    <cfRule type="cellIs" dxfId="2345" priority="4310" operator="equal">
      <formula>"ISE CIKMADI"</formula>
    </cfRule>
  </conditionalFormatting>
  <conditionalFormatting sqref="I491:I493">
    <cfRule type="cellIs" dxfId="2344" priority="4305" operator="equal">
      <formula>"ogleden sonra gitti"</formula>
    </cfRule>
  </conditionalFormatting>
  <conditionalFormatting sqref="I491:I493">
    <cfRule type="cellIs" dxfId="2343" priority="4303" operator="equal">
      <formula>"ISE CIKMADI"</formula>
    </cfRule>
    <cfRule type="cellIs" dxfId="2342" priority="4304" operator="equal">
      <formula>"ISE CIKMADI"</formula>
    </cfRule>
  </conditionalFormatting>
  <conditionalFormatting sqref="I1267:I1269">
    <cfRule type="cellIs" dxfId="2341" priority="4296" operator="equal">
      <formula>"ogleden sonra gitti"</formula>
    </cfRule>
  </conditionalFormatting>
  <conditionalFormatting sqref="I1267:I1269">
    <cfRule type="cellIs" dxfId="2340" priority="4294" operator="equal">
      <formula>"ISE CIKMADI"</formula>
    </cfRule>
    <cfRule type="cellIs" dxfId="2339" priority="4295" operator="equal">
      <formula>"ISE CIKMADI"</formula>
    </cfRule>
  </conditionalFormatting>
  <conditionalFormatting sqref="I256 I249:I253">
    <cfRule type="cellIs" dxfId="2338" priority="4293" operator="equal">
      <formula>"ogleden sonra gitti"</formula>
    </cfRule>
  </conditionalFormatting>
  <conditionalFormatting sqref="I256 I249:I253">
    <cfRule type="cellIs" dxfId="2337" priority="4291" operator="equal">
      <formula>"ISE CIKMADI"</formula>
    </cfRule>
    <cfRule type="cellIs" dxfId="2336" priority="4292" operator="equal">
      <formula>"ISE CIKMADI"</formula>
    </cfRule>
  </conditionalFormatting>
  <conditionalFormatting sqref="B391">
    <cfRule type="duplicateValues" dxfId="2335" priority="102189"/>
    <cfRule type="duplicateValues" dxfId="2334" priority="102190"/>
    <cfRule type="duplicateValues" dxfId="2333" priority="102191"/>
    <cfRule type="duplicateValues" dxfId="2332" priority="102192"/>
    <cfRule type="duplicateValues" dxfId="2331" priority="102193"/>
    <cfRule type="duplicateValues" dxfId="2330" priority="102194"/>
    <cfRule type="duplicateValues" dxfId="2329" priority="102195"/>
  </conditionalFormatting>
  <conditionalFormatting sqref="C391">
    <cfRule type="duplicateValues" dxfId="2328" priority="102640"/>
    <cfRule type="duplicateValues" dxfId="2327" priority="102641"/>
  </conditionalFormatting>
  <conditionalFormatting sqref="B1293:C1294 B1064 B1013:C1063">
    <cfRule type="duplicateValues" dxfId="2326" priority="102642"/>
  </conditionalFormatting>
  <conditionalFormatting sqref="B1064">
    <cfRule type="duplicateValues" dxfId="2325" priority="102644"/>
    <cfRule type="duplicateValues" dxfId="2324" priority="102645"/>
  </conditionalFormatting>
  <conditionalFormatting sqref="C1064">
    <cfRule type="duplicateValues" dxfId="2323" priority="103019"/>
    <cfRule type="duplicateValues" dxfId="2322" priority="103020"/>
    <cfRule type="duplicateValues" dxfId="2321" priority="103021"/>
    <cfRule type="duplicateValues" dxfId="2320" priority="103022"/>
    <cfRule type="duplicateValues" dxfId="2319" priority="103023"/>
    <cfRule type="duplicateValues" dxfId="2318" priority="103024"/>
    <cfRule type="duplicateValues" dxfId="2317" priority="103025"/>
    <cfRule type="duplicateValues" dxfId="2316" priority="103026"/>
  </conditionalFormatting>
  <conditionalFormatting sqref="D1064">
    <cfRule type="duplicateValues" dxfId="2315" priority="103152"/>
    <cfRule type="duplicateValues" dxfId="2314" priority="103153"/>
  </conditionalFormatting>
  <conditionalFormatting sqref="C1648">
    <cfRule type="duplicateValues" dxfId="2313" priority="4244"/>
  </conditionalFormatting>
  <conditionalFormatting sqref="C1648">
    <cfRule type="duplicateValues" dxfId="2312" priority="4243"/>
  </conditionalFormatting>
  <conditionalFormatting sqref="C1648">
    <cfRule type="duplicateValues" dxfId="2311" priority="4242"/>
  </conditionalFormatting>
  <conditionalFormatting sqref="C1648">
    <cfRule type="duplicateValues" dxfId="2310" priority="4235"/>
    <cfRule type="duplicateValues" dxfId="2309" priority="4236"/>
    <cfRule type="duplicateValues" dxfId="2308" priority="4237"/>
    <cfRule type="duplicateValues" dxfId="2307" priority="4238"/>
    <cfRule type="duplicateValues" dxfId="2306" priority="4239"/>
    <cfRule type="duplicateValues" dxfId="2305" priority="4240"/>
    <cfRule type="duplicateValues" dxfId="2304" priority="4241"/>
  </conditionalFormatting>
  <conditionalFormatting sqref="C1648">
    <cfRule type="duplicateValues" dxfId="2303" priority="4234"/>
  </conditionalFormatting>
  <conditionalFormatting sqref="C1648">
    <cfRule type="duplicateValues" dxfId="2302" priority="4232"/>
    <cfRule type="duplicateValues" dxfId="2301" priority="4233"/>
  </conditionalFormatting>
  <conditionalFormatting sqref="C1648">
    <cfRule type="duplicateValues" dxfId="2300" priority="4230"/>
    <cfRule type="duplicateValues" dxfId="2299" priority="4231"/>
  </conditionalFormatting>
  <conditionalFormatting sqref="C1648">
    <cfRule type="duplicateValues" dxfId="2298" priority="4229"/>
  </conditionalFormatting>
  <conditionalFormatting sqref="C1648">
    <cfRule type="duplicateValues" dxfId="2297" priority="4228"/>
  </conditionalFormatting>
  <conditionalFormatting sqref="I108">
    <cfRule type="cellIs" dxfId="2296" priority="4179" operator="equal">
      <formula>"ogleden sonra gitti"</formula>
    </cfRule>
  </conditionalFormatting>
  <conditionalFormatting sqref="I108">
    <cfRule type="cellIs" dxfId="2295" priority="4177" operator="equal">
      <formula>"ISE CIKMADI"</formula>
    </cfRule>
    <cfRule type="cellIs" dxfId="2294" priority="4178" operator="equal">
      <formula>"ISE CIKMADI"</formula>
    </cfRule>
  </conditionalFormatting>
  <conditionalFormatting sqref="I661">
    <cfRule type="cellIs" dxfId="2293" priority="4170" operator="equal">
      <formula>"ogleden sonra gitti"</formula>
    </cfRule>
  </conditionalFormatting>
  <conditionalFormatting sqref="I661">
    <cfRule type="cellIs" dxfId="2292" priority="4168" operator="equal">
      <formula>"ISE CIKMADI"</formula>
    </cfRule>
    <cfRule type="cellIs" dxfId="2291" priority="4169" operator="equal">
      <formula>"ISE CIKMADI"</formula>
    </cfRule>
  </conditionalFormatting>
  <conditionalFormatting sqref="I1028:I1030">
    <cfRule type="cellIs" dxfId="2290" priority="4148" operator="equal">
      <formula>"ogleden sonra gitti"</formula>
    </cfRule>
  </conditionalFormatting>
  <conditionalFormatting sqref="I1028:I1030">
    <cfRule type="cellIs" dxfId="2289" priority="4146" operator="equal">
      <formula>"ISE CIKMADI"</formula>
    </cfRule>
    <cfRule type="cellIs" dxfId="2288" priority="4147" operator="equal">
      <formula>"ISE CIKMADI"</formula>
    </cfRule>
  </conditionalFormatting>
  <conditionalFormatting sqref="I1043:I1044">
    <cfRule type="cellIs" dxfId="2287" priority="4145" operator="equal">
      <formula>"ogleden sonra gitti"</formula>
    </cfRule>
  </conditionalFormatting>
  <conditionalFormatting sqref="I1043:I1044">
    <cfRule type="cellIs" dxfId="2286" priority="4143" operator="equal">
      <formula>"ISE CIKMADI"</formula>
    </cfRule>
    <cfRule type="cellIs" dxfId="2285" priority="4144" operator="equal">
      <formula>"ISE CIKMADI"</formula>
    </cfRule>
  </conditionalFormatting>
  <conditionalFormatting sqref="I1046:I1049">
    <cfRule type="cellIs" dxfId="2284" priority="4139" operator="equal">
      <formula>"ogleden sonra gitti"</formula>
    </cfRule>
  </conditionalFormatting>
  <conditionalFormatting sqref="I1046:I1049">
    <cfRule type="cellIs" dxfId="2283" priority="4137" operator="equal">
      <formula>"ISE CIKMADI"</formula>
    </cfRule>
    <cfRule type="cellIs" dxfId="2282" priority="4138" operator="equal">
      <formula>"ISE CIKMADI"</formula>
    </cfRule>
  </conditionalFormatting>
  <conditionalFormatting sqref="I1054:I1057">
    <cfRule type="cellIs" dxfId="2281" priority="4133" operator="equal">
      <formula>"ogleden sonra gitti"</formula>
    </cfRule>
  </conditionalFormatting>
  <conditionalFormatting sqref="I1054:I1057">
    <cfRule type="cellIs" dxfId="2280" priority="4131" operator="equal">
      <formula>"ISE CIKMADI"</formula>
    </cfRule>
    <cfRule type="cellIs" dxfId="2279" priority="4132" operator="equal">
      <formula>"ISE CIKMADI"</formula>
    </cfRule>
  </conditionalFormatting>
  <conditionalFormatting sqref="I1165">
    <cfRule type="cellIs" dxfId="2278" priority="4037" operator="equal">
      <formula>"ogleden sonra gitti"</formula>
    </cfRule>
  </conditionalFormatting>
  <conditionalFormatting sqref="I1165">
    <cfRule type="cellIs" dxfId="2277" priority="4035" operator="equal">
      <formula>"ISE CIKMADI"</formula>
    </cfRule>
    <cfRule type="cellIs" dxfId="2276" priority="4036" operator="equal">
      <formula>"ISE CIKMADI"</formula>
    </cfRule>
  </conditionalFormatting>
  <conditionalFormatting sqref="I1206">
    <cfRule type="cellIs" dxfId="2275" priority="4032" operator="equal">
      <formula>"ogleden sonra gitti"</formula>
    </cfRule>
  </conditionalFormatting>
  <conditionalFormatting sqref="I1206">
    <cfRule type="cellIs" dxfId="2274" priority="4033" operator="equal">
      <formula>"ISE CIKMADI"</formula>
    </cfRule>
    <cfRule type="cellIs" dxfId="2273" priority="4034" operator="equal">
      <formula>"ISE CIKMADI"</formula>
    </cfRule>
  </conditionalFormatting>
  <conditionalFormatting sqref="I1424:I1426">
    <cfRule type="cellIs" dxfId="2272" priority="4013" operator="equal">
      <formula>"ogleden sonra gitti"</formula>
    </cfRule>
  </conditionalFormatting>
  <conditionalFormatting sqref="I1424:I1426">
    <cfRule type="cellIs" dxfId="2271" priority="4011" operator="equal">
      <formula>"ISE CIKMADI"</formula>
    </cfRule>
    <cfRule type="cellIs" dxfId="2270" priority="4012" operator="equal">
      <formula>"ISE CIKMADI"</formula>
    </cfRule>
  </conditionalFormatting>
  <conditionalFormatting sqref="I23">
    <cfRule type="cellIs" dxfId="2269" priority="4004" operator="equal">
      <formula>"ogleden sonra gitti"</formula>
    </cfRule>
  </conditionalFormatting>
  <conditionalFormatting sqref="I23">
    <cfRule type="cellIs" dxfId="2268" priority="4002" operator="equal">
      <formula>"ISE CIKMADI"</formula>
    </cfRule>
    <cfRule type="cellIs" dxfId="2267" priority="4003" operator="equal">
      <formula>"ISE CIKMADI"</formula>
    </cfRule>
  </conditionalFormatting>
  <conditionalFormatting sqref="C2">
    <cfRule type="duplicateValues" dxfId="2266" priority="3997"/>
  </conditionalFormatting>
  <conditionalFormatting sqref="C2">
    <cfRule type="duplicateValues" dxfId="2265" priority="3998"/>
  </conditionalFormatting>
  <conditionalFormatting sqref="I1088:I1096 I1098">
    <cfRule type="cellIs" dxfId="2264" priority="3978" operator="equal">
      <formula>"ogleden sonra gitti"</formula>
    </cfRule>
  </conditionalFormatting>
  <conditionalFormatting sqref="I1088:I1096 I1098">
    <cfRule type="cellIs" dxfId="2263" priority="3976" operator="equal">
      <formula>"ISE CIKMADI"</formula>
    </cfRule>
    <cfRule type="cellIs" dxfId="2262" priority="3977" operator="equal">
      <formula>"ISE CIKMADI"</formula>
    </cfRule>
  </conditionalFormatting>
  <conditionalFormatting sqref="I1374">
    <cfRule type="cellIs" dxfId="2261" priority="3972" operator="equal">
      <formula>"ogleden sonra gitti"</formula>
    </cfRule>
  </conditionalFormatting>
  <conditionalFormatting sqref="I1374">
    <cfRule type="cellIs" dxfId="2260" priority="3970" operator="equal">
      <formula>"ISE CIKMADI"</formula>
    </cfRule>
    <cfRule type="cellIs" dxfId="2259" priority="3971" operator="equal">
      <formula>"ISE CIKMADI"</formula>
    </cfRule>
  </conditionalFormatting>
  <conditionalFormatting sqref="I353">
    <cfRule type="cellIs" dxfId="2258" priority="3963" operator="equal">
      <formula>"ogleden sonra gitti"</formula>
    </cfRule>
  </conditionalFormatting>
  <conditionalFormatting sqref="I353">
    <cfRule type="cellIs" dxfId="2257" priority="3961" operator="equal">
      <formula>"ISE CIKMADI"</formula>
    </cfRule>
    <cfRule type="cellIs" dxfId="2256" priority="3962" operator="equal">
      <formula>"ISE CIKMADI"</formula>
    </cfRule>
  </conditionalFormatting>
  <conditionalFormatting sqref="I1396:I1397">
    <cfRule type="cellIs" dxfId="2255" priority="3966" operator="equal">
      <formula>"ogleden sonra gitti"</formula>
    </cfRule>
  </conditionalFormatting>
  <conditionalFormatting sqref="I1396:I1397">
    <cfRule type="cellIs" dxfId="2254" priority="3964" operator="equal">
      <formula>"ISE CIKMADI"</formula>
    </cfRule>
    <cfRule type="cellIs" dxfId="2253" priority="3965" operator="equal">
      <formula>"ISE CIKMADI"</formula>
    </cfRule>
  </conditionalFormatting>
  <conditionalFormatting sqref="I653">
    <cfRule type="cellIs" dxfId="2252" priority="3957" operator="equal">
      <formula>"ogleden sonra gitti"</formula>
    </cfRule>
  </conditionalFormatting>
  <conditionalFormatting sqref="I653">
    <cfRule type="cellIs" dxfId="2251" priority="3955" operator="equal">
      <formula>"ISE CIKMADI"</formula>
    </cfRule>
    <cfRule type="cellIs" dxfId="2250" priority="3956" operator="equal">
      <formula>"ISE CIKMADI"</formula>
    </cfRule>
  </conditionalFormatting>
  <conditionalFormatting sqref="I3:I4">
    <cfRule type="cellIs" dxfId="2249" priority="3936" operator="equal">
      <formula>"ogleden sonra gitti"</formula>
    </cfRule>
  </conditionalFormatting>
  <conditionalFormatting sqref="I3:I4">
    <cfRule type="cellIs" dxfId="2248" priority="3934" operator="equal">
      <formula>"ISE CIKMADI"</formula>
    </cfRule>
    <cfRule type="cellIs" dxfId="2247" priority="3935" operator="equal">
      <formula>"ISE CIKMADI"</formula>
    </cfRule>
  </conditionalFormatting>
  <conditionalFormatting sqref="I463 I465">
    <cfRule type="cellIs" dxfId="2246" priority="3933" operator="equal">
      <formula>"ogleden sonra gitti"</formula>
    </cfRule>
  </conditionalFormatting>
  <conditionalFormatting sqref="I463 I465">
    <cfRule type="cellIs" dxfId="2245" priority="3931" operator="equal">
      <formula>"ISE CIKMADI"</formula>
    </cfRule>
    <cfRule type="cellIs" dxfId="2244" priority="3932" operator="equal">
      <formula>"ISE CIKMADI"</formula>
    </cfRule>
  </conditionalFormatting>
  <conditionalFormatting sqref="B481">
    <cfRule type="duplicateValues" dxfId="2243" priority="3930"/>
  </conditionalFormatting>
  <conditionalFormatting sqref="B481">
    <cfRule type="duplicateValues" dxfId="2242" priority="3929"/>
  </conditionalFormatting>
  <conditionalFormatting sqref="B481">
    <cfRule type="duplicateValues" dxfId="2241" priority="3928"/>
  </conditionalFormatting>
  <conditionalFormatting sqref="B481">
    <cfRule type="duplicateValues" dxfId="2240" priority="3921"/>
    <cfRule type="duplicateValues" dxfId="2239" priority="3922"/>
    <cfRule type="duplicateValues" dxfId="2238" priority="3923"/>
    <cfRule type="duplicateValues" dxfId="2237" priority="3924"/>
    <cfRule type="duplicateValues" dxfId="2236" priority="3925"/>
    <cfRule type="duplicateValues" dxfId="2235" priority="3926"/>
    <cfRule type="duplicateValues" dxfId="2234" priority="3927"/>
  </conditionalFormatting>
  <conditionalFormatting sqref="B481">
    <cfRule type="duplicateValues" dxfId="2233" priority="3920"/>
  </conditionalFormatting>
  <conditionalFormatting sqref="B481">
    <cfRule type="duplicateValues" dxfId="2232" priority="3918"/>
    <cfRule type="duplicateValues" dxfId="2231" priority="3919"/>
  </conditionalFormatting>
  <conditionalFormatting sqref="B481">
    <cfRule type="duplicateValues" dxfId="2230" priority="3916"/>
    <cfRule type="duplicateValues" dxfId="2229" priority="3917"/>
  </conditionalFormatting>
  <conditionalFormatting sqref="B481">
    <cfRule type="duplicateValues" dxfId="2228" priority="3915"/>
  </conditionalFormatting>
  <conditionalFormatting sqref="B481:C481">
    <cfRule type="duplicateValues" dxfId="2227" priority="3914"/>
  </conditionalFormatting>
  <conditionalFormatting sqref="B481:C481">
    <cfRule type="duplicateValues" dxfId="2226" priority="3913"/>
  </conditionalFormatting>
  <conditionalFormatting sqref="B481:C481">
    <cfRule type="duplicateValues" dxfId="2225" priority="3912"/>
  </conditionalFormatting>
  <conditionalFormatting sqref="D481">
    <cfRule type="duplicateValues" dxfId="2224" priority="3911"/>
  </conditionalFormatting>
  <conditionalFormatting sqref="D481">
    <cfRule type="duplicateValues" dxfId="2223" priority="3910"/>
  </conditionalFormatting>
  <conditionalFormatting sqref="B481">
    <cfRule type="duplicateValues" dxfId="2222" priority="3906"/>
  </conditionalFormatting>
  <conditionalFormatting sqref="C481">
    <cfRule type="duplicateValues" dxfId="2221" priority="3905"/>
  </conditionalFormatting>
  <conditionalFormatting sqref="C481">
    <cfRule type="duplicateValues" dxfId="2220" priority="3904"/>
  </conditionalFormatting>
  <conditionalFormatting sqref="C481">
    <cfRule type="duplicateValues" dxfId="2219" priority="3902"/>
    <cfRule type="duplicateValues" dxfId="2218" priority="3903"/>
  </conditionalFormatting>
  <conditionalFormatting sqref="C481">
    <cfRule type="duplicateValues" dxfId="2217" priority="3901"/>
  </conditionalFormatting>
  <conditionalFormatting sqref="C481">
    <cfRule type="duplicateValues" dxfId="2216" priority="3900"/>
  </conditionalFormatting>
  <conditionalFormatting sqref="C481">
    <cfRule type="duplicateValues" dxfId="2215" priority="3899"/>
  </conditionalFormatting>
  <conditionalFormatting sqref="C481">
    <cfRule type="duplicateValues" dxfId="2214" priority="3897"/>
    <cfRule type="duplicateValues" dxfId="2213" priority="3898"/>
  </conditionalFormatting>
  <conditionalFormatting sqref="C481">
    <cfRule type="duplicateValues" dxfId="2212" priority="3896"/>
  </conditionalFormatting>
  <conditionalFormatting sqref="I12:I14">
    <cfRule type="cellIs" dxfId="2211" priority="3895" operator="equal">
      <formula>"ogleden sonra gitti"</formula>
    </cfRule>
  </conditionalFormatting>
  <conditionalFormatting sqref="I12:I14">
    <cfRule type="cellIs" dxfId="2210" priority="3893" operator="equal">
      <formula>"ISE CIKMADI"</formula>
    </cfRule>
    <cfRule type="cellIs" dxfId="2209" priority="3894" operator="equal">
      <formula>"ISE CIKMADI"</formula>
    </cfRule>
  </conditionalFormatting>
  <conditionalFormatting sqref="I403:I407">
    <cfRule type="cellIs" dxfId="2208" priority="3872" operator="equal">
      <formula>"ogleden sonra gitti"</formula>
    </cfRule>
  </conditionalFormatting>
  <conditionalFormatting sqref="I403:I407">
    <cfRule type="cellIs" dxfId="2207" priority="3870" operator="equal">
      <formula>"ISE CIKMADI"</formula>
    </cfRule>
    <cfRule type="cellIs" dxfId="2206" priority="3871" operator="equal">
      <formula>"ISE CIKMADI"</formula>
    </cfRule>
  </conditionalFormatting>
  <conditionalFormatting sqref="I457:I458">
    <cfRule type="cellIs" dxfId="2205" priority="3866" operator="equal">
      <formula>"ogleden sonra gitti"</formula>
    </cfRule>
  </conditionalFormatting>
  <conditionalFormatting sqref="I457:I458">
    <cfRule type="cellIs" dxfId="2204" priority="3864" operator="equal">
      <formula>"ISE CIKMADI"</formula>
    </cfRule>
    <cfRule type="cellIs" dxfId="2203" priority="3865" operator="equal">
      <formula>"ISE CIKMADI"</formula>
    </cfRule>
  </conditionalFormatting>
  <conditionalFormatting sqref="I442">
    <cfRule type="cellIs" dxfId="2202" priority="3863" operator="equal">
      <formula>"ogleden sonra gitti"</formula>
    </cfRule>
  </conditionalFormatting>
  <conditionalFormatting sqref="I442">
    <cfRule type="cellIs" dxfId="2201" priority="3861" operator="equal">
      <formula>"ISE CIKMADI"</formula>
    </cfRule>
    <cfRule type="cellIs" dxfId="2200" priority="3862" operator="equal">
      <formula>"ISE CIKMADI"</formula>
    </cfRule>
  </conditionalFormatting>
  <conditionalFormatting sqref="D6">
    <cfRule type="duplicateValues" dxfId="2199" priority="3846"/>
    <cfRule type="duplicateValues" dxfId="2198" priority="3847"/>
  </conditionalFormatting>
  <conditionalFormatting sqref="D6">
    <cfRule type="duplicateValues" dxfId="2197" priority="3841"/>
  </conditionalFormatting>
  <conditionalFormatting sqref="C6">
    <cfRule type="duplicateValues" dxfId="2196" priority="3840"/>
  </conditionalFormatting>
  <conditionalFormatting sqref="C6">
    <cfRule type="duplicateValues" dxfId="2195" priority="3836"/>
    <cfRule type="duplicateValues" dxfId="2194" priority="3837"/>
    <cfRule type="duplicateValues" dxfId="2193" priority="3838"/>
  </conditionalFormatting>
  <conditionalFormatting sqref="D6">
    <cfRule type="duplicateValues" dxfId="2192" priority="3835"/>
  </conditionalFormatting>
  <conditionalFormatting sqref="D6">
    <cfRule type="duplicateValues" dxfId="2191" priority="3833"/>
    <cfRule type="duplicateValues" dxfId="2190" priority="3834"/>
  </conditionalFormatting>
  <conditionalFormatting sqref="I6">
    <cfRule type="cellIs" dxfId="2189" priority="3830" operator="equal">
      <formula>"ISE CIKMADI"</formula>
    </cfRule>
    <cfRule type="cellIs" dxfId="2188" priority="3831" operator="equal">
      <formula>"ISE CIKMADI"</formula>
    </cfRule>
    <cfRule type="cellIs" dxfId="2187" priority="3832" operator="equal">
      <formula>"ISE CIKMADI"</formula>
    </cfRule>
  </conditionalFormatting>
  <conditionalFormatting sqref="I1171">
    <cfRule type="cellIs" dxfId="2186" priority="3828" operator="equal">
      <formula>"ISE CIKMADI"</formula>
    </cfRule>
    <cfRule type="cellIs" dxfId="2185" priority="3829" operator="equal">
      <formula>"ISE CIKMADI"</formula>
    </cfRule>
  </conditionalFormatting>
  <conditionalFormatting sqref="I70">
    <cfRule type="cellIs" dxfId="2184" priority="3827" operator="equal">
      <formula>"ogleden sonra gitti"</formula>
    </cfRule>
  </conditionalFormatting>
  <conditionalFormatting sqref="I70">
    <cfRule type="cellIs" dxfId="2183" priority="3825" operator="equal">
      <formula>"ISE CIKMADI"</formula>
    </cfRule>
    <cfRule type="cellIs" dxfId="2182" priority="3826" operator="equal">
      <formula>"ISE CIKMADI"</formula>
    </cfRule>
  </conditionalFormatting>
  <conditionalFormatting sqref="B653">
    <cfRule type="duplicateValues" dxfId="2181" priority="3812"/>
    <cfRule type="duplicateValues" dxfId="2180" priority="3813"/>
    <cfRule type="duplicateValues" dxfId="2179" priority="3814"/>
    <cfRule type="duplicateValues" dxfId="2178" priority="3815"/>
    <cfRule type="duplicateValues" dxfId="2177" priority="3816"/>
    <cfRule type="duplicateValues" dxfId="2176" priority="3817"/>
    <cfRule type="duplicateValues" dxfId="2175" priority="3818"/>
    <cfRule type="duplicateValues" dxfId="2174" priority="3819"/>
    <cfRule type="duplicateValues" dxfId="2173" priority="3820"/>
    <cfRule type="duplicateValues" dxfId="2172" priority="3821"/>
  </conditionalFormatting>
  <conditionalFormatting sqref="B653">
    <cfRule type="duplicateValues" dxfId="2171" priority="3808"/>
    <cfRule type="duplicateValues" dxfId="2170" priority="3809"/>
    <cfRule type="duplicateValues" dxfId="2169" priority="3810"/>
    <cfRule type="duplicateValues" dxfId="2168" priority="3811"/>
  </conditionalFormatting>
  <conditionalFormatting sqref="B653">
    <cfRule type="duplicateValues" dxfId="2167" priority="3806"/>
    <cfRule type="duplicateValues" dxfId="2166" priority="3807"/>
  </conditionalFormatting>
  <conditionalFormatting sqref="B653:C653">
    <cfRule type="duplicateValues" dxfId="2165" priority="3805"/>
  </conditionalFormatting>
  <conditionalFormatting sqref="B653:C653">
    <cfRule type="duplicateValues" dxfId="2164" priority="3804"/>
  </conditionalFormatting>
  <conditionalFormatting sqref="B653:C653">
    <cfRule type="duplicateValues" dxfId="2163" priority="3803"/>
  </conditionalFormatting>
  <conditionalFormatting sqref="C653">
    <cfRule type="duplicateValues" dxfId="2162" priority="3800"/>
    <cfRule type="duplicateValues" dxfId="2161" priority="3801"/>
    <cfRule type="duplicateValues" dxfId="2160" priority="3802"/>
  </conditionalFormatting>
  <conditionalFormatting sqref="C653">
    <cfRule type="duplicateValues" dxfId="2159" priority="3798"/>
    <cfRule type="duplicateValues" dxfId="2158" priority="3799"/>
  </conditionalFormatting>
  <conditionalFormatting sqref="C653">
    <cfRule type="duplicateValues" dxfId="2157" priority="3797"/>
  </conditionalFormatting>
  <conditionalFormatting sqref="D653">
    <cfRule type="duplicateValues" dxfId="2156" priority="3796"/>
  </conditionalFormatting>
  <conditionalFormatting sqref="D653">
    <cfRule type="duplicateValues" dxfId="2155" priority="3795"/>
  </conditionalFormatting>
  <conditionalFormatting sqref="B653">
    <cfRule type="duplicateValues" dxfId="2154" priority="3794"/>
  </conditionalFormatting>
  <conditionalFormatting sqref="C653">
    <cfRule type="duplicateValues" dxfId="2153" priority="3793"/>
  </conditionalFormatting>
  <conditionalFormatting sqref="C653">
    <cfRule type="duplicateValues" dxfId="2152" priority="3791"/>
    <cfRule type="duplicateValues" dxfId="2151" priority="3792"/>
  </conditionalFormatting>
  <conditionalFormatting sqref="C653">
    <cfRule type="duplicateValues" dxfId="2150" priority="3790"/>
  </conditionalFormatting>
  <conditionalFormatting sqref="B690 B654:B658 B660:B664 B697:B698 B666:B687">
    <cfRule type="duplicateValues" dxfId="2149" priority="108226"/>
    <cfRule type="duplicateValues" dxfId="2148" priority="108227"/>
    <cfRule type="duplicateValues" dxfId="2147" priority="108228"/>
    <cfRule type="duplicateValues" dxfId="2146" priority="108229"/>
  </conditionalFormatting>
  <conditionalFormatting sqref="B690:C690 B654:C658 B660:C664 B697:C698 B666:C687">
    <cfRule type="duplicateValues" dxfId="2145" priority="108584"/>
  </conditionalFormatting>
  <conditionalFormatting sqref="C690 C654:C658 C660:C664 C666:C687 C697:C698">
    <cfRule type="duplicateValues" dxfId="2144" priority="108683"/>
    <cfRule type="duplicateValues" dxfId="2143" priority="108684"/>
  </conditionalFormatting>
  <conditionalFormatting sqref="I586">
    <cfRule type="cellIs" dxfId="2142" priority="3786" operator="equal">
      <formula>"ogleden sonra gitti"</formula>
    </cfRule>
  </conditionalFormatting>
  <conditionalFormatting sqref="I586">
    <cfRule type="cellIs" dxfId="2141" priority="3784" operator="equal">
      <formula>"ISE CIKMADI"</formula>
    </cfRule>
    <cfRule type="cellIs" dxfId="2140" priority="3785" operator="equal">
      <formula>"ISE CIKMADI"</formula>
    </cfRule>
  </conditionalFormatting>
  <conditionalFormatting sqref="I1153:I1164">
    <cfRule type="cellIs" dxfId="2139" priority="3783" operator="equal">
      <formula>"ogleden sonra gitti"</formula>
    </cfRule>
  </conditionalFormatting>
  <conditionalFormatting sqref="I1153:I1164">
    <cfRule type="cellIs" dxfId="2138" priority="3781" operator="equal">
      <formula>"ISE CIKMADI"</formula>
    </cfRule>
    <cfRule type="cellIs" dxfId="2137" priority="3782" operator="equal">
      <formula>"ISE CIKMADI"</formula>
    </cfRule>
  </conditionalFormatting>
  <conditionalFormatting sqref="C282">
    <cfRule type="duplicateValues" dxfId="2136" priority="3767"/>
    <cfRule type="duplicateValues" dxfId="2135" priority="3768"/>
  </conditionalFormatting>
  <conditionalFormatting sqref="C260">
    <cfRule type="duplicateValues" dxfId="2134" priority="3765"/>
    <cfRule type="duplicateValues" dxfId="2133" priority="3766"/>
  </conditionalFormatting>
  <conditionalFormatting sqref="I282:I284">
    <cfRule type="cellIs" dxfId="2132" priority="3740" operator="equal">
      <formula>"ISE CIKMADI"</formula>
    </cfRule>
    <cfRule type="cellIs" dxfId="2131" priority="3741" operator="equal">
      <formula>"ISE CIKMADI"</formula>
    </cfRule>
  </conditionalFormatting>
  <conditionalFormatting sqref="I172:I174 I191:I194 I283:I284 I286:I290 I292:I311">
    <cfRule type="cellIs" dxfId="2130" priority="3744" operator="equal">
      <formula>"ISE CIKMADI GECE"</formula>
    </cfRule>
  </conditionalFormatting>
  <conditionalFormatting sqref="I469:I470">
    <cfRule type="cellIs" dxfId="2129" priority="3712" operator="equal">
      <formula>"ogleden sonra gitti"</formula>
    </cfRule>
  </conditionalFormatting>
  <conditionalFormatting sqref="I469:I470">
    <cfRule type="cellIs" dxfId="2128" priority="3710" operator="equal">
      <formula>"ISE CIKMADI"</formula>
    </cfRule>
    <cfRule type="cellIs" dxfId="2127" priority="3711" operator="equal">
      <formula>"ISE CIKMADI"</formula>
    </cfRule>
  </conditionalFormatting>
  <conditionalFormatting sqref="B6">
    <cfRule type="duplicateValues" dxfId="2126" priority="3697"/>
  </conditionalFormatting>
  <conditionalFormatting sqref="B6">
    <cfRule type="duplicateValues" dxfId="2125" priority="3696"/>
  </conditionalFormatting>
  <conditionalFormatting sqref="B6">
    <cfRule type="duplicateValues" dxfId="2124" priority="3695"/>
  </conditionalFormatting>
  <conditionalFormatting sqref="B6">
    <cfRule type="duplicateValues" dxfId="2123" priority="3688"/>
    <cfRule type="duplicateValues" dxfId="2122" priority="3689"/>
    <cfRule type="duplicateValues" dxfId="2121" priority="3690"/>
    <cfRule type="duplicateValues" dxfId="2120" priority="3691"/>
    <cfRule type="duplicateValues" dxfId="2119" priority="3692"/>
    <cfRule type="duplicateValues" dxfId="2118" priority="3693"/>
    <cfRule type="duplicateValues" dxfId="2117" priority="3694"/>
  </conditionalFormatting>
  <conditionalFormatting sqref="B6">
    <cfRule type="duplicateValues" dxfId="2116" priority="3687"/>
  </conditionalFormatting>
  <conditionalFormatting sqref="B6">
    <cfRule type="duplicateValues" dxfId="2115" priority="3685"/>
    <cfRule type="duplicateValues" dxfId="2114" priority="3686"/>
  </conditionalFormatting>
  <conditionalFormatting sqref="B6">
    <cfRule type="duplicateValues" dxfId="2113" priority="3683"/>
    <cfRule type="duplicateValues" dxfId="2112" priority="3684"/>
  </conditionalFormatting>
  <conditionalFormatting sqref="B6">
    <cfRule type="duplicateValues" dxfId="2111" priority="3682"/>
  </conditionalFormatting>
  <conditionalFormatting sqref="B6">
    <cfRule type="duplicateValues" dxfId="2110" priority="3681"/>
  </conditionalFormatting>
  <conditionalFormatting sqref="B6">
    <cfRule type="duplicateValues" dxfId="2109" priority="3680"/>
  </conditionalFormatting>
  <conditionalFormatting sqref="B6">
    <cfRule type="duplicateValues" dxfId="2108" priority="3679"/>
  </conditionalFormatting>
  <conditionalFormatting sqref="B6">
    <cfRule type="duplicateValues" dxfId="2107" priority="3678"/>
  </conditionalFormatting>
  <conditionalFormatting sqref="I443:I449">
    <cfRule type="cellIs" dxfId="2106" priority="3671" operator="equal">
      <formula>"ogleden sonra gitti"</formula>
    </cfRule>
  </conditionalFormatting>
  <conditionalFormatting sqref="I443:I449">
    <cfRule type="cellIs" dxfId="2105" priority="3669" operator="equal">
      <formula>"ISE CIKMADI"</formula>
    </cfRule>
    <cfRule type="cellIs" dxfId="2104" priority="3670" operator="equal">
      <formula>"ISE CIKMADI"</formula>
    </cfRule>
  </conditionalFormatting>
  <conditionalFormatting sqref="I1014:I1015">
    <cfRule type="cellIs" dxfId="2103" priority="3668" operator="equal">
      <formula>"ogleden sonra gitti"</formula>
    </cfRule>
  </conditionalFormatting>
  <conditionalFormatting sqref="I1014:I1015">
    <cfRule type="cellIs" dxfId="2102" priority="3666" operator="equal">
      <formula>"ISE CIKMADI"</formula>
    </cfRule>
    <cfRule type="cellIs" dxfId="2101" priority="3667" operator="equal">
      <formula>"ISE CIKMADI"</formula>
    </cfRule>
  </conditionalFormatting>
  <conditionalFormatting sqref="I1019">
    <cfRule type="cellIs" dxfId="2100" priority="3665" operator="equal">
      <formula>"ogleden sonra gitti"</formula>
    </cfRule>
  </conditionalFormatting>
  <conditionalFormatting sqref="I1019">
    <cfRule type="cellIs" dxfId="2099" priority="3663" operator="equal">
      <formula>"ISE CIKMADI"</formula>
    </cfRule>
    <cfRule type="cellIs" dxfId="2098" priority="3664" operator="equal">
      <formula>"ISE CIKMADI"</formula>
    </cfRule>
  </conditionalFormatting>
  <conditionalFormatting sqref="I1020:I1025">
    <cfRule type="cellIs" dxfId="2097" priority="3662" operator="equal">
      <formula>"ogleden sonra gitti"</formula>
    </cfRule>
  </conditionalFormatting>
  <conditionalFormatting sqref="I1020:I1025">
    <cfRule type="cellIs" dxfId="2096" priority="3660" operator="equal">
      <formula>"ISE CIKMADI"</formula>
    </cfRule>
    <cfRule type="cellIs" dxfId="2095" priority="3661" operator="equal">
      <formula>"ISE CIKMADI"</formula>
    </cfRule>
  </conditionalFormatting>
  <conditionalFormatting sqref="I648">
    <cfRule type="cellIs" dxfId="2094" priority="3542" operator="equal">
      <formula>"ogleden sonra gitti"</formula>
    </cfRule>
  </conditionalFormatting>
  <conditionalFormatting sqref="I648">
    <cfRule type="cellIs" dxfId="2093" priority="3540" operator="equal">
      <formula>"ISE CIKMADI"</formula>
    </cfRule>
    <cfRule type="cellIs" dxfId="2092" priority="3541" operator="equal">
      <formula>"ISE CIKMADI"</formula>
    </cfRule>
  </conditionalFormatting>
  <conditionalFormatting sqref="I1214:I1216">
    <cfRule type="cellIs" dxfId="2091" priority="3477" operator="equal">
      <formula>"ogleden sonra gitti"</formula>
    </cfRule>
  </conditionalFormatting>
  <conditionalFormatting sqref="I1214:I1216">
    <cfRule type="cellIs" dxfId="2090" priority="3478" operator="equal">
      <formula>"ISE CIKMADI"</formula>
    </cfRule>
    <cfRule type="cellIs" dxfId="2089" priority="3479" operator="equal">
      <formula>"ISE CIKMADI"</formula>
    </cfRule>
  </conditionalFormatting>
  <conditionalFormatting sqref="I1078:I1079">
    <cfRule type="cellIs" dxfId="2088" priority="3470" operator="equal">
      <formula>"ogleden sonra gitti"</formula>
    </cfRule>
  </conditionalFormatting>
  <conditionalFormatting sqref="I1078:I1079">
    <cfRule type="cellIs" dxfId="2087" priority="3468" operator="equal">
      <formula>"ISE CIKMADI"</formula>
    </cfRule>
    <cfRule type="cellIs" dxfId="2086" priority="3469" operator="equal">
      <formula>"ISE CIKMADI"</formula>
    </cfRule>
  </conditionalFormatting>
  <conditionalFormatting sqref="I1358">
    <cfRule type="cellIs" dxfId="2085" priority="3461" operator="equal">
      <formula>"ogleden sonra gitti"</formula>
    </cfRule>
  </conditionalFormatting>
  <conditionalFormatting sqref="I1358">
    <cfRule type="cellIs" dxfId="2084" priority="3459" operator="equal">
      <formula>"ISE CIKMADI"</formula>
    </cfRule>
    <cfRule type="cellIs" dxfId="2083" priority="3460" operator="equal">
      <formula>"ISE CIKMADI"</formula>
    </cfRule>
  </conditionalFormatting>
  <conditionalFormatting sqref="I1157">
    <cfRule type="cellIs" dxfId="2082" priority="3458" operator="equal">
      <formula>"ogleden sonra gitti"</formula>
    </cfRule>
  </conditionalFormatting>
  <conditionalFormatting sqref="I1157">
    <cfRule type="cellIs" dxfId="2081" priority="3456" operator="equal">
      <formula>"ISE CIKMADI"</formula>
    </cfRule>
    <cfRule type="cellIs" dxfId="2080" priority="3457" operator="equal">
      <formula>"ISE CIKMADI"</formula>
    </cfRule>
  </conditionalFormatting>
  <conditionalFormatting sqref="I115">
    <cfRule type="cellIs" dxfId="2079" priority="3455" operator="equal">
      <formula>"ogleden sonra gitti"</formula>
    </cfRule>
  </conditionalFormatting>
  <conditionalFormatting sqref="I115">
    <cfRule type="cellIs" dxfId="2078" priority="3453" operator="equal">
      <formula>"ISE CIKMADI"</formula>
    </cfRule>
    <cfRule type="cellIs" dxfId="2077" priority="3454" operator="equal">
      <formula>"ISE CIKMADI"</formula>
    </cfRule>
  </conditionalFormatting>
  <conditionalFormatting sqref="B1333">
    <cfRule type="duplicateValues" dxfId="2076" priority="3419"/>
  </conditionalFormatting>
  <conditionalFormatting sqref="B1333">
    <cfRule type="duplicateValues" dxfId="2075" priority="3418"/>
  </conditionalFormatting>
  <conditionalFormatting sqref="B1333">
    <cfRule type="duplicateValues" dxfId="2074" priority="3417"/>
  </conditionalFormatting>
  <conditionalFormatting sqref="B1333">
    <cfRule type="duplicateValues" dxfId="2073" priority="3410"/>
    <cfRule type="duplicateValues" dxfId="2072" priority="3411"/>
    <cfRule type="duplicateValues" dxfId="2071" priority="3412"/>
    <cfRule type="duplicateValues" dxfId="2070" priority="3413"/>
    <cfRule type="duplicateValues" dxfId="2069" priority="3414"/>
    <cfRule type="duplicateValues" dxfId="2068" priority="3415"/>
    <cfRule type="duplicateValues" dxfId="2067" priority="3416"/>
  </conditionalFormatting>
  <conditionalFormatting sqref="B1333">
    <cfRule type="duplicateValues" dxfId="2066" priority="3409"/>
  </conditionalFormatting>
  <conditionalFormatting sqref="B1333">
    <cfRule type="duplicateValues" dxfId="2065" priority="3407"/>
    <cfRule type="duplicateValues" dxfId="2064" priority="3408"/>
  </conditionalFormatting>
  <conditionalFormatting sqref="B1333">
    <cfRule type="duplicateValues" dxfId="2063" priority="3405"/>
    <cfRule type="duplicateValues" dxfId="2062" priority="3406"/>
  </conditionalFormatting>
  <conditionalFormatting sqref="B1333">
    <cfRule type="duplicateValues" dxfId="2061" priority="3404"/>
  </conditionalFormatting>
  <conditionalFormatting sqref="B1333:C1333">
    <cfRule type="duplicateValues" dxfId="2060" priority="3403"/>
  </conditionalFormatting>
  <conditionalFormatting sqref="B1333:C1333">
    <cfRule type="duplicateValues" dxfId="2059" priority="3402"/>
  </conditionalFormatting>
  <conditionalFormatting sqref="B1333:C1333">
    <cfRule type="duplicateValues" dxfId="2058" priority="3401"/>
  </conditionalFormatting>
  <conditionalFormatting sqref="D1333">
    <cfRule type="duplicateValues" dxfId="2057" priority="3400"/>
  </conditionalFormatting>
  <conditionalFormatting sqref="D1333">
    <cfRule type="duplicateValues" dxfId="2056" priority="3399"/>
  </conditionalFormatting>
  <conditionalFormatting sqref="B1333">
    <cfRule type="duplicateValues" dxfId="2055" priority="3398"/>
  </conditionalFormatting>
  <conditionalFormatting sqref="C1333">
    <cfRule type="duplicateValues" dxfId="2054" priority="3397"/>
  </conditionalFormatting>
  <conditionalFormatting sqref="C1333">
    <cfRule type="duplicateValues" dxfId="2053" priority="3396"/>
  </conditionalFormatting>
  <conditionalFormatting sqref="C1333">
    <cfRule type="duplicateValues" dxfId="2052" priority="3394"/>
    <cfRule type="duplicateValues" dxfId="2051" priority="3395"/>
  </conditionalFormatting>
  <conditionalFormatting sqref="C1333">
    <cfRule type="duplicateValues" dxfId="2050" priority="3393"/>
  </conditionalFormatting>
  <conditionalFormatting sqref="C1333">
    <cfRule type="duplicateValues" dxfId="2049" priority="3392"/>
  </conditionalFormatting>
  <conditionalFormatting sqref="C1333">
    <cfRule type="duplicateValues" dxfId="2048" priority="3391"/>
  </conditionalFormatting>
  <conditionalFormatting sqref="C1333">
    <cfRule type="duplicateValues" dxfId="2047" priority="3389"/>
    <cfRule type="duplicateValues" dxfId="2046" priority="3390"/>
  </conditionalFormatting>
  <conditionalFormatting sqref="C1333">
    <cfRule type="duplicateValues" dxfId="2045" priority="3388"/>
  </conditionalFormatting>
  <conditionalFormatting sqref="I1291:I1293">
    <cfRule type="cellIs" dxfId="2044" priority="3357" operator="equal">
      <formula>"ogleden sonra gitti"</formula>
    </cfRule>
  </conditionalFormatting>
  <conditionalFormatting sqref="I1291:I1293">
    <cfRule type="cellIs" dxfId="2043" priority="3355" operator="equal">
      <formula>"ISE CIKMADI"</formula>
    </cfRule>
    <cfRule type="cellIs" dxfId="2042" priority="3356" operator="equal">
      <formula>"ISE CIKMADI"</formula>
    </cfRule>
  </conditionalFormatting>
  <conditionalFormatting sqref="B1312:B1315 B1290:B1292 B1295:B1310 B1317:B1332">
    <cfRule type="duplicateValues" dxfId="2041" priority="117100"/>
  </conditionalFormatting>
  <conditionalFormatting sqref="B1312:B1315 B1290:B1292 B1295:B1310 B1317:B1332">
    <cfRule type="duplicateValues" dxfId="2040" priority="117102"/>
    <cfRule type="duplicateValues" dxfId="2039" priority="117103"/>
    <cfRule type="duplicateValues" dxfId="2038" priority="117104"/>
    <cfRule type="duplicateValues" dxfId="2037" priority="117105"/>
    <cfRule type="duplicateValues" dxfId="2036" priority="117106"/>
    <cfRule type="duplicateValues" dxfId="2035" priority="117107"/>
    <cfRule type="duplicateValues" dxfId="2034" priority="117108"/>
    <cfRule type="duplicateValues" dxfId="2033" priority="117109"/>
  </conditionalFormatting>
  <conditionalFormatting sqref="B1312:B1315 B1290:B1292 B1295:B1310 B1317:B1332">
    <cfRule type="duplicateValues" dxfId="2032" priority="117110"/>
    <cfRule type="duplicateValues" dxfId="2031" priority="117111"/>
    <cfRule type="duplicateValues" dxfId="2030" priority="117112"/>
  </conditionalFormatting>
  <conditionalFormatting sqref="B1312:C1315 B1290:C1292 B1295:C1310 B1317:C1332">
    <cfRule type="duplicateValues" dxfId="2029" priority="117116"/>
  </conditionalFormatting>
  <conditionalFormatting sqref="C1312:C1315 C1290:C1292 C1295:C1310 C1317:C1332">
    <cfRule type="duplicateValues" dxfId="2028" priority="117118"/>
    <cfRule type="duplicateValues" dxfId="2027" priority="117119"/>
  </conditionalFormatting>
  <conditionalFormatting sqref="C1312:C1315 C1290:C1292 C1295:C1310 C1317:C1332">
    <cfRule type="duplicateValues" dxfId="2026" priority="117120"/>
  </conditionalFormatting>
  <conditionalFormatting sqref="D1312:D1315 D1290:D1292 D1295:D1310 D1317:D1332">
    <cfRule type="duplicateValues" dxfId="2025" priority="117122"/>
  </conditionalFormatting>
  <conditionalFormatting sqref="I1306:I1310 I1296:I1304">
    <cfRule type="cellIs" dxfId="2024" priority="3354" operator="equal">
      <formula>"ogleden sonra gitti"</formula>
    </cfRule>
  </conditionalFormatting>
  <conditionalFormatting sqref="I1306:I1310 I1296:I1304">
    <cfRule type="cellIs" dxfId="2023" priority="3352" operator="equal">
      <formula>"ISE CIKMADI"</formula>
    </cfRule>
    <cfRule type="cellIs" dxfId="2022" priority="3353" operator="equal">
      <formula>"ISE CIKMADI"</formula>
    </cfRule>
  </conditionalFormatting>
  <conditionalFormatting sqref="I215:I218">
    <cfRule type="cellIs" dxfId="2021" priority="3346" operator="equal">
      <formula>"ISE CIKMADI"</formula>
    </cfRule>
    <cfRule type="cellIs" dxfId="2020" priority="3347" operator="equal">
      <formula>"ISE CIKMADI"</formula>
    </cfRule>
  </conditionalFormatting>
  <conditionalFormatting sqref="I215:I218">
    <cfRule type="cellIs" dxfId="2019" priority="3348" operator="equal">
      <formula>"ogleden sonra gitti"</formula>
    </cfRule>
  </conditionalFormatting>
  <conditionalFormatting sqref="I237">
    <cfRule type="cellIs" dxfId="2018" priority="3336" operator="equal">
      <formula>"ogleden sonra gitti"</formula>
    </cfRule>
  </conditionalFormatting>
  <conditionalFormatting sqref="I237">
    <cfRule type="cellIs" dxfId="2017" priority="3334" operator="equal">
      <formula>"ISE CIKMADI"</formula>
    </cfRule>
    <cfRule type="cellIs" dxfId="2016" priority="3335" operator="equal">
      <formula>"ISE CIKMADI"</formula>
    </cfRule>
  </conditionalFormatting>
  <conditionalFormatting sqref="I241">
    <cfRule type="cellIs" dxfId="2015" priority="3333" operator="equal">
      <formula>"ogleden sonra gitti"</formula>
    </cfRule>
  </conditionalFormatting>
  <conditionalFormatting sqref="I241">
    <cfRule type="cellIs" dxfId="2014" priority="3331" operator="equal">
      <formula>"ISE CIKMADI"</formula>
    </cfRule>
    <cfRule type="cellIs" dxfId="2013" priority="3332" operator="equal">
      <formula>"ISE CIKMADI"</formula>
    </cfRule>
  </conditionalFormatting>
  <conditionalFormatting sqref="I669">
    <cfRule type="cellIs" dxfId="2012" priority="3300" operator="equal">
      <formula>"ogleden sonra gitti"</formula>
    </cfRule>
  </conditionalFormatting>
  <conditionalFormatting sqref="I669">
    <cfRule type="cellIs" dxfId="2011" priority="3298" operator="equal">
      <formula>"ISE CIKMADI"</formula>
    </cfRule>
    <cfRule type="cellIs" dxfId="2010" priority="3299" operator="equal">
      <formula>"ISE CIKMADI"</formula>
    </cfRule>
  </conditionalFormatting>
  <conditionalFormatting sqref="I246:I248">
    <cfRule type="cellIs" dxfId="2009" priority="3324" operator="equal">
      <formula>"ogleden sonra gitti"</formula>
    </cfRule>
  </conditionalFormatting>
  <conditionalFormatting sqref="I246:I248">
    <cfRule type="cellIs" dxfId="2008" priority="3322" operator="equal">
      <formula>"ISE CIKMADI"</formula>
    </cfRule>
    <cfRule type="cellIs" dxfId="2007" priority="3323" operator="equal">
      <formula>"ISE CIKMADI"</formula>
    </cfRule>
  </conditionalFormatting>
  <conditionalFormatting sqref="I254">
    <cfRule type="cellIs" dxfId="2006" priority="3315" operator="equal">
      <formula>"ogleden sonra gitti"</formula>
    </cfRule>
  </conditionalFormatting>
  <conditionalFormatting sqref="I254">
    <cfRule type="cellIs" dxfId="2005" priority="3313" operator="equal">
      <formula>"ISE CIKMADI"</formula>
    </cfRule>
    <cfRule type="cellIs" dxfId="2004" priority="3314" operator="equal">
      <formula>"ISE CIKMADI"</formula>
    </cfRule>
  </conditionalFormatting>
  <conditionalFormatting sqref="I1339">
    <cfRule type="cellIs" dxfId="2003" priority="3264" operator="equal">
      <formula>"ogleden sonra gitti"</formula>
    </cfRule>
  </conditionalFormatting>
  <conditionalFormatting sqref="I1339">
    <cfRule type="cellIs" dxfId="2002" priority="3262" operator="equal">
      <formula>"ISE CIKMADI"</formula>
    </cfRule>
    <cfRule type="cellIs" dxfId="2001" priority="3263" operator="equal">
      <formula>"ISE CIKMADI"</formula>
    </cfRule>
  </conditionalFormatting>
  <conditionalFormatting sqref="I1569:I1570">
    <cfRule type="cellIs" dxfId="2000" priority="3258" operator="equal">
      <formula>"ogleden sonra gitti"</formula>
    </cfRule>
  </conditionalFormatting>
  <conditionalFormatting sqref="I1569:I1570">
    <cfRule type="cellIs" dxfId="1999" priority="3256" operator="equal">
      <formula>"ISE CIKMADI"</formula>
    </cfRule>
    <cfRule type="cellIs" dxfId="1998" priority="3257" operator="equal">
      <formula>"ISE CIKMADI"</formula>
    </cfRule>
  </conditionalFormatting>
  <conditionalFormatting sqref="I670">
    <cfRule type="cellIs" dxfId="1997" priority="3297" operator="equal">
      <formula>"ogleden sonra gitti"</formula>
    </cfRule>
  </conditionalFormatting>
  <conditionalFormatting sqref="I670">
    <cfRule type="cellIs" dxfId="1996" priority="3295" operator="equal">
      <formula>"ISE CIKMADI"</formula>
    </cfRule>
    <cfRule type="cellIs" dxfId="1995" priority="3296" operator="equal">
      <formula>"ISE CIKMADI"</formula>
    </cfRule>
  </conditionalFormatting>
  <conditionalFormatting sqref="I718:I724">
    <cfRule type="cellIs" dxfId="1994" priority="3294" operator="equal">
      <formula>"ogleden sonra gitti"</formula>
    </cfRule>
  </conditionalFormatting>
  <conditionalFormatting sqref="I718:I724">
    <cfRule type="cellIs" dxfId="1993" priority="3292" operator="equal">
      <formula>"ISE CIKMADI"</formula>
    </cfRule>
    <cfRule type="cellIs" dxfId="1992" priority="3293" operator="equal">
      <formula>"ISE CIKMADI"</formula>
    </cfRule>
  </conditionalFormatting>
  <conditionalFormatting sqref="I798">
    <cfRule type="cellIs" dxfId="1991" priority="3291" operator="equal">
      <formula>"ogleden sonra gitti"</formula>
    </cfRule>
  </conditionalFormatting>
  <conditionalFormatting sqref="I798">
    <cfRule type="cellIs" dxfId="1990" priority="3289" operator="equal">
      <formula>"ISE CIKMADI"</formula>
    </cfRule>
    <cfRule type="cellIs" dxfId="1989" priority="3290" operator="equal">
      <formula>"ISE CIKMADI"</formula>
    </cfRule>
  </conditionalFormatting>
  <conditionalFormatting sqref="I1209:I1210">
    <cfRule type="cellIs" dxfId="1988" priority="3280" operator="equal">
      <formula>"ogleden sonra gitti"</formula>
    </cfRule>
  </conditionalFormatting>
  <conditionalFormatting sqref="I1209:I1210">
    <cfRule type="cellIs" dxfId="1987" priority="3281" operator="equal">
      <formula>"ISE CIKMADI"</formula>
    </cfRule>
    <cfRule type="cellIs" dxfId="1986" priority="3282" operator="equal">
      <formula>"ISE CIKMADI"</formula>
    </cfRule>
  </conditionalFormatting>
  <conditionalFormatting sqref="I1213">
    <cfRule type="cellIs" dxfId="1985" priority="3277" operator="equal">
      <formula>"ogleden sonra gitti"</formula>
    </cfRule>
  </conditionalFormatting>
  <conditionalFormatting sqref="I1213">
    <cfRule type="cellIs" dxfId="1984" priority="3278" operator="equal">
      <formula>"ISE CIKMADI"</formula>
    </cfRule>
    <cfRule type="cellIs" dxfId="1983" priority="3279" operator="equal">
      <formula>"ISE CIKMADI"</formula>
    </cfRule>
  </conditionalFormatting>
  <conditionalFormatting sqref="I1224">
    <cfRule type="cellIs" dxfId="1982" priority="3274" operator="equal">
      <formula>"ogleden sonra gitti"</formula>
    </cfRule>
  </conditionalFormatting>
  <conditionalFormatting sqref="I1224">
    <cfRule type="cellIs" dxfId="1981" priority="3275" operator="equal">
      <formula>"ISE CIKMADI"</formula>
    </cfRule>
    <cfRule type="cellIs" dxfId="1980" priority="3276" operator="equal">
      <formula>"ISE CIKMADI"</formula>
    </cfRule>
  </conditionalFormatting>
  <conditionalFormatting sqref="B1311">
    <cfRule type="duplicateValues" dxfId="1979" priority="3252"/>
  </conditionalFormatting>
  <conditionalFormatting sqref="B1311">
    <cfRule type="duplicateValues" dxfId="1978" priority="3244"/>
    <cfRule type="duplicateValues" dxfId="1977" priority="3245"/>
    <cfRule type="duplicateValues" dxfId="1976" priority="3246"/>
    <cfRule type="duplicateValues" dxfId="1975" priority="3247"/>
    <cfRule type="duplicateValues" dxfId="1974" priority="3248"/>
    <cfRule type="duplicateValues" dxfId="1973" priority="3249"/>
    <cfRule type="duplicateValues" dxfId="1972" priority="3250"/>
    <cfRule type="duplicateValues" dxfId="1971" priority="3251"/>
  </conditionalFormatting>
  <conditionalFormatting sqref="B1311">
    <cfRule type="duplicateValues" dxfId="1970" priority="3241"/>
    <cfRule type="duplicateValues" dxfId="1969" priority="3242"/>
    <cfRule type="duplicateValues" dxfId="1968" priority="3243"/>
  </conditionalFormatting>
  <conditionalFormatting sqref="B1311:C1311">
    <cfRule type="duplicateValues" dxfId="1967" priority="3240"/>
  </conditionalFormatting>
  <conditionalFormatting sqref="C1311">
    <cfRule type="duplicateValues" dxfId="1966" priority="3238"/>
    <cfRule type="duplicateValues" dxfId="1965" priority="3239"/>
  </conditionalFormatting>
  <conditionalFormatting sqref="C1311">
    <cfRule type="duplicateValues" dxfId="1964" priority="3237"/>
  </conditionalFormatting>
  <conditionalFormatting sqref="D1311">
    <cfRule type="duplicateValues" dxfId="1963" priority="3236"/>
  </conditionalFormatting>
  <conditionalFormatting sqref="I1311:I1312">
    <cfRule type="cellIs" dxfId="1962" priority="3233" operator="equal">
      <formula>"ogleden sonra gitti"</formula>
    </cfRule>
  </conditionalFormatting>
  <conditionalFormatting sqref="I1311:I1312">
    <cfRule type="cellIs" dxfId="1961" priority="3231" operator="equal">
      <formula>"ISE CIKMADI"</formula>
    </cfRule>
    <cfRule type="cellIs" dxfId="1960" priority="3232" operator="equal">
      <formula>"ISE CIKMADI"</formula>
    </cfRule>
  </conditionalFormatting>
  <conditionalFormatting sqref="B1587:B1048576 B1540:B1585 B1:B76 B1175:B1225 B78:B141 B867:B995 B1227:B1315 B704:B865 B1317:B1432 B1434:B1538 B1151:B1173 B1013:B1149 B145:B702">
    <cfRule type="duplicateValues" dxfId="1959" priority="3230"/>
  </conditionalFormatting>
  <conditionalFormatting sqref="I350:I351">
    <cfRule type="cellIs" dxfId="1958" priority="3229" operator="equal">
      <formula>"ogleden sonra gitti"</formula>
    </cfRule>
  </conditionalFormatting>
  <conditionalFormatting sqref="I350:I351">
    <cfRule type="cellIs" dxfId="1957" priority="3227" operator="equal">
      <formula>"ISE CIKMADI"</formula>
    </cfRule>
    <cfRule type="cellIs" dxfId="1956" priority="3228" operator="equal">
      <formula>"ISE CIKMADI"</formula>
    </cfRule>
  </conditionalFormatting>
  <conditionalFormatting sqref="I873">
    <cfRule type="cellIs" dxfId="1955" priority="3226" operator="equal">
      <formula>"ogleden sonra gitti"</formula>
    </cfRule>
  </conditionalFormatting>
  <conditionalFormatting sqref="I873">
    <cfRule type="cellIs" dxfId="1954" priority="3224" operator="equal">
      <formula>"ISE CIKMADI"</formula>
    </cfRule>
    <cfRule type="cellIs" dxfId="1953" priority="3225" operator="equal">
      <formula>"ISE CIKMADI"</formula>
    </cfRule>
  </conditionalFormatting>
  <conditionalFormatting sqref="I30:I31">
    <cfRule type="cellIs" dxfId="1952" priority="3214" operator="equal">
      <formula>"ogleden sonra gitti"</formula>
    </cfRule>
  </conditionalFormatting>
  <conditionalFormatting sqref="I30:I31">
    <cfRule type="cellIs" dxfId="1951" priority="3212" operator="equal">
      <formula>"ISE CIKMADI"</formula>
    </cfRule>
    <cfRule type="cellIs" dxfId="1950" priority="3213" operator="equal">
      <formula>"ISE CIKMADI"</formula>
    </cfRule>
  </conditionalFormatting>
  <conditionalFormatting sqref="I1428">
    <cfRule type="cellIs" dxfId="1949" priority="3208" operator="equal">
      <formula>"ogleden sonra gitti"</formula>
    </cfRule>
  </conditionalFormatting>
  <conditionalFormatting sqref="I1428">
    <cfRule type="cellIs" dxfId="1948" priority="3206" operator="equal">
      <formula>"ISE CIKMADI"</formula>
    </cfRule>
    <cfRule type="cellIs" dxfId="1947" priority="3207" operator="equal">
      <formula>"ISE CIKMADI"</formula>
    </cfRule>
  </conditionalFormatting>
  <conditionalFormatting sqref="D1430:D1432">
    <cfRule type="duplicateValues" dxfId="1946" priority="3202"/>
  </conditionalFormatting>
  <conditionalFormatting sqref="D1430:D1432">
    <cfRule type="duplicateValues" dxfId="1945" priority="3201"/>
  </conditionalFormatting>
  <conditionalFormatting sqref="D1430:D1432">
    <cfRule type="duplicateValues" dxfId="1944" priority="3200"/>
  </conditionalFormatting>
  <conditionalFormatting sqref="I384:I385">
    <cfRule type="cellIs" dxfId="1943" priority="3199" operator="equal">
      <formula>"ogleden sonra gitti"</formula>
    </cfRule>
  </conditionalFormatting>
  <conditionalFormatting sqref="I384:I385">
    <cfRule type="cellIs" dxfId="1942" priority="3197" operator="equal">
      <formula>"ISE CIKMADI"</formula>
    </cfRule>
    <cfRule type="cellIs" dxfId="1941" priority="3198" operator="equal">
      <formula>"ISE CIKMADI"</formula>
    </cfRule>
  </conditionalFormatting>
  <conditionalFormatting sqref="I383:I385">
    <cfRule type="cellIs" dxfId="1940" priority="3196" operator="equal">
      <formula>"ogleden sonra gitti"</formula>
    </cfRule>
  </conditionalFormatting>
  <conditionalFormatting sqref="I383:I385">
    <cfRule type="cellIs" dxfId="1939" priority="3194" operator="equal">
      <formula>"ISE CIKMADI"</formula>
    </cfRule>
    <cfRule type="cellIs" dxfId="1938" priority="3195" operator="equal">
      <formula>"ISE CIKMADI"</formula>
    </cfRule>
  </conditionalFormatting>
  <conditionalFormatting sqref="B1433">
    <cfRule type="duplicateValues" dxfId="1937" priority="119588"/>
  </conditionalFormatting>
  <conditionalFormatting sqref="B1433:C1433">
    <cfRule type="duplicateValues" dxfId="1936" priority="119591"/>
  </conditionalFormatting>
  <conditionalFormatting sqref="C1433">
    <cfRule type="duplicateValues" dxfId="1935" priority="119594"/>
  </conditionalFormatting>
  <conditionalFormatting sqref="C1433">
    <cfRule type="duplicateValues" dxfId="1934" priority="119596"/>
    <cfRule type="duplicateValues" dxfId="1933" priority="119597"/>
  </conditionalFormatting>
  <conditionalFormatting sqref="B1433">
    <cfRule type="duplicateValues" dxfId="1932" priority="119600"/>
    <cfRule type="duplicateValues" dxfId="1931" priority="119601"/>
    <cfRule type="duplicateValues" dxfId="1930" priority="119602"/>
    <cfRule type="duplicateValues" dxfId="1929" priority="119603"/>
    <cfRule type="duplicateValues" dxfId="1928" priority="119604"/>
    <cfRule type="duplicateValues" dxfId="1927" priority="119605"/>
    <cfRule type="duplicateValues" dxfId="1926" priority="119606"/>
    <cfRule type="duplicateValues" dxfId="1925" priority="119607"/>
    <cfRule type="duplicateValues" dxfId="1924" priority="119608"/>
    <cfRule type="duplicateValues" dxfId="1923" priority="119609"/>
  </conditionalFormatting>
  <conditionalFormatting sqref="C1433">
    <cfRule type="duplicateValues" dxfId="1922" priority="119611"/>
    <cfRule type="duplicateValues" dxfId="1921" priority="119612"/>
    <cfRule type="duplicateValues" dxfId="1920" priority="119613"/>
  </conditionalFormatting>
  <conditionalFormatting sqref="D1433">
    <cfRule type="duplicateValues" dxfId="1919" priority="119616"/>
  </conditionalFormatting>
  <conditionalFormatting sqref="I1354">
    <cfRule type="cellIs" dxfId="1918" priority="3159" operator="equal">
      <formula>"ogleden sonra gitti"</formula>
    </cfRule>
  </conditionalFormatting>
  <conditionalFormatting sqref="I1354">
    <cfRule type="cellIs" dxfId="1917" priority="3157" operator="equal">
      <formula>"ISE CIKMADI"</formula>
    </cfRule>
    <cfRule type="cellIs" dxfId="1916" priority="3158" operator="equal">
      <formula>"ISE CIKMADI"</formula>
    </cfRule>
  </conditionalFormatting>
  <conditionalFormatting sqref="B1226">
    <cfRule type="duplicateValues" dxfId="1915" priority="3153"/>
  </conditionalFormatting>
  <conditionalFormatting sqref="B1226">
    <cfRule type="duplicateValues" dxfId="1914" priority="3152"/>
  </conditionalFormatting>
  <conditionalFormatting sqref="B1226">
    <cfRule type="duplicateValues" dxfId="1913" priority="3151"/>
  </conditionalFormatting>
  <conditionalFormatting sqref="B1226">
    <cfRule type="duplicateValues" dxfId="1912" priority="3144"/>
    <cfRule type="duplicateValues" dxfId="1911" priority="3145"/>
    <cfRule type="duplicateValues" dxfId="1910" priority="3146"/>
    <cfRule type="duplicateValues" dxfId="1909" priority="3147"/>
    <cfRule type="duplicateValues" dxfId="1908" priority="3148"/>
    <cfRule type="duplicateValues" dxfId="1907" priority="3149"/>
    <cfRule type="duplicateValues" dxfId="1906" priority="3150"/>
  </conditionalFormatting>
  <conditionalFormatting sqref="B1226">
    <cfRule type="duplicateValues" dxfId="1905" priority="3143"/>
  </conditionalFormatting>
  <conditionalFormatting sqref="B1226">
    <cfRule type="duplicateValues" dxfId="1904" priority="3141"/>
    <cfRule type="duplicateValues" dxfId="1903" priority="3142"/>
  </conditionalFormatting>
  <conditionalFormatting sqref="B1226">
    <cfRule type="duplicateValues" dxfId="1902" priority="3139"/>
    <cfRule type="duplicateValues" dxfId="1901" priority="3140"/>
  </conditionalFormatting>
  <conditionalFormatting sqref="B1226">
    <cfRule type="duplicateValues" dxfId="1900" priority="3138"/>
  </conditionalFormatting>
  <conditionalFormatting sqref="B1226:C1226">
    <cfRule type="duplicateValues" dxfId="1899" priority="3137"/>
  </conditionalFormatting>
  <conditionalFormatting sqref="B1226:C1226">
    <cfRule type="duplicateValues" dxfId="1898" priority="3136"/>
  </conditionalFormatting>
  <conditionalFormatting sqref="B1226:C1226">
    <cfRule type="duplicateValues" dxfId="1897" priority="3135"/>
  </conditionalFormatting>
  <conditionalFormatting sqref="D1226">
    <cfRule type="duplicateValues" dxfId="1896" priority="3134"/>
  </conditionalFormatting>
  <conditionalFormatting sqref="B1226">
    <cfRule type="duplicateValues" dxfId="1895" priority="3133"/>
  </conditionalFormatting>
  <conditionalFormatting sqref="C1226">
    <cfRule type="duplicateValues" dxfId="1894" priority="3132"/>
  </conditionalFormatting>
  <conditionalFormatting sqref="C1226">
    <cfRule type="duplicateValues" dxfId="1893" priority="3131"/>
  </conditionalFormatting>
  <conditionalFormatting sqref="C1226">
    <cfRule type="duplicateValues" dxfId="1892" priority="3129"/>
    <cfRule type="duplicateValues" dxfId="1891" priority="3130"/>
  </conditionalFormatting>
  <conditionalFormatting sqref="C1226">
    <cfRule type="duplicateValues" dxfId="1890" priority="3128"/>
  </conditionalFormatting>
  <conditionalFormatting sqref="C1226">
    <cfRule type="duplicateValues" dxfId="1889" priority="3127"/>
  </conditionalFormatting>
  <conditionalFormatting sqref="C1226">
    <cfRule type="duplicateValues" dxfId="1888" priority="3126"/>
  </conditionalFormatting>
  <conditionalFormatting sqref="C1226">
    <cfRule type="duplicateValues" dxfId="1887" priority="3124"/>
    <cfRule type="duplicateValues" dxfId="1886" priority="3125"/>
  </conditionalFormatting>
  <conditionalFormatting sqref="C1226">
    <cfRule type="duplicateValues" dxfId="1885" priority="3123"/>
  </conditionalFormatting>
  <conditionalFormatting sqref="C1226">
    <cfRule type="duplicateValues" dxfId="1884" priority="3122"/>
  </conditionalFormatting>
  <conditionalFormatting sqref="B1226">
    <cfRule type="duplicateValues" dxfId="1883" priority="3121"/>
  </conditionalFormatting>
  <conditionalFormatting sqref="D1226">
    <cfRule type="duplicateValues" dxfId="1882" priority="3120"/>
  </conditionalFormatting>
  <conditionalFormatting sqref="D1226">
    <cfRule type="duplicateValues" dxfId="1881" priority="3119"/>
  </conditionalFormatting>
  <conditionalFormatting sqref="I1510:I1520">
    <cfRule type="cellIs" dxfId="1880" priority="3108" operator="equal">
      <formula>"ogleden sonra gitti"</formula>
    </cfRule>
  </conditionalFormatting>
  <conditionalFormatting sqref="I1510:I1520">
    <cfRule type="cellIs" dxfId="1879" priority="3106" operator="equal">
      <formula>"ISE CIKMADI"</formula>
    </cfRule>
    <cfRule type="cellIs" dxfId="1878" priority="3107" operator="equal">
      <formula>"ISE CIKMADI"</formula>
    </cfRule>
  </conditionalFormatting>
  <conditionalFormatting sqref="I1509">
    <cfRule type="cellIs" dxfId="1877" priority="3102" operator="equal">
      <formula>"ogleden sonra gitti"</formula>
    </cfRule>
  </conditionalFormatting>
  <conditionalFormatting sqref="I1509">
    <cfRule type="cellIs" dxfId="1876" priority="3100" operator="equal">
      <formula>"ISE CIKMADI"</formula>
    </cfRule>
    <cfRule type="cellIs" dxfId="1875" priority="3101" operator="equal">
      <formula>"ISE CIKMADI"</formula>
    </cfRule>
  </conditionalFormatting>
  <conditionalFormatting sqref="I1592">
    <cfRule type="cellIs" dxfId="1874" priority="3075" operator="equal">
      <formula>"ogleden sonra gitti"</formula>
    </cfRule>
  </conditionalFormatting>
  <conditionalFormatting sqref="I1592">
    <cfRule type="cellIs" dxfId="1873" priority="3073" operator="equal">
      <formula>"ISE CIKMADI"</formula>
    </cfRule>
    <cfRule type="cellIs" dxfId="1872" priority="3074" operator="equal">
      <formula>"ISE CIKMADI"</formula>
    </cfRule>
  </conditionalFormatting>
  <conditionalFormatting sqref="I1604:I1605">
    <cfRule type="cellIs" dxfId="1871" priority="3069" operator="equal">
      <formula>"ogleden sonra gitti"</formula>
    </cfRule>
  </conditionalFormatting>
  <conditionalFormatting sqref="I1604:I1605">
    <cfRule type="cellIs" dxfId="1870" priority="3067" operator="equal">
      <formula>"ISE CIKMADI"</formula>
    </cfRule>
    <cfRule type="cellIs" dxfId="1869" priority="3068" operator="equal">
      <formula>"ISE CIKMADI"</formula>
    </cfRule>
  </conditionalFormatting>
  <conditionalFormatting sqref="I1603">
    <cfRule type="cellIs" dxfId="1868" priority="3066" operator="equal">
      <formula>"ogleden sonra gitti"</formula>
    </cfRule>
  </conditionalFormatting>
  <conditionalFormatting sqref="I1603">
    <cfRule type="cellIs" dxfId="1867" priority="3064" operator="equal">
      <formula>"ISE CIKMADI"</formula>
    </cfRule>
    <cfRule type="cellIs" dxfId="1866" priority="3065" operator="equal">
      <formula>"ISE CIKMADI"</formula>
    </cfRule>
  </conditionalFormatting>
  <conditionalFormatting sqref="I1610">
    <cfRule type="cellIs" dxfId="1865" priority="3060" operator="equal">
      <formula>"ogleden sonra gitti"</formula>
    </cfRule>
  </conditionalFormatting>
  <conditionalFormatting sqref="I1610">
    <cfRule type="cellIs" dxfId="1864" priority="3058" operator="equal">
      <formula>"ISE CIKMADI"</formula>
    </cfRule>
    <cfRule type="cellIs" dxfId="1863" priority="3059" operator="equal">
      <formula>"ISE CIKMADI"</formula>
    </cfRule>
  </conditionalFormatting>
  <conditionalFormatting sqref="I1598:I1602">
    <cfRule type="cellIs" dxfId="1862" priority="3051" operator="equal">
      <formula>"ogleden sonra gitti"</formula>
    </cfRule>
  </conditionalFormatting>
  <conditionalFormatting sqref="I1598:I1602">
    <cfRule type="cellIs" dxfId="1861" priority="3049" operator="equal">
      <formula>"ISE CIKMADI"</formula>
    </cfRule>
    <cfRule type="cellIs" dxfId="1860" priority="3050" operator="equal">
      <formula>"ISE CIKMADI"</formula>
    </cfRule>
  </conditionalFormatting>
  <conditionalFormatting sqref="I1606:I1607">
    <cfRule type="cellIs" dxfId="1859" priority="3039" operator="equal">
      <formula>"ogleden sonra gitti"</formula>
    </cfRule>
  </conditionalFormatting>
  <conditionalFormatting sqref="I1606:I1607">
    <cfRule type="cellIs" dxfId="1858" priority="3037" operator="equal">
      <formula>"ISE CIKMADI"</formula>
    </cfRule>
    <cfRule type="cellIs" dxfId="1857" priority="3038" operator="equal">
      <formula>"ISE CIKMADI"</formula>
    </cfRule>
  </conditionalFormatting>
  <conditionalFormatting sqref="I1611">
    <cfRule type="cellIs" dxfId="1856" priority="3033" operator="equal">
      <formula>"ogleden sonra gitti"</formula>
    </cfRule>
  </conditionalFormatting>
  <conditionalFormatting sqref="I1611">
    <cfRule type="cellIs" dxfId="1855" priority="3031" operator="equal">
      <formula>"ISE CIKMADI"</formula>
    </cfRule>
    <cfRule type="cellIs" dxfId="1854" priority="3032" operator="equal">
      <formula>"ISE CIKMADI"</formula>
    </cfRule>
  </conditionalFormatting>
  <conditionalFormatting sqref="B866">
    <cfRule type="duplicateValues" dxfId="1853" priority="3009"/>
  </conditionalFormatting>
  <conditionalFormatting sqref="B866">
    <cfRule type="duplicateValues" dxfId="1852" priority="3000"/>
    <cfRule type="duplicateValues" dxfId="1851" priority="3001"/>
    <cfRule type="duplicateValues" dxfId="1850" priority="3002"/>
    <cfRule type="duplicateValues" dxfId="1849" priority="3003"/>
    <cfRule type="duplicateValues" dxfId="1848" priority="3004"/>
    <cfRule type="duplicateValues" dxfId="1847" priority="3005"/>
    <cfRule type="duplicateValues" dxfId="1846" priority="3006"/>
  </conditionalFormatting>
  <conditionalFormatting sqref="B866">
    <cfRule type="duplicateValues" dxfId="1845" priority="2997"/>
    <cfRule type="duplicateValues" dxfId="1844" priority="2998"/>
  </conditionalFormatting>
  <conditionalFormatting sqref="B866:C866">
    <cfRule type="duplicateValues" dxfId="1843" priority="2993"/>
  </conditionalFormatting>
  <conditionalFormatting sqref="D866">
    <cfRule type="duplicateValues" dxfId="1842" priority="2990"/>
  </conditionalFormatting>
  <conditionalFormatting sqref="C866">
    <cfRule type="duplicateValues" dxfId="1841" priority="2988"/>
  </conditionalFormatting>
  <conditionalFormatting sqref="C866">
    <cfRule type="duplicateValues" dxfId="1840" priority="2985"/>
    <cfRule type="duplicateValues" dxfId="1839" priority="2986"/>
  </conditionalFormatting>
  <conditionalFormatting sqref="I525">
    <cfRule type="cellIs" dxfId="1838" priority="2973" operator="equal">
      <formula>"ogleden sonra gitti"</formula>
    </cfRule>
  </conditionalFormatting>
  <conditionalFormatting sqref="I525">
    <cfRule type="cellIs" dxfId="1837" priority="2971" operator="equal">
      <formula>"ISE CIKMADI"</formula>
    </cfRule>
    <cfRule type="cellIs" dxfId="1836" priority="2972" operator="equal">
      <formula>"ISE CIKMADI"</formula>
    </cfRule>
  </conditionalFormatting>
  <conditionalFormatting sqref="I1305">
    <cfRule type="cellIs" dxfId="1835" priority="2970" operator="equal">
      <formula>"ogleden sonra gitti"</formula>
    </cfRule>
  </conditionalFormatting>
  <conditionalFormatting sqref="I1305">
    <cfRule type="cellIs" dxfId="1834" priority="2968" operator="equal">
      <formula>"ISE CIKMADI"</formula>
    </cfRule>
    <cfRule type="cellIs" dxfId="1833" priority="2969" operator="equal">
      <formula>"ISE CIKMADI"</formula>
    </cfRule>
  </conditionalFormatting>
  <conditionalFormatting sqref="I1290">
    <cfRule type="cellIs" dxfId="1832" priority="2958" operator="equal">
      <formula>"ogleden sonra gitti"</formula>
    </cfRule>
  </conditionalFormatting>
  <conditionalFormatting sqref="I1290">
    <cfRule type="cellIs" dxfId="1831" priority="2956" operator="equal">
      <formula>"ISE CIKMADI"</formula>
    </cfRule>
    <cfRule type="cellIs" dxfId="1830" priority="2957" operator="equal">
      <formula>"ISE CIKMADI"</formula>
    </cfRule>
  </conditionalFormatting>
  <conditionalFormatting sqref="I450:I454">
    <cfRule type="cellIs" dxfId="1829" priority="2894" operator="equal">
      <formula>"ogleden sonra gitti"</formula>
    </cfRule>
  </conditionalFormatting>
  <conditionalFormatting sqref="I450:I454">
    <cfRule type="cellIs" dxfId="1828" priority="2892" operator="equal">
      <formula>"ISE CIKMADI"</formula>
    </cfRule>
    <cfRule type="cellIs" dxfId="1827" priority="2893" operator="equal">
      <formula>"ISE CIKMADI"</formula>
    </cfRule>
  </conditionalFormatting>
  <conditionalFormatting sqref="I633">
    <cfRule type="cellIs" dxfId="1826" priority="2888" operator="equal">
      <formula>"ogleden sonra gitti"</formula>
    </cfRule>
  </conditionalFormatting>
  <conditionalFormatting sqref="I633">
    <cfRule type="cellIs" dxfId="1825" priority="2886" operator="equal">
      <formula>"ISE CIKMADI"</formula>
    </cfRule>
    <cfRule type="cellIs" dxfId="1824" priority="2887" operator="equal">
      <formula>"ISE CIKMADI"</formula>
    </cfRule>
  </conditionalFormatting>
  <conditionalFormatting sqref="I631">
    <cfRule type="cellIs" dxfId="1823" priority="2885" operator="equal">
      <formula>"ogleden sonra gitti"</formula>
    </cfRule>
  </conditionalFormatting>
  <conditionalFormatting sqref="I631">
    <cfRule type="cellIs" dxfId="1822" priority="2883" operator="equal">
      <formula>"ISE CIKMADI"</formula>
    </cfRule>
    <cfRule type="cellIs" dxfId="1821" priority="2884" operator="equal">
      <formula>"ISE CIKMADI"</formula>
    </cfRule>
  </conditionalFormatting>
  <conditionalFormatting sqref="I632">
    <cfRule type="cellIs" dxfId="1820" priority="2882" operator="equal">
      <formula>"ogleden sonra gitti"</formula>
    </cfRule>
  </conditionalFormatting>
  <conditionalFormatting sqref="I632">
    <cfRule type="cellIs" dxfId="1819" priority="2880" operator="equal">
      <formula>"ISE CIKMADI"</formula>
    </cfRule>
    <cfRule type="cellIs" dxfId="1818" priority="2881" operator="equal">
      <formula>"ISE CIKMADI"</formula>
    </cfRule>
  </conditionalFormatting>
  <conditionalFormatting sqref="I1241">
    <cfRule type="cellIs" dxfId="1817" priority="2871" operator="equal">
      <formula>"ogleden sonra gitti"</formula>
    </cfRule>
  </conditionalFormatting>
  <conditionalFormatting sqref="I1241">
    <cfRule type="cellIs" dxfId="1816" priority="2872" operator="equal">
      <formula>"ISE CIKMADI DIS GOREV NIJNIYNOVGORODDEN GELDI"</formula>
    </cfRule>
    <cfRule type="cellIs" dxfId="1815" priority="2873" operator="equal">
      <formula>"ISE CIKMADI"</formula>
    </cfRule>
  </conditionalFormatting>
  <conditionalFormatting sqref="I1212">
    <cfRule type="cellIs" dxfId="1814" priority="2865" operator="equal">
      <formula>"ogleden sonra gitti"</formula>
    </cfRule>
  </conditionalFormatting>
  <conditionalFormatting sqref="I1212">
    <cfRule type="cellIs" dxfId="1813" priority="2866" operator="equal">
      <formula>"ISE CIKMADI DIS GOREV NIJNIYNOVGORODDEN GELDI"</formula>
    </cfRule>
    <cfRule type="cellIs" dxfId="1812" priority="2867" operator="equal">
      <formula>"ISE CIKMADI"</formula>
    </cfRule>
  </conditionalFormatting>
  <conditionalFormatting sqref="I678">
    <cfRule type="cellIs" dxfId="1811" priority="2834" operator="equal">
      <formula>"ogleden sonra gitti"</formula>
    </cfRule>
  </conditionalFormatting>
  <conditionalFormatting sqref="I678">
    <cfRule type="cellIs" dxfId="1810" priority="2832" operator="equal">
      <formula>"ISE CIKMADI"</formula>
    </cfRule>
    <cfRule type="cellIs" dxfId="1809" priority="2833" operator="equal">
      <formula>"ISE CIKMADI"</formula>
    </cfRule>
  </conditionalFormatting>
  <conditionalFormatting sqref="I24">
    <cfRule type="cellIs" dxfId="1808" priority="2813" operator="equal">
      <formula>"ogleden sonra gitti"</formula>
    </cfRule>
  </conditionalFormatting>
  <conditionalFormatting sqref="I24">
    <cfRule type="cellIs" dxfId="1807" priority="2811" operator="equal">
      <formula>"ISE CIKMADI"</formula>
    </cfRule>
    <cfRule type="cellIs" dxfId="1806" priority="2812" operator="equal">
      <formula>"ISE CIKMADI"</formula>
    </cfRule>
  </conditionalFormatting>
  <conditionalFormatting sqref="I260:I262">
    <cfRule type="cellIs" dxfId="1805" priority="2799" operator="equal">
      <formula>"ISE CIKMADI"</formula>
    </cfRule>
    <cfRule type="cellIs" dxfId="1804" priority="2800" operator="equal">
      <formula>"ISE CIKMADI"</formula>
    </cfRule>
  </conditionalFormatting>
  <conditionalFormatting sqref="I260:I262">
    <cfRule type="cellIs" dxfId="1803" priority="2801" operator="equal">
      <formula>"ogleden sonra gitti"</formula>
    </cfRule>
  </conditionalFormatting>
  <conditionalFormatting sqref="I1558:I1560">
    <cfRule type="cellIs" dxfId="1799" priority="2786" operator="equal">
      <formula>"ogleden sonra gitti"</formula>
    </cfRule>
  </conditionalFormatting>
  <conditionalFormatting sqref="I1558:I1560">
    <cfRule type="cellIs" dxfId="1798" priority="2784" operator="equal">
      <formula>"ISE CIKMADI"</formula>
    </cfRule>
    <cfRule type="cellIs" dxfId="1797" priority="2785" operator="equal">
      <formula>"ISE CIKMADI"</formula>
    </cfRule>
  </conditionalFormatting>
  <conditionalFormatting sqref="I1533:I1534">
    <cfRule type="cellIs" dxfId="1796" priority="2780" operator="equal">
      <formula>"ogleden sonra gitti"</formula>
    </cfRule>
  </conditionalFormatting>
  <conditionalFormatting sqref="I1533:I1534">
    <cfRule type="cellIs" dxfId="1795" priority="2778" operator="equal">
      <formula>"ISE CIKMADI"</formula>
    </cfRule>
    <cfRule type="cellIs" dxfId="1794" priority="2779" operator="equal">
      <formula>"ISE CIKMADI"</formula>
    </cfRule>
  </conditionalFormatting>
  <conditionalFormatting sqref="I1485:I1493">
    <cfRule type="cellIs" dxfId="1793" priority="2777" operator="equal">
      <formula>"ogleden sonra gitti"</formula>
    </cfRule>
  </conditionalFormatting>
  <conditionalFormatting sqref="I1485:I1493">
    <cfRule type="cellIs" dxfId="1792" priority="2775" operator="equal">
      <formula>"ISE CIKMADI"</formula>
    </cfRule>
    <cfRule type="cellIs" dxfId="1791" priority="2776" operator="equal">
      <formula>"ISE CIKMADI"</formula>
    </cfRule>
  </conditionalFormatting>
  <conditionalFormatting sqref="I1280:I1287">
    <cfRule type="cellIs" dxfId="1790" priority="2751" operator="equal">
      <formula>"ISE CIKMADI"</formula>
    </cfRule>
    <cfRule type="cellIs" dxfId="1789" priority="2752" operator="equal">
      <formula>"ISE CIKMADI"</formula>
    </cfRule>
  </conditionalFormatting>
  <conditionalFormatting sqref="I1280:I1287">
    <cfRule type="cellIs" dxfId="1788" priority="2753" operator="equal">
      <formula>"ogleden sonra gitti"</formula>
    </cfRule>
  </conditionalFormatting>
  <conditionalFormatting sqref="I1284">
    <cfRule type="cellIs" dxfId="1787" priority="2759" operator="equal">
      <formula>"ogleden sonra gitti"</formula>
    </cfRule>
  </conditionalFormatting>
  <conditionalFormatting sqref="I1284">
    <cfRule type="cellIs" dxfId="1786" priority="2757" operator="equal">
      <formula>"ISE CIKMADI"</formula>
    </cfRule>
    <cfRule type="cellIs" dxfId="1785" priority="2758" operator="equal">
      <formula>"ISE CIKMADI"</formula>
    </cfRule>
  </conditionalFormatting>
  <conditionalFormatting sqref="I1508:I1520">
    <cfRule type="cellIs" dxfId="1784" priority="2729" operator="equal">
      <formula>"ogleden sonra gitti"</formula>
    </cfRule>
  </conditionalFormatting>
  <conditionalFormatting sqref="I1508:I1520">
    <cfRule type="cellIs" dxfId="1783" priority="2727" operator="equal">
      <formula>"ISE CIKMADI"</formula>
    </cfRule>
    <cfRule type="cellIs" dxfId="1782" priority="2728" operator="equal">
      <formula>"ISE CIKMADI"</formula>
    </cfRule>
  </conditionalFormatting>
  <conditionalFormatting sqref="C1499">
    <cfRule type="duplicateValues" dxfId="1781" priority="2726"/>
  </conditionalFormatting>
  <conditionalFormatting sqref="C1499">
    <cfRule type="duplicateValues" dxfId="1780" priority="2725"/>
  </conditionalFormatting>
  <conditionalFormatting sqref="C1499">
    <cfRule type="duplicateValues" dxfId="1779" priority="2724"/>
  </conditionalFormatting>
  <conditionalFormatting sqref="C1499">
    <cfRule type="duplicateValues" dxfId="1778" priority="2723"/>
  </conditionalFormatting>
  <conditionalFormatting sqref="C1499">
    <cfRule type="duplicateValues" dxfId="1777" priority="2721"/>
    <cfRule type="duplicateValues" dxfId="1776" priority="2722"/>
  </conditionalFormatting>
  <conditionalFormatting sqref="C1499">
    <cfRule type="duplicateValues" dxfId="1775" priority="2720"/>
  </conditionalFormatting>
  <conditionalFormatting sqref="C1499">
    <cfRule type="duplicateValues" dxfId="1774" priority="2719"/>
  </conditionalFormatting>
  <conditionalFormatting sqref="D1499">
    <cfRule type="duplicateValues" dxfId="1773" priority="2718"/>
  </conditionalFormatting>
  <conditionalFormatting sqref="D1499">
    <cfRule type="duplicateValues" dxfId="1772" priority="2717"/>
  </conditionalFormatting>
  <conditionalFormatting sqref="C1499">
    <cfRule type="duplicateValues" dxfId="1771" priority="2716"/>
  </conditionalFormatting>
  <conditionalFormatting sqref="C1499">
    <cfRule type="duplicateValues" dxfId="1770" priority="2715"/>
  </conditionalFormatting>
  <conditionalFormatting sqref="C1499">
    <cfRule type="duplicateValues" dxfId="1769" priority="2712"/>
    <cfRule type="duplicateValues" dxfId="1768" priority="2713"/>
    <cfRule type="duplicateValues" dxfId="1767" priority="2714"/>
  </conditionalFormatting>
  <conditionalFormatting sqref="D1499">
    <cfRule type="duplicateValues" dxfId="1766" priority="2711"/>
  </conditionalFormatting>
  <conditionalFormatting sqref="C1499">
    <cfRule type="duplicateValues" dxfId="1765" priority="2710"/>
  </conditionalFormatting>
  <conditionalFormatting sqref="I1013">
    <cfRule type="cellIs" dxfId="1764" priority="2704" operator="equal">
      <formula>"ogleden sonra gitti"</formula>
    </cfRule>
  </conditionalFormatting>
  <conditionalFormatting sqref="I1013">
    <cfRule type="cellIs" dxfId="1763" priority="2702" operator="equal">
      <formula>"ISE CIKMADI"</formula>
    </cfRule>
    <cfRule type="cellIs" dxfId="1762" priority="2703" operator="equal">
      <formula>"ISE CIKMADI"</formula>
    </cfRule>
  </conditionalFormatting>
  <conditionalFormatting sqref="I1556">
    <cfRule type="cellIs" dxfId="1761" priority="2701" operator="equal">
      <formula>"ogleden sonra gitti"</formula>
    </cfRule>
  </conditionalFormatting>
  <conditionalFormatting sqref="I1556">
    <cfRule type="cellIs" dxfId="1760" priority="2699" operator="equal">
      <formula>"ISE CIKMADI"</formula>
    </cfRule>
    <cfRule type="cellIs" dxfId="1759" priority="2700" operator="equal">
      <formula>"ISE CIKMADI"</formula>
    </cfRule>
  </conditionalFormatting>
  <conditionalFormatting sqref="I994">
    <cfRule type="cellIs" dxfId="1758" priority="2695" operator="equal">
      <formula>"ogleden sonra gitti"</formula>
    </cfRule>
  </conditionalFormatting>
  <conditionalFormatting sqref="I994">
    <cfRule type="cellIs" dxfId="1757" priority="2693" operator="equal">
      <formula>"ISE CIKMADI"</formula>
    </cfRule>
    <cfRule type="cellIs" dxfId="1756" priority="2694" operator="equal">
      <formula>"ISE CIKMADI"</formula>
    </cfRule>
  </conditionalFormatting>
  <conditionalFormatting sqref="I9">
    <cfRule type="cellIs" dxfId="1755" priority="2653" operator="equal">
      <formula>"ogleden sonra gitti"</formula>
    </cfRule>
  </conditionalFormatting>
  <conditionalFormatting sqref="I9">
    <cfRule type="cellIs" dxfId="1754" priority="2651" operator="equal">
      <formula>"ISE CIKMADI"</formula>
    </cfRule>
    <cfRule type="cellIs" dxfId="1753" priority="2652" operator="equal">
      <formula>"ISE CIKMADI"</formula>
    </cfRule>
  </conditionalFormatting>
  <conditionalFormatting sqref="I1443:I1446">
    <cfRule type="cellIs" dxfId="1752" priority="2638" operator="equal">
      <formula>"ogleden sonra gitti"</formula>
    </cfRule>
  </conditionalFormatting>
  <conditionalFormatting sqref="I1443:I1446">
    <cfRule type="cellIs" dxfId="1751" priority="2636" operator="equal">
      <formula>"ISE CIKMADI"</formula>
    </cfRule>
    <cfRule type="cellIs" dxfId="1750" priority="2637" operator="equal">
      <formula>"ISE CIKMADI"</formula>
    </cfRule>
  </conditionalFormatting>
  <conditionalFormatting sqref="I1241">
    <cfRule type="cellIs" dxfId="1749" priority="2626" operator="equal">
      <formula>"ogleden sonra gitti"</formula>
    </cfRule>
  </conditionalFormatting>
  <conditionalFormatting sqref="I1241">
    <cfRule type="cellIs" dxfId="1748" priority="2624" operator="equal">
      <formula>"ISE CIKMADI"</formula>
    </cfRule>
    <cfRule type="cellIs" dxfId="1747" priority="2625" operator="equal">
      <formula>"ISE CIKMADI"</formula>
    </cfRule>
  </conditionalFormatting>
  <conditionalFormatting sqref="I234">
    <cfRule type="cellIs" dxfId="1746" priority="2617" operator="equal">
      <formula>"ogleden sonra gitti"</formula>
    </cfRule>
  </conditionalFormatting>
  <conditionalFormatting sqref="I234">
    <cfRule type="cellIs" dxfId="1745" priority="2615" operator="equal">
      <formula>"ISE CIKMADI"</formula>
    </cfRule>
    <cfRule type="cellIs" dxfId="1744" priority="2616" operator="equal">
      <formula>"ISE CIKMADI"</formula>
    </cfRule>
  </conditionalFormatting>
  <conditionalFormatting sqref="I1587">
    <cfRule type="cellIs" dxfId="1743" priority="2608" operator="equal">
      <formula>"ogleden sonra gitti"</formula>
    </cfRule>
  </conditionalFormatting>
  <conditionalFormatting sqref="I1587">
    <cfRule type="cellIs" dxfId="1742" priority="2606" operator="equal">
      <formula>"ISE CIKMADI"</formula>
    </cfRule>
    <cfRule type="cellIs" dxfId="1741" priority="2607" operator="equal">
      <formula>"ISE CIKMADI"</formula>
    </cfRule>
  </conditionalFormatting>
  <conditionalFormatting sqref="I8">
    <cfRule type="cellIs" dxfId="1740" priority="2605" operator="equal">
      <formula>"ogleden sonra gitti"</formula>
    </cfRule>
  </conditionalFormatting>
  <conditionalFormatting sqref="I8">
    <cfRule type="cellIs" dxfId="1739" priority="2603" operator="equal">
      <formula>"ISE CIKMADI"</formula>
    </cfRule>
    <cfRule type="cellIs" dxfId="1738" priority="2604" operator="equal">
      <formula>"ISE CIKMADI"</formula>
    </cfRule>
  </conditionalFormatting>
  <conditionalFormatting sqref="I771:I777">
    <cfRule type="cellIs" dxfId="1737" priority="2562" operator="equal">
      <formula>"ogleden sonra gitti"</formula>
    </cfRule>
  </conditionalFormatting>
  <conditionalFormatting sqref="I771:I777">
    <cfRule type="cellIs" dxfId="1736" priority="2560" operator="equal">
      <formula>"ISE CIKMADI"</formula>
    </cfRule>
    <cfRule type="cellIs" dxfId="1735" priority="2561" operator="equal">
      <formula>"ISE CIKMADI"</formula>
    </cfRule>
  </conditionalFormatting>
  <conditionalFormatting sqref="I494:I496">
    <cfRule type="cellIs" dxfId="1734" priority="2559" operator="equal">
      <formula>"ogleden sonra gitti"</formula>
    </cfRule>
  </conditionalFormatting>
  <conditionalFormatting sqref="I494:I496">
    <cfRule type="cellIs" dxfId="1733" priority="2557" operator="equal">
      <formula>"ISE CIKMADI"</formula>
    </cfRule>
    <cfRule type="cellIs" dxfId="1732" priority="2558" operator="equal">
      <formula>"ISE CIKMADI"</formula>
    </cfRule>
  </conditionalFormatting>
  <conditionalFormatting sqref="I1313:I1315">
    <cfRule type="cellIs" dxfId="1731" priority="2553" operator="equal">
      <formula>"ogleden sonra gitti"</formula>
    </cfRule>
  </conditionalFormatting>
  <conditionalFormatting sqref="I1313:I1315">
    <cfRule type="cellIs" dxfId="1730" priority="2551" operator="equal">
      <formula>"ISE CIKMADI"</formula>
    </cfRule>
    <cfRule type="cellIs" dxfId="1729" priority="2552" operator="equal">
      <formula>"ISE CIKMADI"</formula>
    </cfRule>
  </conditionalFormatting>
  <conditionalFormatting sqref="I1578:I1579">
    <cfRule type="cellIs" dxfId="1728" priority="2544" operator="equal">
      <formula>"ogleden sonra gitti"</formula>
    </cfRule>
  </conditionalFormatting>
  <conditionalFormatting sqref="I1578:I1579">
    <cfRule type="cellIs" dxfId="1727" priority="2542" operator="equal">
      <formula>"ISE CIKMADI"</formula>
    </cfRule>
    <cfRule type="cellIs" dxfId="1726" priority="2543" operator="equal">
      <formula>"ISE CIKMADI"</formula>
    </cfRule>
  </conditionalFormatting>
  <conditionalFormatting sqref="B703">
    <cfRule type="duplicateValues" dxfId="1725" priority="2496"/>
  </conditionalFormatting>
  <conditionalFormatting sqref="C703">
    <cfRule type="duplicateValues" dxfId="1724" priority="2494"/>
  </conditionalFormatting>
  <conditionalFormatting sqref="C703">
    <cfRule type="duplicateValues" dxfId="1723" priority="2491"/>
    <cfRule type="duplicateValues" dxfId="1722" priority="2492"/>
  </conditionalFormatting>
  <conditionalFormatting sqref="D703">
    <cfRule type="duplicateValues" dxfId="1721" priority="2487"/>
  </conditionalFormatting>
  <conditionalFormatting sqref="I704:I705">
    <cfRule type="cellIs" dxfId="1720" priority="2482" operator="equal">
      <formula>"ogleden sonra gitti"</formula>
    </cfRule>
  </conditionalFormatting>
  <conditionalFormatting sqref="I704:I705">
    <cfRule type="cellIs" dxfId="1719" priority="2480" operator="equal">
      <formula>"ISE CIKMADI"</formula>
    </cfRule>
    <cfRule type="cellIs" dxfId="1718" priority="2481" operator="equal">
      <formula>"ISE CIKMADI"</formula>
    </cfRule>
  </conditionalFormatting>
  <conditionalFormatting sqref="B703">
    <cfRule type="duplicateValues" dxfId="1717" priority="2471"/>
    <cfRule type="duplicateValues" dxfId="1716" priority="2472"/>
    <cfRule type="duplicateValues" dxfId="1715" priority="2473"/>
    <cfRule type="duplicateValues" dxfId="1714" priority="2474"/>
    <cfRule type="duplicateValues" dxfId="1713" priority="2475"/>
    <cfRule type="duplicateValues" dxfId="1712" priority="2476"/>
    <cfRule type="duplicateValues" dxfId="1711" priority="2477"/>
  </conditionalFormatting>
  <conditionalFormatting sqref="B703">
    <cfRule type="duplicateValues" dxfId="1710" priority="2468"/>
    <cfRule type="duplicateValues" dxfId="1709" priority="2469"/>
  </conditionalFormatting>
  <conditionalFormatting sqref="B703:C703">
    <cfRule type="duplicateValues" dxfId="1708" priority="2464"/>
  </conditionalFormatting>
  <conditionalFormatting sqref="I1521:I1522">
    <cfRule type="cellIs" dxfId="1707" priority="2451" operator="equal">
      <formula>"ogleden sonra gitti"</formula>
    </cfRule>
  </conditionalFormatting>
  <conditionalFormatting sqref="I1521:I1522">
    <cfRule type="cellIs" dxfId="1706" priority="2449" operator="equal">
      <formula>"ISE CIKMADI"</formula>
    </cfRule>
    <cfRule type="cellIs" dxfId="1705" priority="2450" operator="equal">
      <formula>"ISE CIKMADI"</formula>
    </cfRule>
  </conditionalFormatting>
  <conditionalFormatting sqref="I1412">
    <cfRule type="cellIs" dxfId="1704" priority="2448" operator="equal">
      <formula>"ogleden sonra gitti"</formula>
    </cfRule>
  </conditionalFormatting>
  <conditionalFormatting sqref="I1412">
    <cfRule type="cellIs" dxfId="1703" priority="2446" operator="equal">
      <formula>"ISE CIKMADI"</formula>
    </cfRule>
    <cfRule type="cellIs" dxfId="1702" priority="2447" operator="equal">
      <formula>"ISE CIKMADI"</formula>
    </cfRule>
  </conditionalFormatting>
  <conditionalFormatting sqref="I1413">
    <cfRule type="cellIs" dxfId="1701" priority="2445" operator="equal">
      <formula>"ogleden sonra gitti"</formula>
    </cfRule>
  </conditionalFormatting>
  <conditionalFormatting sqref="I1413">
    <cfRule type="cellIs" dxfId="1700" priority="2443" operator="equal">
      <formula>"ISE CIKMADI"</formula>
    </cfRule>
    <cfRule type="cellIs" dxfId="1699" priority="2444" operator="equal">
      <formula>"ISE CIKMADI"</formula>
    </cfRule>
  </conditionalFormatting>
  <conditionalFormatting sqref="I1411">
    <cfRule type="cellIs" dxfId="1698" priority="2442" operator="equal">
      <formula>"ogleden sonra gitti"</formula>
    </cfRule>
  </conditionalFormatting>
  <conditionalFormatting sqref="I1411">
    <cfRule type="cellIs" dxfId="1697" priority="2440" operator="equal">
      <formula>"ISE CIKMADI"</formula>
    </cfRule>
    <cfRule type="cellIs" dxfId="1696" priority="2441" operator="equal">
      <formula>"ISE CIKMADI"</formula>
    </cfRule>
  </conditionalFormatting>
  <conditionalFormatting sqref="I1166:I1167">
    <cfRule type="cellIs" dxfId="1695" priority="2424" operator="equal">
      <formula>"ogleden sonra gitti"</formula>
    </cfRule>
  </conditionalFormatting>
  <conditionalFormatting sqref="I1166:I1167">
    <cfRule type="cellIs" dxfId="1694" priority="2422" operator="equal">
      <formula>"ISE CIKMADI"</formula>
    </cfRule>
    <cfRule type="cellIs" dxfId="1693" priority="2423" operator="equal">
      <formula>"ISE CIKMADI"</formula>
    </cfRule>
  </conditionalFormatting>
  <conditionalFormatting sqref="I1283">
    <cfRule type="cellIs" dxfId="1692" priority="2421" operator="equal">
      <formula>"ogleden sonra gitti"</formula>
    </cfRule>
  </conditionalFormatting>
  <conditionalFormatting sqref="I1283">
    <cfRule type="cellIs" dxfId="1691" priority="2419" operator="equal">
      <formula>"ISE CIKMADI"</formula>
    </cfRule>
    <cfRule type="cellIs" dxfId="1690" priority="2420" operator="equal">
      <formula>"ISE CIKMADI"</formula>
    </cfRule>
  </conditionalFormatting>
  <conditionalFormatting sqref="I615">
    <cfRule type="cellIs" dxfId="1689" priority="2403" operator="equal">
      <formula>"ogleden sonra gitti"</formula>
    </cfRule>
  </conditionalFormatting>
  <conditionalFormatting sqref="I615">
    <cfRule type="cellIs" dxfId="1688" priority="2401" operator="equal">
      <formula>"ISE CIKMADI"</formula>
    </cfRule>
    <cfRule type="cellIs" dxfId="1687" priority="2402" operator="equal">
      <formula>"ISE CIKMADI"</formula>
    </cfRule>
  </conditionalFormatting>
  <conditionalFormatting sqref="B77">
    <cfRule type="duplicateValues" dxfId="1686" priority="2400"/>
  </conditionalFormatting>
  <conditionalFormatting sqref="I77">
    <cfRule type="cellIs" dxfId="1685" priority="2399" operator="equal">
      <formula>"ogleden sonra gitti"</formula>
    </cfRule>
  </conditionalFormatting>
  <conditionalFormatting sqref="I77">
    <cfRule type="cellIs" dxfId="1684" priority="2397" operator="equal">
      <formula>"ISE CIKMADI"</formula>
    </cfRule>
    <cfRule type="cellIs" dxfId="1683" priority="2398" operator="equal">
      <formula>"ISE CIKMADI"</formula>
    </cfRule>
  </conditionalFormatting>
  <conditionalFormatting sqref="B77">
    <cfRule type="duplicateValues" dxfId="1682" priority="2396"/>
  </conditionalFormatting>
  <conditionalFormatting sqref="C77">
    <cfRule type="duplicateValues" dxfId="1681" priority="2395"/>
  </conditionalFormatting>
  <conditionalFormatting sqref="C77">
    <cfRule type="duplicateValues" dxfId="1680" priority="2394"/>
  </conditionalFormatting>
  <conditionalFormatting sqref="C77">
    <cfRule type="duplicateValues" dxfId="1679" priority="2392"/>
    <cfRule type="duplicateValues" dxfId="1678" priority="2393"/>
  </conditionalFormatting>
  <conditionalFormatting sqref="C77">
    <cfRule type="duplicateValues" dxfId="1677" priority="2391"/>
  </conditionalFormatting>
  <conditionalFormatting sqref="C77">
    <cfRule type="duplicateValues" dxfId="1676" priority="2390"/>
  </conditionalFormatting>
  <conditionalFormatting sqref="B77">
    <cfRule type="duplicateValues" dxfId="1675" priority="2389"/>
  </conditionalFormatting>
  <conditionalFormatting sqref="D77">
    <cfRule type="duplicateValues" dxfId="1674" priority="2388"/>
  </conditionalFormatting>
  <conditionalFormatting sqref="C77">
    <cfRule type="duplicateValues" dxfId="1673" priority="2387"/>
  </conditionalFormatting>
  <conditionalFormatting sqref="C77">
    <cfRule type="duplicateValues" dxfId="1672" priority="2386"/>
  </conditionalFormatting>
  <conditionalFormatting sqref="C77">
    <cfRule type="duplicateValues" dxfId="1671" priority="2385"/>
  </conditionalFormatting>
  <conditionalFormatting sqref="D77">
    <cfRule type="duplicateValues" dxfId="1670" priority="2384"/>
  </conditionalFormatting>
  <conditionalFormatting sqref="B77">
    <cfRule type="duplicateValues" dxfId="1669" priority="2383"/>
  </conditionalFormatting>
  <conditionalFormatting sqref="B77:C77">
    <cfRule type="duplicateValues" dxfId="1668" priority="2382"/>
  </conditionalFormatting>
  <conditionalFormatting sqref="B77:C77">
    <cfRule type="duplicateValues" dxfId="1667" priority="2381"/>
  </conditionalFormatting>
  <conditionalFormatting sqref="D77">
    <cfRule type="duplicateValues" dxfId="1666" priority="2380"/>
  </conditionalFormatting>
  <conditionalFormatting sqref="B77">
    <cfRule type="duplicateValues" dxfId="1665" priority="2379"/>
  </conditionalFormatting>
  <conditionalFormatting sqref="B77">
    <cfRule type="duplicateValues" dxfId="1664" priority="2372"/>
    <cfRule type="duplicateValues" dxfId="1663" priority="2373"/>
    <cfRule type="duplicateValues" dxfId="1662" priority="2374"/>
    <cfRule type="duplicateValues" dxfId="1661" priority="2375"/>
    <cfRule type="duplicateValues" dxfId="1660" priority="2376"/>
    <cfRule type="duplicateValues" dxfId="1659" priority="2377"/>
    <cfRule type="duplicateValues" dxfId="1658" priority="2378"/>
  </conditionalFormatting>
  <conditionalFormatting sqref="B77">
    <cfRule type="duplicateValues" dxfId="1657" priority="2371"/>
  </conditionalFormatting>
  <conditionalFormatting sqref="B77">
    <cfRule type="duplicateValues" dxfId="1656" priority="2369"/>
    <cfRule type="duplicateValues" dxfId="1655" priority="2370"/>
  </conditionalFormatting>
  <conditionalFormatting sqref="B77">
    <cfRule type="duplicateValues" dxfId="1654" priority="2367"/>
    <cfRule type="duplicateValues" dxfId="1653" priority="2368"/>
  </conditionalFormatting>
  <conditionalFormatting sqref="B77">
    <cfRule type="duplicateValues" dxfId="1652" priority="2366"/>
  </conditionalFormatting>
  <conditionalFormatting sqref="B77:C77">
    <cfRule type="duplicateValues" dxfId="1651" priority="2365"/>
  </conditionalFormatting>
  <conditionalFormatting sqref="D77">
    <cfRule type="duplicateValues" dxfId="1650" priority="2364"/>
  </conditionalFormatting>
  <conditionalFormatting sqref="C77">
    <cfRule type="duplicateValues" dxfId="1649" priority="2363"/>
  </conditionalFormatting>
  <conditionalFormatting sqref="C77">
    <cfRule type="duplicateValues" dxfId="1648" priority="2361"/>
    <cfRule type="duplicateValues" dxfId="1647" priority="2362"/>
  </conditionalFormatting>
  <conditionalFormatting sqref="C77">
    <cfRule type="duplicateValues" dxfId="1646" priority="2360"/>
  </conditionalFormatting>
  <conditionalFormatting sqref="C77">
    <cfRule type="duplicateValues" dxfId="1645" priority="2359"/>
  </conditionalFormatting>
  <conditionalFormatting sqref="I577">
    <cfRule type="cellIs" dxfId="1644" priority="2355" operator="equal">
      <formula>"ogleden sonra gitti"</formula>
    </cfRule>
  </conditionalFormatting>
  <conditionalFormatting sqref="I577">
    <cfRule type="cellIs" dxfId="1643" priority="2353" operator="equal">
      <formula>"ISE CIKMADI"</formula>
    </cfRule>
    <cfRule type="cellIs" dxfId="1642" priority="2354" operator="equal">
      <formula>"ISE CIKMADI"</formula>
    </cfRule>
  </conditionalFormatting>
  <conditionalFormatting sqref="I1041:I1042">
    <cfRule type="cellIs" dxfId="1641" priority="2352" operator="equal">
      <formula>"ogleden sonra gitti"</formula>
    </cfRule>
  </conditionalFormatting>
  <conditionalFormatting sqref="I1041:I1042">
    <cfRule type="cellIs" dxfId="1640" priority="2350" operator="equal">
      <formula>"ISE CIKMADI"</formula>
    </cfRule>
    <cfRule type="cellIs" dxfId="1639" priority="2351" operator="equal">
      <formula>"ISE CIKMADI"</formula>
    </cfRule>
  </conditionalFormatting>
  <conditionalFormatting sqref="B1150">
    <cfRule type="duplicateValues" dxfId="1638" priority="2306"/>
  </conditionalFormatting>
  <conditionalFormatting sqref="C1150">
    <cfRule type="duplicateValues" dxfId="1637" priority="2305"/>
  </conditionalFormatting>
  <conditionalFormatting sqref="C1150">
    <cfRule type="duplicateValues" dxfId="1636" priority="2303"/>
    <cfRule type="duplicateValues" dxfId="1635" priority="2304"/>
  </conditionalFormatting>
  <conditionalFormatting sqref="D1150">
    <cfRule type="duplicateValues" dxfId="1634" priority="2299"/>
  </conditionalFormatting>
  <conditionalFormatting sqref="B1150">
    <cfRule type="duplicateValues" dxfId="1633" priority="2285"/>
    <cfRule type="duplicateValues" dxfId="1632" priority="2286"/>
    <cfRule type="duplicateValues" dxfId="1631" priority="2287"/>
    <cfRule type="duplicateValues" dxfId="1630" priority="2288"/>
    <cfRule type="duplicateValues" dxfId="1629" priority="2289"/>
    <cfRule type="duplicateValues" dxfId="1628" priority="2290"/>
    <cfRule type="duplicateValues" dxfId="1627" priority="2291"/>
    <cfRule type="duplicateValues" dxfId="1626" priority="2292"/>
    <cfRule type="duplicateValues" dxfId="1625" priority="2293"/>
    <cfRule type="duplicateValues" dxfId="1624" priority="2294"/>
  </conditionalFormatting>
  <conditionalFormatting sqref="B1150:C1150">
    <cfRule type="duplicateValues" dxfId="1623" priority="2284"/>
  </conditionalFormatting>
  <conditionalFormatting sqref="C1150">
    <cfRule type="duplicateValues" dxfId="1622" priority="2281"/>
    <cfRule type="duplicateValues" dxfId="1621" priority="2282"/>
    <cfRule type="duplicateValues" dxfId="1620" priority="2283"/>
  </conditionalFormatting>
  <conditionalFormatting sqref="I356">
    <cfRule type="cellIs" dxfId="1619" priority="2275" operator="equal">
      <formula>"ogleden sonra gitti"</formula>
    </cfRule>
  </conditionalFormatting>
  <conditionalFormatting sqref="I356">
    <cfRule type="cellIs" dxfId="1618" priority="2273" operator="equal">
      <formula>"ISE CIKMADI"</formula>
    </cfRule>
    <cfRule type="cellIs" dxfId="1617" priority="2274" operator="equal">
      <formula>"ISE CIKMADI"</formula>
    </cfRule>
  </conditionalFormatting>
  <conditionalFormatting sqref="I356">
    <cfRule type="cellIs" dxfId="1616" priority="2272" operator="equal">
      <formula>"ogleden sonra gitti"</formula>
    </cfRule>
  </conditionalFormatting>
  <conditionalFormatting sqref="I356">
    <cfRule type="cellIs" dxfId="1615" priority="2270" operator="equal">
      <formula>"ISE CIKMADI"</formula>
    </cfRule>
    <cfRule type="cellIs" dxfId="1614" priority="2271" operator="equal">
      <formula>"ISE CIKMADI"</formula>
    </cfRule>
  </conditionalFormatting>
  <conditionalFormatting sqref="I357">
    <cfRule type="cellIs" dxfId="1613" priority="2263" operator="equal">
      <formula>"ogleden sonra gitti"</formula>
    </cfRule>
  </conditionalFormatting>
  <conditionalFormatting sqref="I357">
    <cfRule type="cellIs" dxfId="1612" priority="2261" operator="equal">
      <formula>"ISE CIKMADI"</formula>
    </cfRule>
    <cfRule type="cellIs" dxfId="1611" priority="2262" operator="equal">
      <formula>"ISE CIKMADI"</formula>
    </cfRule>
  </conditionalFormatting>
  <conditionalFormatting sqref="I357">
    <cfRule type="cellIs" dxfId="1610" priority="2260" operator="equal">
      <formula>"ogleden sonra gitti"</formula>
    </cfRule>
  </conditionalFormatting>
  <conditionalFormatting sqref="I357">
    <cfRule type="cellIs" dxfId="1609" priority="2258" operator="equal">
      <formula>"ISE CIKMADI"</formula>
    </cfRule>
    <cfRule type="cellIs" dxfId="1608" priority="2259" operator="equal">
      <formula>"ISE CIKMADI"</formula>
    </cfRule>
  </conditionalFormatting>
  <conditionalFormatting sqref="I358">
    <cfRule type="cellIs" dxfId="1607" priority="2257" operator="equal">
      <formula>"ogleden sonra gitti"</formula>
    </cfRule>
  </conditionalFormatting>
  <conditionalFormatting sqref="I358">
    <cfRule type="cellIs" dxfId="1606" priority="2255" operator="equal">
      <formula>"ISE CIKMADI"</formula>
    </cfRule>
    <cfRule type="cellIs" dxfId="1605" priority="2256" operator="equal">
      <formula>"ISE CIKMADI"</formula>
    </cfRule>
  </conditionalFormatting>
  <conditionalFormatting sqref="I358">
    <cfRule type="cellIs" dxfId="1604" priority="2254" operator="equal">
      <formula>"ogleden sonra gitti"</formula>
    </cfRule>
  </conditionalFormatting>
  <conditionalFormatting sqref="I358">
    <cfRule type="cellIs" dxfId="1603" priority="2252" operator="equal">
      <formula>"ISE CIKMADI"</formula>
    </cfRule>
    <cfRule type="cellIs" dxfId="1602" priority="2253" operator="equal">
      <formula>"ISE CIKMADI"</formula>
    </cfRule>
  </conditionalFormatting>
  <conditionalFormatting sqref="I379">
    <cfRule type="cellIs" dxfId="1601" priority="2245" operator="equal">
      <formula>"ogleden sonra gitti"</formula>
    </cfRule>
  </conditionalFormatting>
  <conditionalFormatting sqref="I379">
    <cfRule type="cellIs" dxfId="1600" priority="2243" operator="equal">
      <formula>"ISE CIKMADI"</formula>
    </cfRule>
    <cfRule type="cellIs" dxfId="1599" priority="2244" operator="equal">
      <formula>"ISE CIKMADI"</formula>
    </cfRule>
  </conditionalFormatting>
  <conditionalFormatting sqref="I379">
    <cfRule type="cellIs" dxfId="1598" priority="2242" operator="equal">
      <formula>"ogleden sonra gitti"</formula>
    </cfRule>
  </conditionalFormatting>
  <conditionalFormatting sqref="I379">
    <cfRule type="cellIs" dxfId="1597" priority="2240" operator="equal">
      <formula>"ISE CIKMADI"</formula>
    </cfRule>
    <cfRule type="cellIs" dxfId="1596" priority="2241" operator="equal">
      <formula>"ISE CIKMADI"</formula>
    </cfRule>
  </conditionalFormatting>
  <conditionalFormatting sqref="I379">
    <cfRule type="cellIs" dxfId="1595" priority="2239" operator="equal">
      <formula>"ogleden sonra gitti"</formula>
    </cfRule>
  </conditionalFormatting>
  <conditionalFormatting sqref="I379">
    <cfRule type="cellIs" dxfId="1594" priority="2237" operator="equal">
      <formula>"ISE CIKMADI"</formula>
    </cfRule>
    <cfRule type="cellIs" dxfId="1593" priority="2238" operator="equal">
      <formula>"ISE CIKMADI"</formula>
    </cfRule>
  </conditionalFormatting>
  <conditionalFormatting sqref="I995">
    <cfRule type="cellIs" dxfId="1592" priority="2179" operator="equal">
      <formula>"ogleden sonra gitti"</formula>
    </cfRule>
  </conditionalFormatting>
  <conditionalFormatting sqref="I995">
    <cfRule type="cellIs" dxfId="1591" priority="2177" operator="equal">
      <formula>"ISE CIKMADI"</formula>
    </cfRule>
    <cfRule type="cellIs" dxfId="1590" priority="2178" operator="equal">
      <formula>"ISE CIKMADI"</formula>
    </cfRule>
  </conditionalFormatting>
  <conditionalFormatting sqref="B1363:B1419">
    <cfRule type="duplicateValues" dxfId="1589" priority="160245"/>
    <cfRule type="duplicateValues" dxfId="1588" priority="160246"/>
    <cfRule type="duplicateValues" dxfId="1587" priority="160247"/>
    <cfRule type="duplicateValues" dxfId="1586" priority="160248"/>
    <cfRule type="duplicateValues" dxfId="1585" priority="160249"/>
    <cfRule type="duplicateValues" dxfId="1584" priority="160250"/>
    <cfRule type="duplicateValues" dxfId="1583" priority="160251"/>
    <cfRule type="duplicateValues" dxfId="1582" priority="160252"/>
    <cfRule type="duplicateValues" dxfId="1581" priority="160253"/>
    <cfRule type="duplicateValues" dxfId="1580" priority="160254"/>
  </conditionalFormatting>
  <conditionalFormatting sqref="B1363:C1419">
    <cfRule type="duplicateValues" dxfId="1579" priority="160265"/>
  </conditionalFormatting>
  <conditionalFormatting sqref="C1363:C1419">
    <cfRule type="duplicateValues" dxfId="1578" priority="160267"/>
    <cfRule type="duplicateValues" dxfId="1577" priority="160268"/>
    <cfRule type="duplicateValues" dxfId="1576" priority="160269"/>
  </conditionalFormatting>
  <conditionalFormatting sqref="D1363:D1419">
    <cfRule type="duplicateValues" dxfId="1575" priority="160273"/>
  </conditionalFormatting>
  <conditionalFormatting sqref="B142:B144">
    <cfRule type="duplicateValues" dxfId="1574" priority="2167"/>
  </conditionalFormatting>
  <conditionalFormatting sqref="C142:C144">
    <cfRule type="duplicateValues" dxfId="1573" priority="2166"/>
  </conditionalFormatting>
  <conditionalFormatting sqref="C142:C144">
    <cfRule type="duplicateValues" dxfId="1572" priority="2164"/>
    <cfRule type="duplicateValues" dxfId="1571" priority="2165"/>
  </conditionalFormatting>
  <conditionalFormatting sqref="C142:C144">
    <cfRule type="duplicateValues" dxfId="1570" priority="2163"/>
  </conditionalFormatting>
  <conditionalFormatting sqref="C142:C144">
    <cfRule type="duplicateValues" dxfId="1569" priority="2162"/>
  </conditionalFormatting>
  <conditionalFormatting sqref="B142:B144">
    <cfRule type="duplicateValues" dxfId="1568" priority="2161"/>
  </conditionalFormatting>
  <conditionalFormatting sqref="D142:D144">
    <cfRule type="duplicateValues" dxfId="1567" priority="2160"/>
  </conditionalFormatting>
  <conditionalFormatting sqref="C142:C144">
    <cfRule type="duplicateValues" dxfId="1566" priority="2159"/>
  </conditionalFormatting>
  <conditionalFormatting sqref="C142:C144">
    <cfRule type="duplicateValues" dxfId="1565" priority="2158"/>
  </conditionalFormatting>
  <conditionalFormatting sqref="C142:C144">
    <cfRule type="duplicateValues" dxfId="1564" priority="2157"/>
  </conditionalFormatting>
  <conditionalFormatting sqref="D142:D144">
    <cfRule type="duplicateValues" dxfId="1563" priority="2156"/>
  </conditionalFormatting>
  <conditionalFormatting sqref="B142:B144">
    <cfRule type="duplicateValues" dxfId="1562" priority="2155"/>
  </conditionalFormatting>
  <conditionalFormatting sqref="C142:C144">
    <cfRule type="duplicateValues" dxfId="1561" priority="2154"/>
  </conditionalFormatting>
  <conditionalFormatting sqref="B142:B144">
    <cfRule type="duplicateValues" dxfId="1560" priority="2153"/>
  </conditionalFormatting>
  <conditionalFormatting sqref="B142:C144">
    <cfRule type="duplicateValues" dxfId="1559" priority="2152"/>
  </conditionalFormatting>
  <conditionalFormatting sqref="B142:C144">
    <cfRule type="duplicateValues" dxfId="1558" priority="2151"/>
  </conditionalFormatting>
  <conditionalFormatting sqref="D142:D144">
    <cfRule type="duplicateValues" dxfId="1557" priority="2150"/>
  </conditionalFormatting>
  <conditionalFormatting sqref="B142:B144">
    <cfRule type="duplicateValues" dxfId="1556" priority="2149"/>
  </conditionalFormatting>
  <conditionalFormatting sqref="B142:B144">
    <cfRule type="duplicateValues" dxfId="1555" priority="2142"/>
    <cfRule type="duplicateValues" dxfId="1554" priority="2143"/>
    <cfRule type="duplicateValues" dxfId="1553" priority="2144"/>
    <cfRule type="duplicateValues" dxfId="1552" priority="2145"/>
    <cfRule type="duplicateValues" dxfId="1551" priority="2146"/>
    <cfRule type="duplicateValues" dxfId="1550" priority="2147"/>
    <cfRule type="duplicateValues" dxfId="1549" priority="2148"/>
  </conditionalFormatting>
  <conditionalFormatting sqref="B142:B144">
    <cfRule type="duplicateValues" dxfId="1548" priority="2141"/>
  </conditionalFormatting>
  <conditionalFormatting sqref="B142:B144">
    <cfRule type="duplicateValues" dxfId="1547" priority="2139"/>
    <cfRule type="duplicateValues" dxfId="1546" priority="2140"/>
  </conditionalFormatting>
  <conditionalFormatting sqref="B142:B144">
    <cfRule type="duplicateValues" dxfId="1545" priority="2137"/>
    <cfRule type="duplicateValues" dxfId="1544" priority="2138"/>
  </conditionalFormatting>
  <conditionalFormatting sqref="B142:B144">
    <cfRule type="duplicateValues" dxfId="1543" priority="2136"/>
  </conditionalFormatting>
  <conditionalFormatting sqref="B142:C144">
    <cfRule type="duplicateValues" dxfId="1542" priority="2135"/>
  </conditionalFormatting>
  <conditionalFormatting sqref="D142:D144">
    <cfRule type="duplicateValues" dxfId="1541" priority="2134"/>
  </conditionalFormatting>
  <conditionalFormatting sqref="C142:C144">
    <cfRule type="duplicateValues" dxfId="1540" priority="2133"/>
  </conditionalFormatting>
  <conditionalFormatting sqref="C142:C144">
    <cfRule type="duplicateValues" dxfId="1539" priority="2131"/>
    <cfRule type="duplicateValues" dxfId="1538" priority="2132"/>
  </conditionalFormatting>
  <conditionalFormatting sqref="C142:C144">
    <cfRule type="duplicateValues" dxfId="1537" priority="2130"/>
  </conditionalFormatting>
  <conditionalFormatting sqref="C142:C144">
    <cfRule type="duplicateValues" dxfId="1536" priority="2129"/>
  </conditionalFormatting>
  <conditionalFormatting sqref="I145">
    <cfRule type="cellIs" dxfId="1535" priority="2128" operator="equal">
      <formula>"ogleden sonra gitti"</formula>
    </cfRule>
  </conditionalFormatting>
  <conditionalFormatting sqref="I145">
    <cfRule type="cellIs" dxfId="1534" priority="2126" operator="equal">
      <formula>"ISE CIKMADI"</formula>
    </cfRule>
    <cfRule type="cellIs" dxfId="1533" priority="2127" operator="equal">
      <formula>"ISE CIKMADI"</formula>
    </cfRule>
  </conditionalFormatting>
  <conditionalFormatting sqref="I1424:I1425">
    <cfRule type="cellIs" dxfId="1532" priority="2075" operator="equal">
      <formula>"ogleden sonra gitti"</formula>
    </cfRule>
  </conditionalFormatting>
  <conditionalFormatting sqref="I1424:I1425">
    <cfRule type="cellIs" dxfId="1531" priority="2073" operator="equal">
      <formula>"ISE CIKMADI"</formula>
    </cfRule>
    <cfRule type="cellIs" dxfId="1530" priority="2074" operator="equal">
      <formula>"ISE CIKMADI"</formula>
    </cfRule>
  </conditionalFormatting>
  <conditionalFormatting sqref="I155">
    <cfRule type="cellIs" dxfId="1529" priority="2070" operator="equal">
      <formula>"ISE CIKMADI"</formula>
    </cfRule>
    <cfRule type="cellIs" dxfId="1528" priority="2071" operator="equal">
      <formula>"ISE CIKMADI"</formula>
    </cfRule>
  </conditionalFormatting>
  <conditionalFormatting sqref="I155">
    <cfRule type="cellIs" dxfId="1527" priority="2072" operator="equal">
      <formula>"ogleden sonra gitti"</formula>
    </cfRule>
  </conditionalFormatting>
  <conditionalFormatting sqref="I1072">
    <cfRule type="cellIs" dxfId="1526" priority="2063" operator="equal">
      <formula>"ogleden sonra gitti"</formula>
    </cfRule>
  </conditionalFormatting>
  <conditionalFormatting sqref="I1072">
    <cfRule type="cellIs" dxfId="1525" priority="2061" operator="equal">
      <formula>"ISE CIKMADI"</formula>
    </cfRule>
    <cfRule type="cellIs" dxfId="1524" priority="2062" operator="equal">
      <formula>"ISE CIKMADI"</formula>
    </cfRule>
  </conditionalFormatting>
  <conditionalFormatting sqref="I1199">
    <cfRule type="cellIs" dxfId="1523" priority="2055" operator="equal">
      <formula>"ogleden sonra gitti"</formula>
    </cfRule>
  </conditionalFormatting>
  <conditionalFormatting sqref="I1199">
    <cfRule type="cellIs" dxfId="1522" priority="2056" operator="equal">
      <formula>"ISE CIKMADI"</formula>
    </cfRule>
    <cfRule type="cellIs" dxfId="1521" priority="2057" operator="equal">
      <formula>"ISE CIKMADI"</formula>
    </cfRule>
  </conditionalFormatting>
  <conditionalFormatting sqref="I1535:I1537">
    <cfRule type="cellIs" dxfId="1520" priority="2054" operator="equal">
      <formula>"ogleden sonra gitti"</formula>
    </cfRule>
  </conditionalFormatting>
  <conditionalFormatting sqref="I1535:I1537">
    <cfRule type="cellIs" dxfId="1519" priority="2052" operator="equal">
      <formula>"ISE CIKMADI"</formula>
    </cfRule>
    <cfRule type="cellIs" dxfId="1518" priority="2053" operator="equal">
      <formula>"ISE CIKMADI"</formula>
    </cfRule>
  </conditionalFormatting>
  <conditionalFormatting sqref="I1012">
    <cfRule type="cellIs" dxfId="1517" priority="2051" operator="equal">
      <formula>"ogleden sonra gitti"</formula>
    </cfRule>
  </conditionalFormatting>
  <conditionalFormatting sqref="I1012">
    <cfRule type="cellIs" dxfId="1516" priority="2049" operator="equal">
      <formula>"ISE CIKMADI"</formula>
    </cfRule>
    <cfRule type="cellIs" dxfId="1515" priority="2050" operator="equal">
      <formula>"ISE CIKMADI"</formula>
    </cfRule>
  </conditionalFormatting>
  <conditionalFormatting sqref="B1012">
    <cfRule type="duplicateValues" dxfId="1514" priority="2048"/>
  </conditionalFormatting>
  <conditionalFormatting sqref="C1012">
    <cfRule type="duplicateValues" dxfId="1513" priority="2047"/>
  </conditionalFormatting>
  <conditionalFormatting sqref="C1012">
    <cfRule type="duplicateValues" dxfId="1512" priority="2045"/>
    <cfRule type="duplicateValues" dxfId="1511" priority="2046"/>
  </conditionalFormatting>
  <conditionalFormatting sqref="C1012">
    <cfRule type="duplicateValues" dxfId="1510" priority="2044"/>
  </conditionalFormatting>
  <conditionalFormatting sqref="C1012">
    <cfRule type="duplicateValues" dxfId="1509" priority="2043"/>
  </conditionalFormatting>
  <conditionalFormatting sqref="B1012">
    <cfRule type="duplicateValues" dxfId="1508" priority="2042"/>
  </conditionalFormatting>
  <conditionalFormatting sqref="D1012">
    <cfRule type="duplicateValues" dxfId="1507" priority="2041"/>
  </conditionalFormatting>
  <conditionalFormatting sqref="C1012">
    <cfRule type="duplicateValues" dxfId="1506" priority="2040"/>
  </conditionalFormatting>
  <conditionalFormatting sqref="C1012">
    <cfRule type="duplicateValues" dxfId="1505" priority="2039"/>
  </conditionalFormatting>
  <conditionalFormatting sqref="C1012">
    <cfRule type="duplicateValues" dxfId="1504" priority="2038"/>
  </conditionalFormatting>
  <conditionalFormatting sqref="D1012">
    <cfRule type="duplicateValues" dxfId="1503" priority="2037"/>
  </conditionalFormatting>
  <conditionalFormatting sqref="B1012">
    <cfRule type="duplicateValues" dxfId="1502" priority="2036"/>
  </conditionalFormatting>
  <conditionalFormatting sqref="C1012">
    <cfRule type="duplicateValues" dxfId="1501" priority="2035"/>
  </conditionalFormatting>
  <conditionalFormatting sqref="B1012">
    <cfRule type="duplicateValues" dxfId="1500" priority="2034"/>
  </conditionalFormatting>
  <conditionalFormatting sqref="B1012:C1012">
    <cfRule type="duplicateValues" dxfId="1499" priority="2033"/>
  </conditionalFormatting>
  <conditionalFormatting sqref="B1012:C1012">
    <cfRule type="duplicateValues" dxfId="1498" priority="2032"/>
  </conditionalFormatting>
  <conditionalFormatting sqref="D1012">
    <cfRule type="duplicateValues" dxfId="1497" priority="2031"/>
  </conditionalFormatting>
  <conditionalFormatting sqref="B1012">
    <cfRule type="duplicateValues" dxfId="1496" priority="2030"/>
  </conditionalFormatting>
  <conditionalFormatting sqref="B1012">
    <cfRule type="duplicateValues" dxfId="1495" priority="2023"/>
    <cfRule type="duplicateValues" dxfId="1494" priority="2024"/>
    <cfRule type="duplicateValues" dxfId="1493" priority="2025"/>
    <cfRule type="duplicateValues" dxfId="1492" priority="2026"/>
    <cfRule type="duplicateValues" dxfId="1491" priority="2027"/>
    <cfRule type="duplicateValues" dxfId="1490" priority="2028"/>
    <cfRule type="duplicateValues" dxfId="1489" priority="2029"/>
  </conditionalFormatting>
  <conditionalFormatting sqref="B1012">
    <cfRule type="duplicateValues" dxfId="1488" priority="2022"/>
  </conditionalFormatting>
  <conditionalFormatting sqref="B1012">
    <cfRule type="duplicateValues" dxfId="1487" priority="2020"/>
    <cfRule type="duplicateValues" dxfId="1486" priority="2021"/>
  </conditionalFormatting>
  <conditionalFormatting sqref="B1012">
    <cfRule type="duplicateValues" dxfId="1485" priority="2018"/>
    <cfRule type="duplicateValues" dxfId="1484" priority="2019"/>
  </conditionalFormatting>
  <conditionalFormatting sqref="B1012">
    <cfRule type="duplicateValues" dxfId="1483" priority="2017"/>
  </conditionalFormatting>
  <conditionalFormatting sqref="B1012:C1012">
    <cfRule type="duplicateValues" dxfId="1482" priority="2016"/>
  </conditionalFormatting>
  <conditionalFormatting sqref="D1012">
    <cfRule type="duplicateValues" dxfId="1481" priority="2015"/>
  </conditionalFormatting>
  <conditionalFormatting sqref="C1012">
    <cfRule type="duplicateValues" dxfId="1480" priority="2014"/>
  </conditionalFormatting>
  <conditionalFormatting sqref="C1012">
    <cfRule type="duplicateValues" dxfId="1479" priority="2012"/>
    <cfRule type="duplicateValues" dxfId="1478" priority="2013"/>
  </conditionalFormatting>
  <conditionalFormatting sqref="C1012">
    <cfRule type="duplicateValues" dxfId="1477" priority="2011"/>
  </conditionalFormatting>
  <conditionalFormatting sqref="C1012">
    <cfRule type="duplicateValues" dxfId="1476" priority="2010"/>
  </conditionalFormatting>
  <conditionalFormatting sqref="C1012">
    <cfRule type="duplicateValues" dxfId="1475" priority="2009"/>
  </conditionalFormatting>
  <conditionalFormatting sqref="I994:I995">
    <cfRule type="cellIs" dxfId="1474" priority="2008" operator="equal">
      <formula>"ogleden sonra gitti"</formula>
    </cfRule>
  </conditionalFormatting>
  <conditionalFormatting sqref="I994:I995">
    <cfRule type="cellIs" dxfId="1473" priority="2006" operator="equal">
      <formula>"ISE CIKMADI"</formula>
    </cfRule>
    <cfRule type="cellIs" dxfId="1472" priority="2007" operator="equal">
      <formula>"ISE CIKMADI"</formula>
    </cfRule>
  </conditionalFormatting>
  <conditionalFormatting sqref="I1002:I1007">
    <cfRule type="cellIs" dxfId="1471" priority="1922" operator="equal">
      <formula>"ogleden sonra gitti"</formula>
    </cfRule>
  </conditionalFormatting>
  <conditionalFormatting sqref="I1002:I1007">
    <cfRule type="cellIs" dxfId="1470" priority="1920" operator="equal">
      <formula>"ISE CIKMADI"</formula>
    </cfRule>
    <cfRule type="cellIs" dxfId="1469" priority="1921" operator="equal">
      <formula>"ISE CIKMADI"</formula>
    </cfRule>
  </conditionalFormatting>
  <conditionalFormatting sqref="I1282">
    <cfRule type="cellIs" dxfId="1468" priority="1919" operator="equal">
      <formula>"ogleden sonra gitti"</formula>
    </cfRule>
  </conditionalFormatting>
  <conditionalFormatting sqref="I1282">
    <cfRule type="cellIs" dxfId="1467" priority="1917" operator="equal">
      <formula>"ISE CIKMADI"</formula>
    </cfRule>
    <cfRule type="cellIs" dxfId="1466" priority="1918" operator="equal">
      <formula>"ISE CIKMADI"</formula>
    </cfRule>
  </conditionalFormatting>
  <conditionalFormatting sqref="I1282">
    <cfRule type="cellIs" dxfId="1465" priority="1916" operator="equal">
      <formula>"ogleden sonra gitti"</formula>
    </cfRule>
  </conditionalFormatting>
  <conditionalFormatting sqref="I1282">
    <cfRule type="cellIs" dxfId="1464" priority="1914" operator="equal">
      <formula>"ISE CIKMADI"</formula>
    </cfRule>
    <cfRule type="cellIs" dxfId="1463" priority="1915" operator="equal">
      <formula>"ISE CIKMADI"</formula>
    </cfRule>
  </conditionalFormatting>
  <conditionalFormatting sqref="I29">
    <cfRule type="cellIs" dxfId="1462" priority="1889" operator="equal">
      <formula>"ogleden sonra gitti"</formula>
    </cfRule>
  </conditionalFormatting>
  <conditionalFormatting sqref="I29">
    <cfRule type="cellIs" dxfId="1461" priority="1887" operator="equal">
      <formula>"ISE CIKMADI"</formula>
    </cfRule>
    <cfRule type="cellIs" dxfId="1460" priority="1888" operator="equal">
      <formula>"ISE CIKMADI"</formula>
    </cfRule>
  </conditionalFormatting>
  <conditionalFormatting sqref="I11">
    <cfRule type="cellIs" dxfId="1459" priority="1886" operator="equal">
      <formula>"ogleden sonra gitti"</formula>
    </cfRule>
  </conditionalFormatting>
  <conditionalFormatting sqref="I11">
    <cfRule type="cellIs" dxfId="1458" priority="1884" operator="equal">
      <formula>"ISE CIKMADI"</formula>
    </cfRule>
    <cfRule type="cellIs" dxfId="1457" priority="1885" operator="equal">
      <formula>"ISE CIKMADI"</formula>
    </cfRule>
  </conditionalFormatting>
  <conditionalFormatting sqref="I464">
    <cfRule type="cellIs" dxfId="1456" priority="1883" operator="equal">
      <formula>"ogleden sonra gitti"</formula>
    </cfRule>
  </conditionalFormatting>
  <conditionalFormatting sqref="I464">
    <cfRule type="cellIs" dxfId="1455" priority="1881" operator="equal">
      <formula>"ISE CIKMADI"</formula>
    </cfRule>
    <cfRule type="cellIs" dxfId="1454" priority="1882" operator="equal">
      <formula>"ISE CIKMADI"</formula>
    </cfRule>
  </conditionalFormatting>
  <conditionalFormatting sqref="I1353">
    <cfRule type="cellIs" dxfId="1453" priority="1871" operator="equal">
      <formula>"ogleden sonra gitti"</formula>
    </cfRule>
  </conditionalFormatting>
  <conditionalFormatting sqref="I1353">
    <cfRule type="cellIs" dxfId="1452" priority="1869" operator="equal">
      <formula>"ISE CIKMADI"</formula>
    </cfRule>
    <cfRule type="cellIs" dxfId="1451" priority="1870" operator="equal">
      <formula>"ISE CIKMADI"</formula>
    </cfRule>
  </conditionalFormatting>
  <conditionalFormatting sqref="I1353">
    <cfRule type="cellIs" dxfId="1450" priority="1868" operator="equal">
      <formula>"ogleden sonra gitti"</formula>
    </cfRule>
  </conditionalFormatting>
  <conditionalFormatting sqref="I1353">
    <cfRule type="cellIs" dxfId="1449" priority="1866" operator="equal">
      <formula>"ISE CIKMADI"</formula>
    </cfRule>
    <cfRule type="cellIs" dxfId="1448" priority="1867" operator="equal">
      <formula>"ISE CIKMADI"</formula>
    </cfRule>
  </conditionalFormatting>
  <conditionalFormatting sqref="B1316">
    <cfRule type="duplicateValues" dxfId="1447" priority="1865"/>
  </conditionalFormatting>
  <conditionalFormatting sqref="B1316">
    <cfRule type="duplicateValues" dxfId="1446" priority="1857"/>
    <cfRule type="duplicateValues" dxfId="1445" priority="1858"/>
    <cfRule type="duplicateValues" dxfId="1444" priority="1859"/>
    <cfRule type="duplicateValues" dxfId="1443" priority="1860"/>
    <cfRule type="duplicateValues" dxfId="1442" priority="1861"/>
    <cfRule type="duplicateValues" dxfId="1441" priority="1862"/>
    <cfRule type="duplicateValues" dxfId="1440" priority="1863"/>
    <cfRule type="duplicateValues" dxfId="1439" priority="1864"/>
  </conditionalFormatting>
  <conditionalFormatting sqref="B1316">
    <cfRule type="duplicateValues" dxfId="1438" priority="1854"/>
    <cfRule type="duplicateValues" dxfId="1437" priority="1855"/>
    <cfRule type="duplicateValues" dxfId="1436" priority="1856"/>
  </conditionalFormatting>
  <conditionalFormatting sqref="B1316:C1316">
    <cfRule type="duplicateValues" dxfId="1435" priority="1853"/>
  </conditionalFormatting>
  <conditionalFormatting sqref="C1316">
    <cfRule type="duplicateValues" dxfId="1434" priority="1851"/>
    <cfRule type="duplicateValues" dxfId="1433" priority="1852"/>
  </conditionalFormatting>
  <conditionalFormatting sqref="C1316">
    <cfRule type="duplicateValues" dxfId="1432" priority="1850"/>
  </conditionalFormatting>
  <conditionalFormatting sqref="D1316">
    <cfRule type="duplicateValues" dxfId="1431" priority="1849"/>
  </conditionalFormatting>
  <conditionalFormatting sqref="C1316">
    <cfRule type="duplicateValues" dxfId="1430" priority="1848"/>
  </conditionalFormatting>
  <conditionalFormatting sqref="B1316">
    <cfRule type="duplicateValues" dxfId="1429" priority="1847"/>
  </conditionalFormatting>
  <conditionalFormatting sqref="D1316">
    <cfRule type="duplicateValues" dxfId="1428" priority="1846"/>
  </conditionalFormatting>
  <conditionalFormatting sqref="C1316">
    <cfRule type="duplicateValues" dxfId="1427" priority="1845"/>
  </conditionalFormatting>
  <conditionalFormatting sqref="C1316">
    <cfRule type="duplicateValues" dxfId="1426" priority="1844"/>
  </conditionalFormatting>
  <conditionalFormatting sqref="C1316">
    <cfRule type="duplicateValues" dxfId="1425" priority="1843"/>
  </conditionalFormatting>
  <conditionalFormatting sqref="D1316">
    <cfRule type="duplicateValues" dxfId="1424" priority="1842"/>
  </conditionalFormatting>
  <conditionalFormatting sqref="I1316">
    <cfRule type="cellIs" dxfId="1423" priority="1841" operator="equal">
      <formula>"ogleden sonra gitti"</formula>
    </cfRule>
  </conditionalFormatting>
  <conditionalFormatting sqref="I1316">
    <cfRule type="cellIs" dxfId="1422" priority="1839" operator="equal">
      <formula>"ISE CIKMADI"</formula>
    </cfRule>
    <cfRule type="cellIs" dxfId="1421" priority="1840" operator="equal">
      <formula>"ISE CIKMADI"</formula>
    </cfRule>
  </conditionalFormatting>
  <conditionalFormatting sqref="C1316">
    <cfRule type="duplicateValues" dxfId="1420" priority="1838"/>
  </conditionalFormatting>
  <conditionalFormatting sqref="I1317:I1319">
    <cfRule type="cellIs" dxfId="1419" priority="1837" operator="equal">
      <formula>"ogleden sonra gitti"</formula>
    </cfRule>
  </conditionalFormatting>
  <conditionalFormatting sqref="I1317:I1319">
    <cfRule type="cellIs" dxfId="1418" priority="1835" operator="equal">
      <formula>"ISE CIKMADI"</formula>
    </cfRule>
    <cfRule type="cellIs" dxfId="1417" priority="1836" operator="equal">
      <formula>"ISE CIKMADI"</formula>
    </cfRule>
  </conditionalFormatting>
  <conditionalFormatting sqref="I1295">
    <cfRule type="cellIs" dxfId="1416" priority="1800" operator="equal">
      <formula>"ogleden sonra gitti"</formula>
    </cfRule>
  </conditionalFormatting>
  <conditionalFormatting sqref="I1295">
    <cfRule type="cellIs" dxfId="1415" priority="1798" operator="equal">
      <formula>"ISE CIKMADI"</formula>
    </cfRule>
    <cfRule type="cellIs" dxfId="1414" priority="1799" operator="equal">
      <formula>"ISE CIKMADI"</formula>
    </cfRule>
  </conditionalFormatting>
  <conditionalFormatting sqref="I1612:I1613">
    <cfRule type="cellIs" dxfId="1413" priority="1776" operator="equal">
      <formula>"ogleden sonra gitti"</formula>
    </cfRule>
  </conditionalFormatting>
  <conditionalFormatting sqref="I1612:I1613">
    <cfRule type="cellIs" dxfId="1412" priority="1774" operator="equal">
      <formula>"ISE CIKMADI"</formula>
    </cfRule>
    <cfRule type="cellIs" dxfId="1411" priority="1775" operator="equal">
      <formula>"ISE CIKMADI"</formula>
    </cfRule>
  </conditionalFormatting>
  <conditionalFormatting sqref="I1612:I1613">
    <cfRule type="cellIs" dxfId="1410" priority="1773" operator="equal">
      <formula>"ogleden sonra gitti"</formula>
    </cfRule>
  </conditionalFormatting>
  <conditionalFormatting sqref="I1612:I1613">
    <cfRule type="cellIs" dxfId="1409" priority="1771" operator="equal">
      <formula>"ISE CIKMADI"</formula>
    </cfRule>
    <cfRule type="cellIs" dxfId="1408" priority="1772" operator="equal">
      <formula>"ISE CIKMADI"</formula>
    </cfRule>
  </conditionalFormatting>
  <conditionalFormatting sqref="I1538">
    <cfRule type="cellIs" dxfId="1407" priority="1770" operator="equal">
      <formula>"ogleden sonra gitti"</formula>
    </cfRule>
  </conditionalFormatting>
  <conditionalFormatting sqref="I1538">
    <cfRule type="cellIs" dxfId="1406" priority="1768" operator="equal">
      <formula>"ISE CIKMADI"</formula>
    </cfRule>
    <cfRule type="cellIs" dxfId="1405" priority="1769" operator="equal">
      <formula>"ISE CIKMADI"</formula>
    </cfRule>
  </conditionalFormatting>
  <conditionalFormatting sqref="I1538">
    <cfRule type="cellIs" dxfId="1404" priority="1767" operator="equal">
      <formula>"ogleden sonra gitti"</formula>
    </cfRule>
  </conditionalFormatting>
  <conditionalFormatting sqref="I1538">
    <cfRule type="cellIs" dxfId="1403" priority="1765" operator="equal">
      <formula>"ISE CIKMADI"</formula>
    </cfRule>
    <cfRule type="cellIs" dxfId="1402" priority="1766" operator="equal">
      <formula>"ISE CIKMADI"</formula>
    </cfRule>
  </conditionalFormatting>
  <conditionalFormatting sqref="I1540">
    <cfRule type="cellIs" dxfId="1401" priority="1764" operator="equal">
      <formula>"ogleden sonra gitti"</formula>
    </cfRule>
  </conditionalFormatting>
  <conditionalFormatting sqref="I1540">
    <cfRule type="cellIs" dxfId="1400" priority="1762" operator="equal">
      <formula>"ISE CIKMADI"</formula>
    </cfRule>
    <cfRule type="cellIs" dxfId="1399" priority="1763" operator="equal">
      <formula>"ISE CIKMADI"</formula>
    </cfRule>
  </conditionalFormatting>
  <conditionalFormatting sqref="I1540">
    <cfRule type="cellIs" dxfId="1398" priority="1761" operator="equal">
      <formula>"ogleden sonra gitti"</formula>
    </cfRule>
  </conditionalFormatting>
  <conditionalFormatting sqref="I1540">
    <cfRule type="cellIs" dxfId="1397" priority="1759" operator="equal">
      <formula>"ISE CIKMADI"</formula>
    </cfRule>
    <cfRule type="cellIs" dxfId="1396" priority="1760" operator="equal">
      <formula>"ISE CIKMADI"</formula>
    </cfRule>
  </conditionalFormatting>
  <conditionalFormatting sqref="I1561:I1562">
    <cfRule type="cellIs" dxfId="1395" priority="1752" operator="equal">
      <formula>"ogleden sonra gitti"</formula>
    </cfRule>
  </conditionalFormatting>
  <conditionalFormatting sqref="I1561:I1562">
    <cfRule type="cellIs" dxfId="1394" priority="1750" operator="equal">
      <formula>"ISE CIKMADI"</formula>
    </cfRule>
    <cfRule type="cellIs" dxfId="1393" priority="1751" operator="equal">
      <formula>"ISE CIKMADI"</formula>
    </cfRule>
  </conditionalFormatting>
  <conditionalFormatting sqref="I1561:I1562">
    <cfRule type="cellIs" dxfId="1392" priority="1749" operator="equal">
      <formula>"ogleden sonra gitti"</formula>
    </cfRule>
  </conditionalFormatting>
  <conditionalFormatting sqref="I1561:I1562">
    <cfRule type="cellIs" dxfId="1391" priority="1747" operator="equal">
      <formula>"ISE CIKMADI"</formula>
    </cfRule>
    <cfRule type="cellIs" dxfId="1390" priority="1748" operator="equal">
      <formula>"ISE CIKMADI"</formula>
    </cfRule>
  </conditionalFormatting>
  <conditionalFormatting sqref="I1596">
    <cfRule type="cellIs" dxfId="1389" priority="1746" operator="equal">
      <formula>"ogleden sonra gitti"</formula>
    </cfRule>
  </conditionalFormatting>
  <conditionalFormatting sqref="I1596">
    <cfRule type="cellIs" dxfId="1388" priority="1744" operator="equal">
      <formula>"ISE CIKMADI"</formula>
    </cfRule>
    <cfRule type="cellIs" dxfId="1387" priority="1745" operator="equal">
      <formula>"ISE CIKMADI"</formula>
    </cfRule>
  </conditionalFormatting>
  <conditionalFormatting sqref="I1596">
    <cfRule type="cellIs" dxfId="1386" priority="1743" operator="equal">
      <formula>"ogleden sonra gitti"</formula>
    </cfRule>
  </conditionalFormatting>
  <conditionalFormatting sqref="I1596">
    <cfRule type="cellIs" dxfId="1385" priority="1741" operator="equal">
      <formula>"ISE CIKMADI"</formula>
    </cfRule>
    <cfRule type="cellIs" dxfId="1384" priority="1742" operator="equal">
      <formula>"ISE CIKMADI"</formula>
    </cfRule>
  </conditionalFormatting>
  <conditionalFormatting sqref="I395:I402">
    <cfRule type="cellIs" dxfId="1383" priority="1716" operator="equal">
      <formula>"ogleden sonra gitti"</formula>
    </cfRule>
  </conditionalFormatting>
  <conditionalFormatting sqref="I395:I402">
    <cfRule type="cellIs" dxfId="1382" priority="1714" operator="equal">
      <formula>"ISE CIKMADI"</formula>
    </cfRule>
    <cfRule type="cellIs" dxfId="1381" priority="1715" operator="equal">
      <formula>"ISE CIKMADI"</formula>
    </cfRule>
  </conditionalFormatting>
  <conditionalFormatting sqref="I222:I223">
    <cfRule type="cellIs" dxfId="1380" priority="1688" operator="equal">
      <formula>"ogleden sonra gitti"</formula>
    </cfRule>
  </conditionalFormatting>
  <conditionalFormatting sqref="I222:I223">
    <cfRule type="cellIs" dxfId="1379" priority="1686" operator="equal">
      <formula>"ISE CIKMADI"</formula>
    </cfRule>
    <cfRule type="cellIs" dxfId="1378" priority="1687" operator="equal">
      <formula>"ISE CIKMADI"</formula>
    </cfRule>
  </conditionalFormatting>
  <conditionalFormatting sqref="I224">
    <cfRule type="cellIs" dxfId="1377" priority="1676" operator="equal">
      <formula>"ogleden sonra gitti"</formula>
    </cfRule>
  </conditionalFormatting>
  <conditionalFormatting sqref="I224">
    <cfRule type="cellIs" dxfId="1376" priority="1674" operator="equal">
      <formula>"ISE CIKMADI"</formula>
    </cfRule>
    <cfRule type="cellIs" dxfId="1375" priority="1675" operator="equal">
      <formula>"ISE CIKMADI"</formula>
    </cfRule>
  </conditionalFormatting>
  <conditionalFormatting sqref="I665">
    <cfRule type="cellIs" dxfId="1374" priority="1673" operator="equal">
      <formula>"ogleden sonra gitti"</formula>
    </cfRule>
  </conditionalFormatting>
  <conditionalFormatting sqref="I665">
    <cfRule type="cellIs" dxfId="1373" priority="1671" operator="equal">
      <formula>"ISE CIKMADI"</formula>
    </cfRule>
    <cfRule type="cellIs" dxfId="1372" priority="1672" operator="equal">
      <formula>"ISE CIKMADI"</formula>
    </cfRule>
  </conditionalFormatting>
  <conditionalFormatting sqref="I659:I660">
    <cfRule type="cellIs" dxfId="1371" priority="1670" operator="equal">
      <formula>"ogleden sonra gitti"</formula>
    </cfRule>
  </conditionalFormatting>
  <conditionalFormatting sqref="I659:I660">
    <cfRule type="cellIs" dxfId="1370" priority="1668" operator="equal">
      <formula>"ISE CIKMADI"</formula>
    </cfRule>
    <cfRule type="cellIs" dxfId="1369" priority="1669" operator="equal">
      <formula>"ISE CIKMADI"</formula>
    </cfRule>
  </conditionalFormatting>
  <conditionalFormatting sqref="B690 B654:B658 B693:B699 B660:B687">
    <cfRule type="duplicateValues" dxfId="1368" priority="167576"/>
    <cfRule type="duplicateValues" dxfId="1367" priority="167577"/>
    <cfRule type="duplicateValues" dxfId="1366" priority="167578"/>
    <cfRule type="duplicateValues" dxfId="1365" priority="167579"/>
    <cfRule type="duplicateValues" dxfId="1364" priority="167580"/>
    <cfRule type="duplicateValues" dxfId="1363" priority="167581"/>
    <cfRule type="duplicateValues" dxfId="1362" priority="167582"/>
    <cfRule type="duplicateValues" dxfId="1361" priority="167583"/>
    <cfRule type="duplicateValues" dxfId="1360" priority="167584"/>
    <cfRule type="duplicateValues" dxfId="1359" priority="167585"/>
  </conditionalFormatting>
  <conditionalFormatting sqref="B690:C690 B654:C658 B693:C699 B660:C687">
    <cfRule type="duplicateValues" dxfId="1358" priority="167626"/>
  </conditionalFormatting>
  <conditionalFormatting sqref="B693:C699 B654:C691">
    <cfRule type="duplicateValues" dxfId="1357" priority="167631"/>
  </conditionalFormatting>
  <conditionalFormatting sqref="C690 C654:C658 C660:C687 C693:C699">
    <cfRule type="duplicateValues" dxfId="1356" priority="167634"/>
    <cfRule type="duplicateValues" dxfId="1355" priority="167635"/>
    <cfRule type="duplicateValues" dxfId="1354" priority="167636"/>
  </conditionalFormatting>
  <conditionalFormatting sqref="D690 D654:D658 D660:D687 D693:D699">
    <cfRule type="duplicateValues" dxfId="1353" priority="167649"/>
  </conditionalFormatting>
  <conditionalFormatting sqref="B383:B405">
    <cfRule type="duplicateValues" dxfId="1352" priority="169857"/>
  </conditionalFormatting>
  <conditionalFormatting sqref="I1073">
    <cfRule type="cellIs" dxfId="1351" priority="1616" operator="equal">
      <formula>"ogleden sonra gitti"</formula>
    </cfRule>
  </conditionalFormatting>
  <conditionalFormatting sqref="I1073">
    <cfRule type="cellIs" dxfId="1350" priority="1614" operator="equal">
      <formula>"ISE CIKMADI"</formula>
    </cfRule>
    <cfRule type="cellIs" dxfId="1349" priority="1615" operator="equal">
      <formula>"ISE CIKMADI"</formula>
    </cfRule>
  </conditionalFormatting>
  <conditionalFormatting sqref="I1110:I1113">
    <cfRule type="cellIs" dxfId="1348" priority="1610" operator="equal">
      <formula>"ogleden sonra gitti"</formula>
    </cfRule>
  </conditionalFormatting>
  <conditionalFormatting sqref="I1110:I1113">
    <cfRule type="cellIs" dxfId="1347" priority="1608" operator="equal">
      <formula>"ISE CIKMADI"</formula>
    </cfRule>
    <cfRule type="cellIs" dxfId="1346" priority="1609" operator="equal">
      <formula>"ISE CIKMADI"</formula>
    </cfRule>
  </conditionalFormatting>
  <conditionalFormatting sqref="I1010">
    <cfRule type="cellIs" dxfId="1345" priority="1578" operator="equal">
      <formula>"ogleden sonra gitti"</formula>
    </cfRule>
  </conditionalFormatting>
  <conditionalFormatting sqref="I1010">
    <cfRule type="cellIs" dxfId="1344" priority="1576" operator="equal">
      <formula>"ISE CIKMADI"</formula>
    </cfRule>
    <cfRule type="cellIs" dxfId="1343" priority="1577" operator="equal">
      <formula>"ISE CIKMADI"</formula>
    </cfRule>
  </conditionalFormatting>
  <conditionalFormatting sqref="C1539">
    <cfRule type="duplicateValues" dxfId="1342" priority="1575"/>
  </conditionalFormatting>
  <conditionalFormatting sqref="B1539">
    <cfRule type="duplicateValues" dxfId="1341" priority="1574"/>
  </conditionalFormatting>
  <conditionalFormatting sqref="D1539">
    <cfRule type="duplicateValues" dxfId="1340" priority="1573"/>
  </conditionalFormatting>
  <conditionalFormatting sqref="C1539">
    <cfRule type="duplicateValues" dxfId="1339" priority="1572"/>
  </conditionalFormatting>
  <conditionalFormatting sqref="C1539">
    <cfRule type="duplicateValues" dxfId="1338" priority="1571"/>
  </conditionalFormatting>
  <conditionalFormatting sqref="C1539">
    <cfRule type="duplicateValues" dxfId="1337" priority="1570"/>
  </conditionalFormatting>
  <conditionalFormatting sqref="D1539">
    <cfRule type="duplicateValues" dxfId="1336" priority="1569"/>
  </conditionalFormatting>
  <conditionalFormatting sqref="B1539:C1539">
    <cfRule type="duplicateValues" dxfId="1335" priority="1568"/>
  </conditionalFormatting>
  <conditionalFormatting sqref="B1539">
    <cfRule type="duplicateValues" dxfId="1334" priority="1567"/>
  </conditionalFormatting>
  <conditionalFormatting sqref="C1539">
    <cfRule type="duplicateValues" dxfId="1333" priority="1566"/>
  </conditionalFormatting>
  <conditionalFormatting sqref="B1539:C1539">
    <cfRule type="duplicateValues" dxfId="1332" priority="1565"/>
  </conditionalFormatting>
  <conditionalFormatting sqref="B1539:C1539">
    <cfRule type="duplicateValues" dxfId="1331" priority="1564"/>
  </conditionalFormatting>
  <conditionalFormatting sqref="C1539">
    <cfRule type="duplicateValues" dxfId="1330" priority="1561"/>
    <cfRule type="duplicateValues" dxfId="1329" priority="1562"/>
    <cfRule type="duplicateValues" dxfId="1328" priority="1563"/>
  </conditionalFormatting>
  <conditionalFormatting sqref="D1539">
    <cfRule type="duplicateValues" dxfId="1327" priority="1560"/>
  </conditionalFormatting>
  <conditionalFormatting sqref="B1539">
    <cfRule type="duplicateValues" dxfId="1326" priority="1559"/>
  </conditionalFormatting>
  <conditionalFormatting sqref="B1539">
    <cfRule type="duplicateValues" dxfId="1325" priority="1549"/>
    <cfRule type="duplicateValues" dxfId="1324" priority="1550"/>
    <cfRule type="duplicateValues" dxfId="1323" priority="1551"/>
    <cfRule type="duplicateValues" dxfId="1322" priority="1552"/>
    <cfRule type="duplicateValues" dxfId="1321" priority="1553"/>
    <cfRule type="duplicateValues" dxfId="1320" priority="1554"/>
    <cfRule type="duplicateValues" dxfId="1319" priority="1555"/>
    <cfRule type="duplicateValues" dxfId="1318" priority="1556"/>
    <cfRule type="duplicateValues" dxfId="1317" priority="1557"/>
    <cfRule type="duplicateValues" dxfId="1316" priority="1558"/>
  </conditionalFormatting>
  <conditionalFormatting sqref="I1539">
    <cfRule type="cellIs" dxfId="1315" priority="1548" operator="equal">
      <formula>"ogleden sonra gitti"</formula>
    </cfRule>
  </conditionalFormatting>
  <conditionalFormatting sqref="I1539">
    <cfRule type="cellIs" dxfId="1314" priority="1546" operator="equal">
      <formula>"ISE CIKMADI"</formula>
    </cfRule>
    <cfRule type="cellIs" dxfId="1313" priority="1547" operator="equal">
      <formula>"ISE CIKMADI"</formula>
    </cfRule>
  </conditionalFormatting>
  <conditionalFormatting sqref="I1539">
    <cfRule type="cellIs" dxfId="1312" priority="1545" operator="equal">
      <formula>"ogleden sonra gitti"</formula>
    </cfRule>
  </conditionalFormatting>
  <conditionalFormatting sqref="I1539">
    <cfRule type="cellIs" dxfId="1311" priority="1543" operator="equal">
      <formula>"ISE CIKMADI"</formula>
    </cfRule>
    <cfRule type="cellIs" dxfId="1310" priority="1544" operator="equal">
      <formula>"ISE CIKMADI"</formula>
    </cfRule>
  </conditionalFormatting>
  <conditionalFormatting sqref="B1539">
    <cfRule type="duplicateValues" dxfId="1309" priority="1542"/>
  </conditionalFormatting>
  <conditionalFormatting sqref="C1539">
    <cfRule type="duplicateValues" dxfId="1308" priority="1541"/>
  </conditionalFormatting>
  <conditionalFormatting sqref="C1539">
    <cfRule type="duplicateValues" dxfId="1307" priority="1539"/>
    <cfRule type="duplicateValues" dxfId="1306" priority="1540"/>
  </conditionalFormatting>
  <conditionalFormatting sqref="C1539">
    <cfRule type="duplicateValues" dxfId="1305" priority="1538"/>
  </conditionalFormatting>
  <conditionalFormatting sqref="B1539">
    <cfRule type="duplicateValues" dxfId="1304" priority="1537"/>
  </conditionalFormatting>
  <conditionalFormatting sqref="C1539">
    <cfRule type="duplicateValues" dxfId="1303" priority="1536"/>
  </conditionalFormatting>
  <conditionalFormatting sqref="B1539">
    <cfRule type="duplicateValues" dxfId="1302" priority="1535"/>
  </conditionalFormatting>
  <conditionalFormatting sqref="B1539:C1539">
    <cfRule type="duplicateValues" dxfId="1301" priority="1534"/>
  </conditionalFormatting>
  <conditionalFormatting sqref="D1539">
    <cfRule type="duplicateValues" dxfId="1300" priority="1533"/>
  </conditionalFormatting>
  <conditionalFormatting sqref="C1539">
    <cfRule type="duplicateValues" dxfId="1299" priority="1532"/>
  </conditionalFormatting>
  <conditionalFormatting sqref="D1539">
    <cfRule type="duplicateValues" dxfId="1298" priority="1531"/>
  </conditionalFormatting>
  <conditionalFormatting sqref="I802">
    <cfRule type="cellIs" dxfId="1297" priority="1527" operator="equal">
      <formula>"ogleden sonra gitti"</formula>
    </cfRule>
  </conditionalFormatting>
  <conditionalFormatting sqref="I802">
    <cfRule type="cellIs" dxfId="1296" priority="1525" operator="equal">
      <formula>"ISE CIKMADI"</formula>
    </cfRule>
    <cfRule type="cellIs" dxfId="1295" priority="1526" operator="equal">
      <formula>"ISE CIKMADI"</formula>
    </cfRule>
  </conditionalFormatting>
  <conditionalFormatting sqref="I878:I879">
    <cfRule type="cellIs" dxfId="1294" priority="1500" operator="equal">
      <formula>"ogleden sonra gitti"</formula>
    </cfRule>
  </conditionalFormatting>
  <conditionalFormatting sqref="I878:I879">
    <cfRule type="cellIs" dxfId="1293" priority="1498" operator="equal">
      <formula>"ISE CIKMADI"</formula>
    </cfRule>
    <cfRule type="cellIs" dxfId="1292" priority="1499" operator="equal">
      <formula>"ISE CIKMADI"</formula>
    </cfRule>
  </conditionalFormatting>
  <conditionalFormatting sqref="B1587:B1048576 B1175:B1585 B1:B1173">
    <cfRule type="duplicateValues" dxfId="1291" priority="1406"/>
  </conditionalFormatting>
  <conditionalFormatting sqref="I430">
    <cfRule type="cellIs" dxfId="1290" priority="1405" operator="equal">
      <formula>"ogleden sonra gitti"</formula>
    </cfRule>
  </conditionalFormatting>
  <conditionalFormatting sqref="I430">
    <cfRule type="cellIs" dxfId="1289" priority="1403" operator="equal">
      <formula>"ISE CIKMADI"</formula>
    </cfRule>
    <cfRule type="cellIs" dxfId="1288" priority="1404" operator="equal">
      <formula>"ISE CIKMADI"</formula>
    </cfRule>
  </conditionalFormatting>
  <conditionalFormatting sqref="B714:B725">
    <cfRule type="duplicateValues" dxfId="1287" priority="171671"/>
    <cfRule type="duplicateValues" dxfId="1286" priority="171672"/>
    <cfRule type="duplicateValues" dxfId="1285" priority="171673"/>
  </conditionalFormatting>
  <conditionalFormatting sqref="B714:C725">
    <cfRule type="duplicateValues" dxfId="1284" priority="171677"/>
  </conditionalFormatting>
  <conditionalFormatting sqref="C714:C725">
    <cfRule type="duplicateValues" dxfId="1283" priority="171679"/>
  </conditionalFormatting>
  <conditionalFormatting sqref="I197">
    <cfRule type="cellIs" dxfId="1282" priority="1393" operator="equal">
      <formula>"ogleden sonra gitti"</formula>
    </cfRule>
  </conditionalFormatting>
  <conditionalFormatting sqref="I197">
    <cfRule type="cellIs" dxfId="1281" priority="1391" operator="equal">
      <formula>"ISE CIKMADI"</formula>
    </cfRule>
    <cfRule type="cellIs" dxfId="1280" priority="1392" operator="equal">
      <formula>"ISE CIKMADI"</formula>
    </cfRule>
  </conditionalFormatting>
  <conditionalFormatting sqref="I882">
    <cfRule type="cellIs" dxfId="1279" priority="1387" operator="equal">
      <formula>"ogleden sonra gitti"</formula>
    </cfRule>
  </conditionalFormatting>
  <conditionalFormatting sqref="I882">
    <cfRule type="cellIs" dxfId="1278" priority="1385" operator="equal">
      <formula>"ISE CIKMADI"</formula>
    </cfRule>
    <cfRule type="cellIs" dxfId="1277" priority="1386" operator="equal">
      <formula>"ISE CIKMADI"</formula>
    </cfRule>
  </conditionalFormatting>
  <conditionalFormatting sqref="I668">
    <cfRule type="cellIs" dxfId="1267" priority="1351" operator="equal">
      <formula>"ogleden sonra gitti"</formula>
    </cfRule>
  </conditionalFormatting>
  <conditionalFormatting sqref="I668">
    <cfRule type="cellIs" dxfId="1266" priority="1349" operator="equal">
      <formula>"ISE CIKMADI"</formula>
    </cfRule>
    <cfRule type="cellIs" dxfId="1265" priority="1350" operator="equal">
      <formula>"ISE CIKMADI"</formula>
    </cfRule>
  </conditionalFormatting>
  <conditionalFormatting sqref="I594:I595">
    <cfRule type="cellIs" dxfId="1264" priority="1348" operator="equal">
      <formula>"ogleden sonra gitti"</formula>
    </cfRule>
  </conditionalFormatting>
  <conditionalFormatting sqref="I594:I595">
    <cfRule type="cellIs" dxfId="1263" priority="1346" operator="equal">
      <formula>"ISE CIKMADI"</formula>
    </cfRule>
    <cfRule type="cellIs" dxfId="1262" priority="1347" operator="equal">
      <formula>"ISE CIKMADI"</formula>
    </cfRule>
  </conditionalFormatting>
  <conditionalFormatting sqref="B744:B758 B711:B713">
    <cfRule type="duplicateValues" dxfId="1261" priority="175647"/>
    <cfRule type="duplicateValues" dxfId="1260" priority="175648"/>
    <cfRule type="duplicateValues" dxfId="1259" priority="175649"/>
  </conditionalFormatting>
  <conditionalFormatting sqref="C744:C758 C711:C713">
    <cfRule type="duplicateValues" dxfId="1258" priority="175678"/>
  </conditionalFormatting>
  <conditionalFormatting sqref="I1172 I1175">
    <cfRule type="cellIs" dxfId="1257" priority="1327" operator="equal">
      <formula>"ogleden sonra gitti"</formula>
    </cfRule>
  </conditionalFormatting>
  <conditionalFormatting sqref="I1172 I1175">
    <cfRule type="cellIs" dxfId="1256" priority="1325" operator="equal">
      <formula>"ISE CIKMADI"</formula>
    </cfRule>
    <cfRule type="cellIs" dxfId="1255" priority="1326" operator="equal">
      <formula>"ISE CIKMADI"</formula>
    </cfRule>
  </conditionalFormatting>
  <conditionalFormatting sqref="B1174">
    <cfRule type="duplicateValues" dxfId="1254" priority="1319"/>
    <cfRule type="duplicateValues" dxfId="1253" priority="1320"/>
    <cfRule type="duplicateValues" dxfId="1252" priority="1321"/>
  </conditionalFormatting>
  <conditionalFormatting sqref="B1174:C1174">
    <cfRule type="duplicateValues" dxfId="1251" priority="1318"/>
  </conditionalFormatting>
  <conditionalFormatting sqref="C1174">
    <cfRule type="duplicateValues" dxfId="1250" priority="1317"/>
  </conditionalFormatting>
  <conditionalFormatting sqref="I1174">
    <cfRule type="cellIs" dxfId="1249" priority="1316" operator="equal">
      <formula>"ogleden sonra gitti"</formula>
    </cfRule>
  </conditionalFormatting>
  <conditionalFormatting sqref="I1174">
    <cfRule type="cellIs" dxfId="1248" priority="1314" operator="equal">
      <formula>"ISE CIKMADI"</formula>
    </cfRule>
    <cfRule type="cellIs" dxfId="1247" priority="1315" operator="equal">
      <formula>"ISE CIKMADI"</formula>
    </cfRule>
  </conditionalFormatting>
  <conditionalFormatting sqref="C1174">
    <cfRule type="duplicateValues" dxfId="1246" priority="1313"/>
  </conditionalFormatting>
  <conditionalFormatting sqref="B1174">
    <cfRule type="duplicateValues" dxfId="1245" priority="1312"/>
  </conditionalFormatting>
  <conditionalFormatting sqref="D1174">
    <cfRule type="duplicateValues" dxfId="1244" priority="1311"/>
  </conditionalFormatting>
  <conditionalFormatting sqref="C1174">
    <cfRule type="duplicateValues" dxfId="1243" priority="1310"/>
  </conditionalFormatting>
  <conditionalFormatting sqref="C1174">
    <cfRule type="duplicateValues" dxfId="1242" priority="1309"/>
  </conditionalFormatting>
  <conditionalFormatting sqref="C1174">
    <cfRule type="duplicateValues" dxfId="1241" priority="1308"/>
  </conditionalFormatting>
  <conditionalFormatting sqref="D1174">
    <cfRule type="duplicateValues" dxfId="1240" priority="1307"/>
  </conditionalFormatting>
  <conditionalFormatting sqref="C1174">
    <cfRule type="duplicateValues" dxfId="1239" priority="1306"/>
  </conditionalFormatting>
  <conditionalFormatting sqref="B1174:C1174">
    <cfRule type="duplicateValues" dxfId="1238" priority="1305"/>
  </conditionalFormatting>
  <conditionalFormatting sqref="B1174">
    <cfRule type="duplicateValues" dxfId="1237" priority="1304"/>
  </conditionalFormatting>
  <conditionalFormatting sqref="C1174">
    <cfRule type="duplicateValues" dxfId="1236" priority="1303"/>
  </conditionalFormatting>
  <conditionalFormatting sqref="C1174">
    <cfRule type="duplicateValues" dxfId="1235" priority="1301"/>
    <cfRule type="duplicateValues" dxfId="1234" priority="1302"/>
  </conditionalFormatting>
  <conditionalFormatting sqref="C1174">
    <cfRule type="duplicateValues" dxfId="1233" priority="1300"/>
  </conditionalFormatting>
  <conditionalFormatting sqref="B1174">
    <cfRule type="duplicateValues" dxfId="1232" priority="1299"/>
  </conditionalFormatting>
  <conditionalFormatting sqref="C1174">
    <cfRule type="duplicateValues" dxfId="1231" priority="1298"/>
  </conditionalFormatting>
  <conditionalFormatting sqref="B1174">
    <cfRule type="duplicateValues" dxfId="1230" priority="1297"/>
  </conditionalFormatting>
  <conditionalFormatting sqref="D1174">
    <cfRule type="duplicateValues" dxfId="1229" priority="1296"/>
  </conditionalFormatting>
  <conditionalFormatting sqref="C1174">
    <cfRule type="duplicateValues" dxfId="1228" priority="1295"/>
  </conditionalFormatting>
  <conditionalFormatting sqref="D1174">
    <cfRule type="duplicateValues" dxfId="1227" priority="1294"/>
  </conditionalFormatting>
  <conditionalFormatting sqref="B1174">
    <cfRule type="duplicateValues" dxfId="1226" priority="1293"/>
  </conditionalFormatting>
  <conditionalFormatting sqref="B1174:C1174">
    <cfRule type="duplicateValues" dxfId="1225" priority="1292"/>
  </conditionalFormatting>
  <conditionalFormatting sqref="B1174">
    <cfRule type="duplicateValues" dxfId="1224" priority="1291"/>
  </conditionalFormatting>
  <conditionalFormatting sqref="B1174">
    <cfRule type="duplicateValues" dxfId="1223" priority="1284"/>
    <cfRule type="duplicateValues" dxfId="1222" priority="1285"/>
    <cfRule type="duplicateValues" dxfId="1221" priority="1286"/>
    <cfRule type="duplicateValues" dxfId="1220" priority="1287"/>
    <cfRule type="duplicateValues" dxfId="1219" priority="1288"/>
    <cfRule type="duplicateValues" dxfId="1218" priority="1289"/>
    <cfRule type="duplicateValues" dxfId="1217" priority="1290"/>
  </conditionalFormatting>
  <conditionalFormatting sqref="D1174">
    <cfRule type="duplicateValues" dxfId="1216" priority="1283"/>
  </conditionalFormatting>
  <conditionalFormatting sqref="C1174">
    <cfRule type="duplicateValues" dxfId="1215" priority="1281"/>
    <cfRule type="duplicateValues" dxfId="1214" priority="1282"/>
  </conditionalFormatting>
  <conditionalFormatting sqref="B1174:C1174">
    <cfRule type="duplicateValues" dxfId="1213" priority="1280"/>
  </conditionalFormatting>
  <conditionalFormatting sqref="C1181">
    <cfRule type="duplicateValues" dxfId="1212" priority="1279"/>
  </conditionalFormatting>
  <conditionalFormatting sqref="D1181">
    <cfRule type="duplicateValues" dxfId="1211" priority="1277"/>
  </conditionalFormatting>
  <conditionalFormatting sqref="C1181">
    <cfRule type="duplicateValues" dxfId="1210" priority="1276"/>
  </conditionalFormatting>
  <conditionalFormatting sqref="C1181">
    <cfRule type="duplicateValues" dxfId="1209" priority="1275"/>
  </conditionalFormatting>
  <conditionalFormatting sqref="C1181">
    <cfRule type="duplicateValues" dxfId="1208" priority="1271"/>
  </conditionalFormatting>
  <conditionalFormatting sqref="D1181">
    <cfRule type="duplicateValues" dxfId="1207" priority="1270"/>
  </conditionalFormatting>
  <conditionalFormatting sqref="C1181">
    <cfRule type="duplicateValues" dxfId="1206" priority="1269"/>
  </conditionalFormatting>
  <conditionalFormatting sqref="C1181">
    <cfRule type="duplicateValues" dxfId="1205" priority="1268"/>
  </conditionalFormatting>
  <conditionalFormatting sqref="C1181">
    <cfRule type="duplicateValues" dxfId="1204" priority="1266"/>
  </conditionalFormatting>
  <conditionalFormatting sqref="C1181">
    <cfRule type="duplicateValues" dxfId="1203" priority="1264"/>
    <cfRule type="duplicateValues" dxfId="1202" priority="1265"/>
  </conditionalFormatting>
  <conditionalFormatting sqref="C1181">
    <cfRule type="duplicateValues" dxfId="1201" priority="1263"/>
  </conditionalFormatting>
  <conditionalFormatting sqref="C1181">
    <cfRule type="duplicateValues" dxfId="1200" priority="1261"/>
  </conditionalFormatting>
  <conditionalFormatting sqref="D1181">
    <cfRule type="duplicateValues" dxfId="1199" priority="1259"/>
  </conditionalFormatting>
  <conditionalFormatting sqref="C1181">
    <cfRule type="duplicateValues" dxfId="1198" priority="1258"/>
  </conditionalFormatting>
  <conditionalFormatting sqref="D1181">
    <cfRule type="duplicateValues" dxfId="1197" priority="1257"/>
  </conditionalFormatting>
  <conditionalFormatting sqref="C1181">
    <cfRule type="duplicateValues" dxfId="1196" priority="1255"/>
  </conditionalFormatting>
  <conditionalFormatting sqref="C1181">
    <cfRule type="duplicateValues" dxfId="1195" priority="1240"/>
  </conditionalFormatting>
  <conditionalFormatting sqref="D1181">
    <cfRule type="duplicateValues" dxfId="1194" priority="1239"/>
  </conditionalFormatting>
  <conditionalFormatting sqref="C1181">
    <cfRule type="duplicateValues" dxfId="1193" priority="1238"/>
  </conditionalFormatting>
  <conditionalFormatting sqref="C1181">
    <cfRule type="duplicateValues" dxfId="1192" priority="1236"/>
    <cfRule type="duplicateValues" dxfId="1191" priority="1237"/>
  </conditionalFormatting>
  <conditionalFormatting sqref="C1181">
    <cfRule type="duplicateValues" dxfId="1190" priority="1235"/>
  </conditionalFormatting>
  <conditionalFormatting sqref="C1181">
    <cfRule type="duplicateValues" dxfId="1189" priority="1234"/>
  </conditionalFormatting>
  <conditionalFormatting sqref="C1181">
    <cfRule type="duplicateValues" dxfId="1188" priority="1233"/>
  </conditionalFormatting>
  <conditionalFormatting sqref="I1195">
    <cfRule type="cellIs" dxfId="1187" priority="1231" operator="equal">
      <formula>"ogleden sonra gitti"</formula>
    </cfRule>
  </conditionalFormatting>
  <conditionalFormatting sqref="I1195">
    <cfRule type="cellIs" dxfId="1186" priority="1229" operator="equal">
      <formula>"ISE CIKMADI"</formula>
    </cfRule>
    <cfRule type="cellIs" dxfId="1185" priority="1230" operator="equal">
      <formula>"ISE CIKMADI"</formula>
    </cfRule>
  </conditionalFormatting>
  <conditionalFormatting sqref="I1194">
    <cfRule type="cellIs" dxfId="1184" priority="1228" operator="equal">
      <formula>"ogleden sonra gitti"</formula>
    </cfRule>
  </conditionalFormatting>
  <conditionalFormatting sqref="I1194">
    <cfRule type="cellIs" dxfId="1183" priority="1226" operator="equal">
      <formula>"ISE CIKMADI"</formula>
    </cfRule>
    <cfRule type="cellIs" dxfId="1182" priority="1227" operator="equal">
      <formula>"ISE CIKMADI"</formula>
    </cfRule>
  </conditionalFormatting>
  <conditionalFormatting sqref="I1155">
    <cfRule type="cellIs" dxfId="1181" priority="1222" operator="equal">
      <formula>"ogleden sonra gitti"</formula>
    </cfRule>
  </conditionalFormatting>
  <conditionalFormatting sqref="I1155">
    <cfRule type="cellIs" dxfId="1180" priority="1220" operator="equal">
      <formula>"ISE CIKMADI"</formula>
    </cfRule>
    <cfRule type="cellIs" dxfId="1179" priority="1221" operator="equal">
      <formula>"ISE CIKMADI"</formula>
    </cfRule>
  </conditionalFormatting>
  <conditionalFormatting sqref="B1587:B1048576 B1540:B1585 B1362 B1 B652 B195 B1065 B176:B182 B3:B5 B482:B493 B864:B865 B700:B702 B78:B107 B114 B7:B76 B1163:B1167 B1138:B1139 B1133:B1134 B1131 B1147:B1149 B1151:B1156 B1175:B1225 B867:B877 B1227:B1289 B1420:B1432 B145:B168 B116:B141 B879:B995 B457:B480 B505:B515 B520:B527 B704:B861 B381:B455 B1434:B1538 B1169:B1173 B1076:B1126">
    <cfRule type="duplicateValues" dxfId="1178" priority="178538"/>
  </conditionalFormatting>
  <conditionalFormatting sqref="B1625:B1048576 B1 B652 B195 B1420 B1362 B1065 B176:B182 B3:B5 B482:B493 B864:B865 B700:B702 B78:B107 B114 B7:B76 B1163:B1167 B1138:B1139 B1133:B1134 B1131 B1147:B1149 B1151:B1156 B1175:B1225 B867:B877 B1227:B1289 B145:B168 B116:B141 B879:B995 B457:B480 B505:B515 B520:B527 B704:B861 B381:B455 B1169:B1173 B1076:B1126">
    <cfRule type="duplicateValues" dxfId="1177" priority="178573"/>
    <cfRule type="duplicateValues" dxfId="1176" priority="178574"/>
    <cfRule type="duplicateValues" dxfId="1175" priority="178575"/>
    <cfRule type="duplicateValues" dxfId="1174" priority="178576"/>
    <cfRule type="duplicateValues" dxfId="1173" priority="178577"/>
    <cfRule type="duplicateValues" dxfId="1172" priority="178578"/>
    <cfRule type="duplicateValues" dxfId="1171" priority="178579"/>
  </conditionalFormatting>
  <conditionalFormatting sqref="B1625:B1048576 B32:B35 B1362 B1 B195 B652 B700:B702 B1420 B1065 B176:B182 B3:B5 B482:B493 B7:B21 B864:B865 B704:B710 B78:B107 B114 B23:B30 B37:B76 B1163:B1167 B1138:B1139 B1133:B1134 B1131 B1147:B1149 B1151:B1156 B381:B390 B1175:B1225 B867:B877 B1227:B1270 B1274:B1289 B145:B168 B116:B141 B759:B861 B879:B995 B457:B480 B505:B515 B520:B527 B726:B743 B392:B455 B1169:B1173 B1076:B1126">
    <cfRule type="duplicateValues" dxfId="1170" priority="178811"/>
  </conditionalFormatting>
  <conditionalFormatting sqref="B1625:B1048576 B1362 B1 B652 B195 B1420 B1065 B176:B182 B3:B5 B482:B493 B864:B865 B700:B702 B78:B107 B114 B7:B76 B1163:B1167 B1138:B1139 B1133:B1134 B1131 B1147:B1149 B1151:B1156 B381:B390 B1175:B1225 B867:B877 B1227:B1289 B145:B168 B116:B141 B879:B995 B457:B480 B505:B515 B520:B527 B704:B861 B392:B455 B1169:B1173 B1076:B1126">
    <cfRule type="duplicateValues" dxfId="1169" priority="178852"/>
    <cfRule type="duplicateValues" dxfId="1168" priority="178853"/>
  </conditionalFormatting>
  <conditionalFormatting sqref="B1625:B1048576 B1362 B32:B35 B1 B195 B652 B700:B702 B1420 B1065 B176:B182 B3:B5 B482:B493 B7:B21 B864:B865 B704:B710 B78:B107 B114 B23:B30 B37:B76 B1163:B1167 B1138:B1139 B1133:B1134 B1131 B1147:B1149 B1151:B1156 B381:B390 B1175:B1225 B867:B877 B1227:B1270 B1274:B1289 B145:B168 B116:B141 B759:B861 B879:B995 B457:B480 B505:B515 B520:B527 B726:B743 B392:B455 B1169:B1173 B1076:B1126">
    <cfRule type="duplicateValues" dxfId="1167" priority="178922"/>
    <cfRule type="duplicateValues" dxfId="1166" priority="178923"/>
  </conditionalFormatting>
  <conditionalFormatting sqref="B1625:B1048576 B1362 B1 B652 B700:B702 B195 B1420 B1065 B176:B182 B3:B5 B482:B493 B864:B865 B704:B713 B78:B107 B114 B7:B76 B1163:B1167 B1138:B1139 B1133:B1134 B1131 B1147:B1149 B1151:B1156 B381:B390 B1175:B1225 B867:B877 B1227:B1289 B145:B168 B116:B141 B879:B995 B457:B480 B505:B515 B520:B527 B726:B861 B392:B455 B1169:B1173 B1076:B1126">
    <cfRule type="duplicateValues" dxfId="1165" priority="179004"/>
  </conditionalFormatting>
  <conditionalFormatting sqref="B1157:B1162 B1140:B1146 B1127:B1130 B1132 B1135:B1137 B1168">
    <cfRule type="duplicateValues" dxfId="1164" priority="179446"/>
    <cfRule type="duplicateValues" dxfId="1163" priority="179447"/>
    <cfRule type="duplicateValues" dxfId="1162" priority="179448"/>
    <cfRule type="duplicateValues" dxfId="1161" priority="179449"/>
    <cfRule type="duplicateValues" dxfId="1160" priority="179450"/>
    <cfRule type="duplicateValues" dxfId="1159" priority="179451"/>
    <cfRule type="duplicateValues" dxfId="1158" priority="179452"/>
    <cfRule type="duplicateValues" dxfId="1157" priority="179453"/>
    <cfRule type="duplicateValues" dxfId="1156" priority="179454"/>
    <cfRule type="duplicateValues" dxfId="1155" priority="179455"/>
  </conditionalFormatting>
  <conditionalFormatting sqref="B1157:C1162 B1140:C1146 B1127:C1130 B1132:C1132 B1135:C1137 B1168:C1168">
    <cfRule type="duplicateValues" dxfId="1154" priority="179506"/>
  </conditionalFormatting>
  <conditionalFormatting sqref="C1157:C1162 C1140:C1146 C1127:C1130 C1132 C1135:C1137 C1168">
    <cfRule type="duplicateValues" dxfId="1153" priority="179512"/>
    <cfRule type="duplicateValues" dxfId="1152" priority="179513"/>
    <cfRule type="duplicateValues" dxfId="1151" priority="179514"/>
  </conditionalFormatting>
  <conditionalFormatting sqref="D1157:D1162 D1140:D1146 D1127:D1130 D1132 D1135:D1137 D1168">
    <cfRule type="duplicateValues" dxfId="1150" priority="179530"/>
  </conditionalFormatting>
  <conditionalFormatting sqref="I520">
    <cfRule type="cellIs" dxfId="1149" priority="1216" operator="equal">
      <formula>"ogleden sonra gitti"</formula>
    </cfRule>
  </conditionalFormatting>
  <conditionalFormatting sqref="I520">
    <cfRule type="cellIs" dxfId="1148" priority="1214" operator="equal">
      <formula>"ISE CIKMADI"</formula>
    </cfRule>
    <cfRule type="cellIs" dxfId="1147" priority="1215" operator="equal">
      <formula>"ISE CIKMADI"</formula>
    </cfRule>
  </conditionalFormatting>
  <conditionalFormatting sqref="I521">
    <cfRule type="cellIs" dxfId="1146" priority="1213" operator="equal">
      <formula>"ogleden sonra gitti"</formula>
    </cfRule>
  </conditionalFormatting>
  <conditionalFormatting sqref="I521">
    <cfRule type="cellIs" dxfId="1145" priority="1211" operator="equal">
      <formula>"ISE CIKMADI"</formula>
    </cfRule>
    <cfRule type="cellIs" dxfId="1144" priority="1212" operator="equal">
      <formula>"ISE CIKMADI"</formula>
    </cfRule>
  </conditionalFormatting>
  <conditionalFormatting sqref="I522">
    <cfRule type="cellIs" dxfId="1143" priority="1210" operator="equal">
      <formula>"ogleden sonra gitti"</formula>
    </cfRule>
  </conditionalFormatting>
  <conditionalFormatting sqref="I522">
    <cfRule type="cellIs" dxfId="1142" priority="1208" operator="equal">
      <formula>"ISE CIKMADI"</formula>
    </cfRule>
    <cfRule type="cellIs" dxfId="1141" priority="1209" operator="equal">
      <formula>"ISE CIKMADI"</formula>
    </cfRule>
  </conditionalFormatting>
  <conditionalFormatting sqref="I701:I703">
    <cfRule type="cellIs" dxfId="1140" priority="1201" operator="equal">
      <formula>"ogleden sonra gitti"</formula>
    </cfRule>
  </conditionalFormatting>
  <conditionalFormatting sqref="I701:I703">
    <cfRule type="cellIs" dxfId="1139" priority="1199" operator="equal">
      <formula>"ISE CIKMADI"</formula>
    </cfRule>
    <cfRule type="cellIs" dxfId="1138" priority="1200" operator="equal">
      <formula>"ISE CIKMADI"</formula>
    </cfRule>
  </conditionalFormatting>
  <conditionalFormatting sqref="I778">
    <cfRule type="cellIs" dxfId="1137" priority="1195" operator="equal">
      <formula>"ogleden sonra gitti"</formula>
    </cfRule>
  </conditionalFormatting>
  <conditionalFormatting sqref="I778">
    <cfRule type="cellIs" dxfId="1136" priority="1193" operator="equal">
      <formula>"ISE CIKMADI"</formula>
    </cfRule>
    <cfRule type="cellIs" dxfId="1135" priority="1194" operator="equal">
      <formula>"ISE CIKMADI"</formula>
    </cfRule>
  </conditionalFormatting>
  <conditionalFormatting sqref="I1039">
    <cfRule type="cellIs" dxfId="1134" priority="1192" operator="equal">
      <formula>"ogleden sonra gitti"</formula>
    </cfRule>
  </conditionalFormatting>
  <conditionalFormatting sqref="I1039">
    <cfRule type="cellIs" dxfId="1133" priority="1190" operator="equal">
      <formula>"ISE CIKMADI"</formula>
    </cfRule>
    <cfRule type="cellIs" dxfId="1132" priority="1191" operator="equal">
      <formula>"ISE CIKMADI"</formula>
    </cfRule>
  </conditionalFormatting>
  <conditionalFormatting sqref="I1018">
    <cfRule type="cellIs" dxfId="1131" priority="1176" operator="equal">
      <formula>"ogleden sonra gitti"</formula>
    </cfRule>
  </conditionalFormatting>
  <conditionalFormatting sqref="I1018">
    <cfRule type="cellIs" dxfId="1130" priority="1174" operator="equal">
      <formula>"ISE CIKMADI"</formula>
    </cfRule>
    <cfRule type="cellIs" dxfId="1129" priority="1175" operator="equal">
      <formula>"ISE CIKMADI"</formula>
    </cfRule>
  </conditionalFormatting>
  <conditionalFormatting sqref="I1099">
    <cfRule type="cellIs" dxfId="1128" priority="1147" operator="equal">
      <formula>"ISE CIKMADI"</formula>
    </cfRule>
    <cfRule type="cellIs" dxfId="1127" priority="1148" operator="equal">
      <formula>"ISE CIKMADI"</formula>
    </cfRule>
  </conditionalFormatting>
  <conditionalFormatting sqref="I1099">
    <cfRule type="cellIs" dxfId="1126" priority="1149" operator="equal">
      <formula>"ogleden sonra gitti"</formula>
    </cfRule>
  </conditionalFormatting>
  <conditionalFormatting sqref="I613:I614">
    <cfRule type="cellIs" dxfId="1125" priority="1170" operator="equal">
      <formula>"ogleden sonra gitti"</formula>
    </cfRule>
  </conditionalFormatting>
  <conditionalFormatting sqref="I613:I614">
    <cfRule type="cellIs" dxfId="1124" priority="1168" operator="equal">
      <formula>"ISE CIKMADI"</formula>
    </cfRule>
    <cfRule type="cellIs" dxfId="1123" priority="1169" operator="equal">
      <formula>"ISE CIKMADI"</formula>
    </cfRule>
  </conditionalFormatting>
  <conditionalFormatting sqref="I1281">
    <cfRule type="cellIs" dxfId="1122" priority="1167" operator="equal">
      <formula>"ogleden sonra gitti"</formula>
    </cfRule>
  </conditionalFormatting>
  <conditionalFormatting sqref="I1281">
    <cfRule type="cellIs" dxfId="1121" priority="1165" operator="equal">
      <formula>"ISE CIKMADI"</formula>
    </cfRule>
    <cfRule type="cellIs" dxfId="1120" priority="1166" operator="equal">
      <formula>"ISE CIKMADI"</formula>
    </cfRule>
  </conditionalFormatting>
  <conditionalFormatting sqref="I1281">
    <cfRule type="cellIs" dxfId="1119" priority="1164" operator="equal">
      <formula>"ogleden sonra gitti"</formula>
    </cfRule>
  </conditionalFormatting>
  <conditionalFormatting sqref="I1281">
    <cfRule type="cellIs" dxfId="1118" priority="1162" operator="equal">
      <formula>"ISE CIKMADI"</formula>
    </cfRule>
    <cfRule type="cellIs" dxfId="1117" priority="1163" operator="equal">
      <formula>"ISE CIKMADI"</formula>
    </cfRule>
  </conditionalFormatting>
  <conditionalFormatting sqref="I1201:I1205">
    <cfRule type="cellIs" dxfId="1116" priority="1161" operator="equal">
      <formula>"ogleden sonra gitti"</formula>
    </cfRule>
  </conditionalFormatting>
  <conditionalFormatting sqref="I1201:I1205">
    <cfRule type="cellIs" dxfId="1115" priority="1159" operator="equal">
      <formula>"ISE CIKMADI"</formula>
    </cfRule>
    <cfRule type="cellIs" dxfId="1114" priority="1160" operator="equal">
      <formula>"ISE CIKMADI"</formula>
    </cfRule>
  </conditionalFormatting>
  <conditionalFormatting sqref="I1225:I1236">
    <cfRule type="cellIs" dxfId="1113" priority="1155" operator="equal">
      <formula>"ogleden sonra gitti"</formula>
    </cfRule>
  </conditionalFormatting>
  <conditionalFormatting sqref="I1225:I1236">
    <cfRule type="cellIs" dxfId="1112" priority="1153" operator="equal">
      <formula>"ISE CIKMADI"</formula>
    </cfRule>
    <cfRule type="cellIs" dxfId="1111" priority="1154" operator="equal">
      <formula>"ISE CIKMADI"</formula>
    </cfRule>
  </conditionalFormatting>
  <conditionalFormatting sqref="I1099">
    <cfRule type="cellIs" dxfId="1110" priority="1146" operator="equal">
      <formula>"ogleden sonra gitti"</formula>
    </cfRule>
  </conditionalFormatting>
  <conditionalFormatting sqref="I1099">
    <cfRule type="cellIs" dxfId="1109" priority="1144" operator="equal">
      <formula>"ISE CIKMADI"</formula>
    </cfRule>
    <cfRule type="cellIs" dxfId="1108" priority="1145" operator="equal">
      <formula>"ISE CIKMADI"</formula>
    </cfRule>
  </conditionalFormatting>
  <conditionalFormatting sqref="I1099">
    <cfRule type="cellIs" dxfId="1107" priority="1143" operator="equal">
      <formula>"ogleden sonra gitti"</formula>
    </cfRule>
  </conditionalFormatting>
  <conditionalFormatting sqref="I1099">
    <cfRule type="cellIs" dxfId="1106" priority="1141" operator="equal">
      <formula>"ISE CIKMADI"</formula>
    </cfRule>
    <cfRule type="cellIs" dxfId="1105" priority="1142" operator="equal">
      <formula>"ISE CIKMADI"</formula>
    </cfRule>
  </conditionalFormatting>
  <conditionalFormatting sqref="I1429">
    <cfRule type="cellIs" dxfId="1104" priority="1131" operator="equal">
      <formula>"ogleden sonra gitti"</formula>
    </cfRule>
  </conditionalFormatting>
  <conditionalFormatting sqref="I1429">
    <cfRule type="cellIs" dxfId="1103" priority="1129" operator="equal">
      <formula>"ISE CIKMADI"</formula>
    </cfRule>
    <cfRule type="cellIs" dxfId="1102" priority="1130" operator="equal">
      <formula>"ISE CIKMADI"</formula>
    </cfRule>
  </conditionalFormatting>
  <conditionalFormatting sqref="I1423">
    <cfRule type="cellIs" dxfId="1101" priority="1128" operator="equal">
      <formula>"ogleden sonra gitti"</formula>
    </cfRule>
  </conditionalFormatting>
  <conditionalFormatting sqref="I1423">
    <cfRule type="cellIs" dxfId="1100" priority="1126" operator="equal">
      <formula>"ISE CIKMADI"</formula>
    </cfRule>
    <cfRule type="cellIs" dxfId="1099" priority="1127" operator="equal">
      <formula>"ISE CIKMADI"</formula>
    </cfRule>
  </conditionalFormatting>
  <conditionalFormatting sqref="C1293:C1294 C1013:C1063">
    <cfRule type="duplicateValues" dxfId="1098" priority="180564"/>
    <cfRule type="duplicateValues" dxfId="1097" priority="180565"/>
    <cfRule type="duplicateValues" dxfId="1096" priority="180566"/>
  </conditionalFormatting>
  <conditionalFormatting sqref="D1293:D1294 D1013:D1063">
    <cfRule type="duplicateValues" dxfId="1095" priority="180570"/>
  </conditionalFormatting>
  <conditionalFormatting sqref="B1293:B1294 B1013:B1064">
    <cfRule type="duplicateValues" dxfId="1094" priority="180572"/>
    <cfRule type="duplicateValues" dxfId="1093" priority="180573"/>
    <cfRule type="duplicateValues" dxfId="1092" priority="180574"/>
    <cfRule type="duplicateValues" dxfId="1091" priority="180575"/>
    <cfRule type="duplicateValues" dxfId="1090" priority="180576"/>
    <cfRule type="duplicateValues" dxfId="1089" priority="180577"/>
    <cfRule type="duplicateValues" dxfId="1088" priority="180578"/>
    <cfRule type="duplicateValues" dxfId="1087" priority="180579"/>
    <cfRule type="duplicateValues" dxfId="1086" priority="180580"/>
    <cfRule type="duplicateValues" dxfId="1085" priority="180581"/>
  </conditionalFormatting>
  <conditionalFormatting sqref="I187:I189 I191:I194">
    <cfRule type="cellIs" dxfId="1084" priority="1121" operator="equal">
      <formula>"ogleden sonra gitti"</formula>
    </cfRule>
  </conditionalFormatting>
  <conditionalFormatting sqref="I187:I189 I191:I194">
    <cfRule type="cellIs" dxfId="1083" priority="1119" operator="equal">
      <formula>"ISE CIKMADI"</formula>
    </cfRule>
    <cfRule type="cellIs" dxfId="1082" priority="1120" operator="equal">
      <formula>"ISE CIKMADI"</formula>
    </cfRule>
  </conditionalFormatting>
  <conditionalFormatting sqref="I500:I502">
    <cfRule type="cellIs" dxfId="1081" priority="1100" operator="equal">
      <formula>"ogleden sonra gitti"</formula>
    </cfRule>
  </conditionalFormatting>
  <conditionalFormatting sqref="I500:I502">
    <cfRule type="cellIs" dxfId="1080" priority="1098" operator="equal">
      <formula>"ISE CIKMADI"</formula>
    </cfRule>
    <cfRule type="cellIs" dxfId="1079" priority="1099" operator="equal">
      <formula>"ISE CIKMADI"</formula>
    </cfRule>
  </conditionalFormatting>
  <conditionalFormatting sqref="I500:I502">
    <cfRule type="cellIs" dxfId="1078" priority="1097" operator="equal">
      <formula>"ogleden sonra gitti"</formula>
    </cfRule>
  </conditionalFormatting>
  <conditionalFormatting sqref="I500:I502">
    <cfRule type="cellIs" dxfId="1077" priority="1095" operator="equal">
      <formula>"ISE CIKMADI"</formula>
    </cfRule>
    <cfRule type="cellIs" dxfId="1076" priority="1096" operator="equal">
      <formula>"ISE CIKMADI"</formula>
    </cfRule>
  </conditionalFormatting>
  <conditionalFormatting sqref="I779:I780">
    <cfRule type="cellIs" dxfId="1075" priority="1082" operator="equal">
      <formula>"ogleden sonra gitti"</formula>
    </cfRule>
  </conditionalFormatting>
  <conditionalFormatting sqref="I779:I780">
    <cfRule type="cellIs" dxfId="1074" priority="1080" operator="equal">
      <formula>"ISE CIKMADI"</formula>
    </cfRule>
    <cfRule type="cellIs" dxfId="1073" priority="1081" operator="equal">
      <formula>"ISE CIKMADI"</formula>
    </cfRule>
  </conditionalFormatting>
  <conditionalFormatting sqref="I1391 I1394">
    <cfRule type="cellIs" dxfId="1072" priority="1076" operator="equal">
      <formula>"ogleden sonra gitti"</formula>
    </cfRule>
  </conditionalFormatting>
  <conditionalFormatting sqref="I1391 I1394">
    <cfRule type="cellIs" dxfId="1071" priority="1074" operator="equal">
      <formula>"ISE CIKMADI"</formula>
    </cfRule>
    <cfRule type="cellIs" dxfId="1070" priority="1075" operator="equal">
      <formula>"ISE CIKMADI"</formula>
    </cfRule>
  </conditionalFormatting>
  <conditionalFormatting sqref="I730:I732">
    <cfRule type="cellIs" dxfId="1069" priority="1079" operator="equal">
      <formula>"ogleden sonra gitti"</formula>
    </cfRule>
  </conditionalFormatting>
  <conditionalFormatting sqref="I730:I732">
    <cfRule type="cellIs" dxfId="1068" priority="1077" operator="equal">
      <formula>"ISE CIKMADI"</formula>
    </cfRule>
    <cfRule type="cellIs" dxfId="1067" priority="1078" operator="equal">
      <formula>"ISE CIKMADI"</formula>
    </cfRule>
  </conditionalFormatting>
  <conditionalFormatting sqref="I531">
    <cfRule type="cellIs" dxfId="1066" priority="1055" operator="equal">
      <formula>"ogleden sonra gitti"</formula>
    </cfRule>
  </conditionalFormatting>
  <conditionalFormatting sqref="I531">
    <cfRule type="cellIs" dxfId="1065" priority="1053" operator="equal">
      <formula>"ISE CIKMADI"</formula>
    </cfRule>
    <cfRule type="cellIs" dxfId="1064" priority="1054" operator="equal">
      <formula>"ISE CIKMADI"</formula>
    </cfRule>
  </conditionalFormatting>
  <conditionalFormatting sqref="I1239:I1240">
    <cfRule type="cellIs" dxfId="1063" priority="1070" operator="equal">
      <formula>"ogleden sonra gitti"</formula>
    </cfRule>
  </conditionalFormatting>
  <conditionalFormatting sqref="I1239:I1240">
    <cfRule type="cellIs" dxfId="1062" priority="1068" operator="equal">
      <formula>"ISE CIKMADI"</formula>
    </cfRule>
    <cfRule type="cellIs" dxfId="1061" priority="1069" operator="equal">
      <formula>"ISE CIKMADI"</formula>
    </cfRule>
  </conditionalFormatting>
  <conditionalFormatting sqref="I1239:I1240">
    <cfRule type="cellIs" dxfId="1060" priority="1065" operator="equal">
      <formula>"ogleden sonra gitti"</formula>
    </cfRule>
  </conditionalFormatting>
  <conditionalFormatting sqref="I1239:I1240">
    <cfRule type="cellIs" dxfId="1059" priority="1066" operator="equal">
      <formula>"ISE CIKMADI DIS GOREV NIJNIYNOVGORODDEN GELDI"</formula>
    </cfRule>
    <cfRule type="cellIs" dxfId="1058" priority="1067" operator="equal">
      <formula>"ISE CIKMADI"</formula>
    </cfRule>
  </conditionalFormatting>
  <conditionalFormatting sqref="I1239:I1240">
    <cfRule type="cellIs" dxfId="1057" priority="1062" operator="equal">
      <formula>"ogleden sonra gitti"</formula>
    </cfRule>
  </conditionalFormatting>
  <conditionalFormatting sqref="I1239:I1240">
    <cfRule type="cellIs" dxfId="1056" priority="1063" operator="equal">
      <formula>"ISE CIKMADI"</formula>
    </cfRule>
    <cfRule type="cellIs" dxfId="1055" priority="1064" operator="equal">
      <formula>"ISE CIKMADI"</formula>
    </cfRule>
  </conditionalFormatting>
  <conditionalFormatting sqref="I1239:I1240">
    <cfRule type="cellIs" dxfId="1054" priority="1061" operator="equal">
      <formula>"ogleden sonra gitti"</formula>
    </cfRule>
  </conditionalFormatting>
  <conditionalFormatting sqref="I1239:I1240">
    <cfRule type="cellIs" dxfId="1053" priority="1059" operator="equal">
      <formula>"ISE CIKMADI"</formula>
    </cfRule>
    <cfRule type="cellIs" dxfId="1052" priority="1060" operator="equal">
      <formula>"ISE CIKMADI"</formula>
    </cfRule>
  </conditionalFormatting>
  <conditionalFormatting sqref="I531">
    <cfRule type="cellIs" dxfId="1051" priority="1058" operator="equal">
      <formula>"ogleden sonra gitti"</formula>
    </cfRule>
  </conditionalFormatting>
  <conditionalFormatting sqref="I531">
    <cfRule type="cellIs" dxfId="1050" priority="1056" operator="equal">
      <formula>"ISE CIKMADI"</formula>
    </cfRule>
    <cfRule type="cellIs" dxfId="1049" priority="1057" operator="equal">
      <formula>"ISE CIKMADI"</formula>
    </cfRule>
  </conditionalFormatting>
  <conditionalFormatting sqref="I133:I135">
    <cfRule type="cellIs" dxfId="1048" priority="1052" operator="equal">
      <formula>"ogleden sonra gitti"</formula>
    </cfRule>
  </conditionalFormatting>
  <conditionalFormatting sqref="I133:I135">
    <cfRule type="cellIs" dxfId="1047" priority="1050" operator="equal">
      <formula>"ISE CIKMADI"</formula>
    </cfRule>
    <cfRule type="cellIs" dxfId="1046" priority="1051" operator="equal">
      <formula>"ISE CIKMADI"</formula>
    </cfRule>
  </conditionalFormatting>
  <conditionalFormatting sqref="I1586">
    <cfRule type="cellIs" dxfId="1045" priority="1043" operator="equal">
      <formula>"ogleden sonra gitti"</formula>
    </cfRule>
  </conditionalFormatting>
  <conditionalFormatting sqref="I1586">
    <cfRule type="cellIs" dxfId="1044" priority="1041" operator="equal">
      <formula>"ISE CIKMADI"</formula>
    </cfRule>
    <cfRule type="cellIs" dxfId="1043" priority="1042" operator="equal">
      <formula>"ISE CIKMADI"</formula>
    </cfRule>
  </conditionalFormatting>
  <conditionalFormatting sqref="C1586">
    <cfRule type="duplicateValues" dxfId="1042" priority="1040"/>
  </conditionalFormatting>
  <conditionalFormatting sqref="B1586">
    <cfRule type="duplicateValues" dxfId="1041" priority="1039"/>
  </conditionalFormatting>
  <conditionalFormatting sqref="D1586">
    <cfRule type="duplicateValues" dxfId="1040" priority="1038"/>
  </conditionalFormatting>
  <conditionalFormatting sqref="C1586">
    <cfRule type="duplicateValues" dxfId="1039" priority="1037"/>
  </conditionalFormatting>
  <conditionalFormatting sqref="C1586">
    <cfRule type="duplicateValues" dxfId="1038" priority="1036"/>
  </conditionalFormatting>
  <conditionalFormatting sqref="C1586">
    <cfRule type="duplicateValues" dxfId="1037" priority="1035"/>
  </conditionalFormatting>
  <conditionalFormatting sqref="D1586">
    <cfRule type="duplicateValues" dxfId="1036" priority="1034"/>
  </conditionalFormatting>
  <conditionalFormatting sqref="C1586">
    <cfRule type="duplicateValues" dxfId="1035" priority="1033"/>
  </conditionalFormatting>
  <conditionalFormatting sqref="B1586:C1586">
    <cfRule type="duplicateValues" dxfId="1034" priority="1032"/>
  </conditionalFormatting>
  <conditionalFormatting sqref="B1586">
    <cfRule type="duplicateValues" dxfId="1033" priority="1031"/>
  </conditionalFormatting>
  <conditionalFormatting sqref="C1586">
    <cfRule type="duplicateValues" dxfId="1032" priority="1030"/>
  </conditionalFormatting>
  <conditionalFormatting sqref="C1586">
    <cfRule type="duplicateValues" dxfId="1031" priority="1028"/>
    <cfRule type="duplicateValues" dxfId="1030" priority="1029"/>
  </conditionalFormatting>
  <conditionalFormatting sqref="C1586">
    <cfRule type="duplicateValues" dxfId="1029" priority="1027"/>
  </conditionalFormatting>
  <conditionalFormatting sqref="B1586">
    <cfRule type="duplicateValues" dxfId="1028" priority="1026"/>
  </conditionalFormatting>
  <conditionalFormatting sqref="C1586">
    <cfRule type="duplicateValues" dxfId="1027" priority="1025"/>
  </conditionalFormatting>
  <conditionalFormatting sqref="B1586">
    <cfRule type="duplicateValues" dxfId="1026" priority="1024"/>
  </conditionalFormatting>
  <conditionalFormatting sqref="D1586">
    <cfRule type="duplicateValues" dxfId="1025" priority="1023"/>
  </conditionalFormatting>
  <conditionalFormatting sqref="C1586">
    <cfRule type="duplicateValues" dxfId="1024" priority="1022"/>
  </conditionalFormatting>
  <conditionalFormatting sqref="D1586">
    <cfRule type="duplicateValues" dxfId="1023" priority="1021"/>
  </conditionalFormatting>
  <conditionalFormatting sqref="B1586">
    <cfRule type="duplicateValues" dxfId="1022" priority="1020"/>
  </conditionalFormatting>
  <conditionalFormatting sqref="C1586">
    <cfRule type="duplicateValues" dxfId="1021" priority="1017"/>
    <cfRule type="duplicateValues" dxfId="1020" priority="1018"/>
    <cfRule type="duplicateValues" dxfId="1019" priority="1019"/>
  </conditionalFormatting>
  <conditionalFormatting sqref="B1586:C1586">
    <cfRule type="duplicateValues" dxfId="1018" priority="1016"/>
  </conditionalFormatting>
  <conditionalFormatting sqref="B1586">
    <cfRule type="duplicateValues" dxfId="1017" priority="1015"/>
  </conditionalFormatting>
  <conditionalFormatting sqref="B1586:C1586">
    <cfRule type="duplicateValues" dxfId="1016" priority="1014"/>
  </conditionalFormatting>
  <conditionalFormatting sqref="B1586:C1586">
    <cfRule type="duplicateValues" dxfId="1015" priority="1013"/>
  </conditionalFormatting>
  <conditionalFormatting sqref="C1586">
    <cfRule type="duplicateValues" dxfId="1014" priority="1010"/>
    <cfRule type="duplicateValues" dxfId="1013" priority="1011"/>
    <cfRule type="duplicateValues" dxfId="1012" priority="1012"/>
  </conditionalFormatting>
  <conditionalFormatting sqref="D1586">
    <cfRule type="duplicateValues" dxfId="1011" priority="1009"/>
  </conditionalFormatting>
  <conditionalFormatting sqref="B1586">
    <cfRule type="duplicateValues" dxfId="1010" priority="999"/>
    <cfRule type="duplicateValues" dxfId="1009" priority="1000"/>
    <cfRule type="duplicateValues" dxfId="1008" priority="1001"/>
    <cfRule type="duplicateValues" dxfId="1007" priority="1002"/>
    <cfRule type="duplicateValues" dxfId="1006" priority="1003"/>
    <cfRule type="duplicateValues" dxfId="1005" priority="1004"/>
    <cfRule type="duplicateValues" dxfId="1004" priority="1005"/>
    <cfRule type="duplicateValues" dxfId="1003" priority="1006"/>
    <cfRule type="duplicateValues" dxfId="1002" priority="1007"/>
    <cfRule type="duplicateValues" dxfId="1001" priority="1008"/>
  </conditionalFormatting>
  <conditionalFormatting sqref="B1586">
    <cfRule type="duplicateValues" dxfId="1000" priority="998"/>
  </conditionalFormatting>
  <conditionalFormatting sqref="I639:I640">
    <cfRule type="cellIs" dxfId="999" priority="973" operator="equal">
      <formula>"ogleden sonra gitti"</formula>
    </cfRule>
  </conditionalFormatting>
  <conditionalFormatting sqref="I639:I640">
    <cfRule type="cellIs" dxfId="998" priority="971" operator="equal">
      <formula>"ISE CIKMADI"</formula>
    </cfRule>
    <cfRule type="cellIs" dxfId="997" priority="972" operator="equal">
      <formula>"ISE CIKMADI"</formula>
    </cfRule>
  </conditionalFormatting>
  <conditionalFormatting sqref="I149">
    <cfRule type="cellIs" dxfId="996" priority="994" operator="equal">
      <formula>"ogleden sonra gitti"</formula>
    </cfRule>
  </conditionalFormatting>
  <conditionalFormatting sqref="I149">
    <cfRule type="cellIs" dxfId="995" priority="992" operator="equal">
      <formula>"ISE CIKMADI"</formula>
    </cfRule>
    <cfRule type="cellIs" dxfId="994" priority="993" operator="equal">
      <formula>"ISE CIKMADI"</formula>
    </cfRule>
  </conditionalFormatting>
  <conditionalFormatting sqref="I163">
    <cfRule type="cellIs" dxfId="993" priority="991" operator="equal">
      <formula>"ogleden sonra gitti"</formula>
    </cfRule>
  </conditionalFormatting>
  <conditionalFormatting sqref="I163">
    <cfRule type="cellIs" dxfId="992" priority="989" operator="equal">
      <formula>"ISE CIKMADI"</formula>
    </cfRule>
    <cfRule type="cellIs" dxfId="991" priority="990" operator="equal">
      <formula>"ISE CIKMADI"</formula>
    </cfRule>
  </conditionalFormatting>
  <conditionalFormatting sqref="I276">
    <cfRule type="cellIs" dxfId="990" priority="988" operator="equal">
      <formula>"ogleden sonra gitti"</formula>
    </cfRule>
  </conditionalFormatting>
  <conditionalFormatting sqref="I276">
    <cfRule type="cellIs" dxfId="989" priority="986" operator="equal">
      <formula>"ISE CIKMADI"</formula>
    </cfRule>
    <cfRule type="cellIs" dxfId="988" priority="987" operator="equal">
      <formula>"ISE CIKMADI"</formula>
    </cfRule>
  </conditionalFormatting>
  <conditionalFormatting sqref="I1430">
    <cfRule type="cellIs" dxfId="987" priority="982" operator="equal">
      <formula>"ogleden sonra gitti"</formula>
    </cfRule>
  </conditionalFormatting>
  <conditionalFormatting sqref="I1430">
    <cfRule type="cellIs" dxfId="986" priority="980" operator="equal">
      <formula>"ISE CIKMADI"</formula>
    </cfRule>
    <cfRule type="cellIs" dxfId="985" priority="981" operator="equal">
      <formula>"ISE CIKMADI"</formula>
    </cfRule>
  </conditionalFormatting>
  <conditionalFormatting sqref="I1433">
    <cfRule type="cellIs" dxfId="984" priority="979" operator="equal">
      <formula>"ogleden sonra gitti"</formula>
    </cfRule>
  </conditionalFormatting>
  <conditionalFormatting sqref="I1433">
    <cfRule type="cellIs" dxfId="983" priority="977" operator="equal">
      <formula>"ISE CIKMADI"</formula>
    </cfRule>
    <cfRule type="cellIs" dxfId="982" priority="978" operator="equal">
      <formula>"ISE CIKMADI"</formula>
    </cfRule>
  </conditionalFormatting>
  <conditionalFormatting sqref="I639:I640">
    <cfRule type="cellIs" dxfId="981" priority="976" operator="equal">
      <formula>"ogleden sonra gitti"</formula>
    </cfRule>
  </conditionalFormatting>
  <conditionalFormatting sqref="I639:I640">
    <cfRule type="cellIs" dxfId="980" priority="974" operator="equal">
      <formula>"ISE CIKMADI"</formula>
    </cfRule>
    <cfRule type="cellIs" dxfId="979" priority="975" operator="equal">
      <formula>"ISE CIKMADI"</formula>
    </cfRule>
  </conditionalFormatting>
  <conditionalFormatting sqref="I964">
    <cfRule type="cellIs" dxfId="978" priority="964" operator="equal">
      <formula>"ogleden sonra gitti"</formula>
    </cfRule>
  </conditionalFormatting>
  <conditionalFormatting sqref="I964">
    <cfRule type="cellIs" dxfId="977" priority="962" operator="equal">
      <formula>"ISE CIKMADI"</formula>
    </cfRule>
    <cfRule type="cellIs" dxfId="976" priority="963" operator="equal">
      <formula>"ISE CIKMADI"</formula>
    </cfRule>
  </conditionalFormatting>
  <conditionalFormatting sqref="I903">
    <cfRule type="cellIs" dxfId="975" priority="949" operator="equal">
      <formula>"ogleden sonra gitti"</formula>
    </cfRule>
  </conditionalFormatting>
  <conditionalFormatting sqref="I903">
    <cfRule type="cellIs" dxfId="974" priority="947" operator="equal">
      <formula>"ISE CIKMADI"</formula>
    </cfRule>
    <cfRule type="cellIs" dxfId="973" priority="948" operator="equal">
      <formula>"ISE CIKMADI"</formula>
    </cfRule>
  </conditionalFormatting>
  <conditionalFormatting sqref="I904">
    <cfRule type="cellIs" dxfId="972" priority="946" operator="equal">
      <formula>"ogleden sonra gitti"</formula>
    </cfRule>
  </conditionalFormatting>
  <conditionalFormatting sqref="I904">
    <cfRule type="cellIs" dxfId="971" priority="944" operator="equal">
      <formula>"ISE CIKMADI"</formula>
    </cfRule>
    <cfRule type="cellIs" dxfId="970" priority="945" operator="equal">
      <formula>"ISE CIKMADI"</formula>
    </cfRule>
  </conditionalFormatting>
  <conditionalFormatting sqref="I909">
    <cfRule type="cellIs" dxfId="969" priority="943" operator="equal">
      <formula>"ogleden sonra gitti"</formula>
    </cfRule>
  </conditionalFormatting>
  <conditionalFormatting sqref="I909">
    <cfRule type="cellIs" dxfId="968" priority="941" operator="equal">
      <formula>"ISE CIKMADI"</formula>
    </cfRule>
    <cfRule type="cellIs" dxfId="967" priority="942" operator="equal">
      <formula>"ISE CIKMADI"</formula>
    </cfRule>
  </conditionalFormatting>
  <conditionalFormatting sqref="I905">
    <cfRule type="cellIs" dxfId="966" priority="940" operator="equal">
      <formula>"ogleden sonra gitti"</formula>
    </cfRule>
  </conditionalFormatting>
  <conditionalFormatting sqref="I905">
    <cfRule type="cellIs" dxfId="965" priority="938" operator="equal">
      <formula>"ISE CIKMADI"</formula>
    </cfRule>
    <cfRule type="cellIs" dxfId="964" priority="939" operator="equal">
      <formula>"ISE CIKMADI"</formula>
    </cfRule>
  </conditionalFormatting>
  <conditionalFormatting sqref="I910">
    <cfRule type="cellIs" dxfId="963" priority="937" operator="equal">
      <formula>"ogleden sonra gitti"</formula>
    </cfRule>
  </conditionalFormatting>
  <conditionalFormatting sqref="I910">
    <cfRule type="cellIs" dxfId="962" priority="935" operator="equal">
      <formula>"ISE CIKMADI"</formula>
    </cfRule>
    <cfRule type="cellIs" dxfId="961" priority="936" operator="equal">
      <formula>"ISE CIKMADI"</formula>
    </cfRule>
  </conditionalFormatting>
  <conditionalFormatting sqref="I908">
    <cfRule type="cellIs" dxfId="960" priority="931" operator="equal">
      <formula>"ogleden sonra gitti"</formula>
    </cfRule>
  </conditionalFormatting>
  <conditionalFormatting sqref="I908">
    <cfRule type="cellIs" dxfId="959" priority="929" operator="equal">
      <formula>"ISE CIKMADI"</formula>
    </cfRule>
    <cfRule type="cellIs" dxfId="958" priority="930" operator="equal">
      <formula>"ISE CIKMADI"</formula>
    </cfRule>
  </conditionalFormatting>
  <conditionalFormatting sqref="I906:I907">
    <cfRule type="cellIs" dxfId="957" priority="928" operator="equal">
      <formula>"ogleden sonra gitti"</formula>
    </cfRule>
  </conditionalFormatting>
  <conditionalFormatting sqref="I906:I907">
    <cfRule type="cellIs" dxfId="956" priority="926" operator="equal">
      <formula>"ISE CIKMADI"</formula>
    </cfRule>
    <cfRule type="cellIs" dxfId="955" priority="927" operator="equal">
      <formula>"ISE CIKMADI"</formula>
    </cfRule>
  </conditionalFormatting>
  <conditionalFormatting sqref="I1617">
    <cfRule type="cellIs" dxfId="954" priority="907" operator="equal">
      <formula>"ogleden sonra gitti"</formula>
    </cfRule>
  </conditionalFormatting>
  <conditionalFormatting sqref="I1617">
    <cfRule type="cellIs" dxfId="953" priority="905" operator="equal">
      <formula>"ISE CIKMADI"</formula>
    </cfRule>
    <cfRule type="cellIs" dxfId="952" priority="906" operator="equal">
      <formula>"ISE CIKMADI"</formula>
    </cfRule>
  </conditionalFormatting>
  <conditionalFormatting sqref="I1617">
    <cfRule type="cellIs" dxfId="951" priority="904" operator="equal">
      <formula>"ogleden sonra gitti"</formula>
    </cfRule>
  </conditionalFormatting>
  <conditionalFormatting sqref="I1617">
    <cfRule type="cellIs" dxfId="950" priority="902" operator="equal">
      <formula>"ISE CIKMADI"</formula>
    </cfRule>
    <cfRule type="cellIs" dxfId="949" priority="903" operator="equal">
      <formula>"ISE CIKMADI"</formula>
    </cfRule>
  </conditionalFormatting>
  <conditionalFormatting sqref="I1617">
    <cfRule type="cellIs" dxfId="948" priority="901" operator="equal">
      <formula>"ogleden sonra gitti"</formula>
    </cfRule>
  </conditionalFormatting>
  <conditionalFormatting sqref="I1617">
    <cfRule type="cellIs" dxfId="947" priority="899" operator="equal">
      <formula>"ISE CIKMADI"</formula>
    </cfRule>
    <cfRule type="cellIs" dxfId="946" priority="900" operator="equal">
      <formula>"ISE CIKMADI"</formula>
    </cfRule>
  </conditionalFormatting>
  <conditionalFormatting sqref="I1599:I1600">
    <cfRule type="cellIs" dxfId="945" priority="898" operator="equal">
      <formula>"ogleden sonra gitti"</formula>
    </cfRule>
  </conditionalFormatting>
  <conditionalFormatting sqref="I1599:I1600">
    <cfRule type="cellIs" dxfId="944" priority="896" operator="equal">
      <formula>"ISE CIKMADI"</formula>
    </cfRule>
    <cfRule type="cellIs" dxfId="943" priority="897" operator="equal">
      <formula>"ISE CIKMADI"</formula>
    </cfRule>
  </conditionalFormatting>
  <conditionalFormatting sqref="I1599:I1600">
    <cfRule type="cellIs" dxfId="942" priority="895" operator="equal">
      <formula>"ogleden sonra gitti"</formula>
    </cfRule>
  </conditionalFormatting>
  <conditionalFormatting sqref="I1599:I1600">
    <cfRule type="cellIs" dxfId="941" priority="893" operator="equal">
      <formula>"ISE CIKMADI"</formula>
    </cfRule>
    <cfRule type="cellIs" dxfId="940" priority="894" operator="equal">
      <formula>"ISE CIKMADI"</formula>
    </cfRule>
  </conditionalFormatting>
  <conditionalFormatting sqref="I1599:I1600">
    <cfRule type="cellIs" dxfId="939" priority="892" operator="equal">
      <formula>"ogleden sonra gitti"</formula>
    </cfRule>
  </conditionalFormatting>
  <conditionalFormatting sqref="I1599:I1600">
    <cfRule type="cellIs" dxfId="938" priority="890" operator="equal">
      <formula>"ISE CIKMADI"</formula>
    </cfRule>
    <cfRule type="cellIs" dxfId="937" priority="891" operator="equal">
      <formula>"ISE CIKMADI"</formula>
    </cfRule>
  </conditionalFormatting>
  <conditionalFormatting sqref="I697">
    <cfRule type="cellIs" dxfId="936" priority="889" operator="equal">
      <formula>"ogleden sonra gitti"</formula>
    </cfRule>
  </conditionalFormatting>
  <conditionalFormatting sqref="I697">
    <cfRule type="cellIs" dxfId="935" priority="887" operator="equal">
      <formula>"ISE CIKMADI"</formula>
    </cfRule>
    <cfRule type="cellIs" dxfId="934" priority="888" operator="equal">
      <formula>"ISE CIKMADI"</formula>
    </cfRule>
  </conditionalFormatting>
  <conditionalFormatting sqref="I475">
    <cfRule type="cellIs" dxfId="933" priority="880" operator="equal">
      <formula>"ogleden sonra gitti"</formula>
    </cfRule>
  </conditionalFormatting>
  <conditionalFormatting sqref="I475">
    <cfRule type="cellIs" dxfId="932" priority="878" operator="equal">
      <formula>"ISE CIKMADI"</formula>
    </cfRule>
    <cfRule type="cellIs" dxfId="931" priority="879" operator="equal">
      <formula>"ISE CIKMADI"</formula>
    </cfRule>
  </conditionalFormatting>
  <conditionalFormatting sqref="I1336:I1337">
    <cfRule type="cellIs" dxfId="930" priority="859" operator="equal">
      <formula>"ogleden sonra gitti"</formula>
    </cfRule>
  </conditionalFormatting>
  <conditionalFormatting sqref="I1336:I1337">
    <cfRule type="cellIs" dxfId="929" priority="857" operator="equal">
      <formula>"ISE CIKMADI"</formula>
    </cfRule>
    <cfRule type="cellIs" dxfId="928" priority="858" operator="equal">
      <formula>"ISE CIKMADI"</formula>
    </cfRule>
  </conditionalFormatting>
  <conditionalFormatting sqref="B1334:B1347 B1350:B1361">
    <cfRule type="duplicateValues" dxfId="927" priority="185066"/>
    <cfRule type="duplicateValues" dxfId="926" priority="185067"/>
    <cfRule type="duplicateValues" dxfId="925" priority="185068"/>
  </conditionalFormatting>
  <conditionalFormatting sqref="B1350 B1334:B1347 B1352:B1361">
    <cfRule type="duplicateValues" dxfId="924" priority="185075"/>
    <cfRule type="duplicateValues" dxfId="923" priority="185076"/>
    <cfRule type="duplicateValues" dxfId="922" priority="185077"/>
  </conditionalFormatting>
  <conditionalFormatting sqref="B1350:C1350 B1334:C1347 B1352:C1361">
    <cfRule type="duplicateValues" dxfId="921" priority="185087"/>
  </conditionalFormatting>
  <conditionalFormatting sqref="C1334:C1347 C1350:C1361">
    <cfRule type="duplicateValues" dxfId="920" priority="185091"/>
  </conditionalFormatting>
  <conditionalFormatting sqref="C1350 C1334:C1347 C1352:C1361">
    <cfRule type="duplicateValues" dxfId="919" priority="185094"/>
  </conditionalFormatting>
  <conditionalFormatting sqref="D1334:D1347 D1350:D1361">
    <cfRule type="duplicateValues" dxfId="918" priority="185098"/>
  </conditionalFormatting>
  <conditionalFormatting sqref="B1334:B1361">
    <cfRule type="duplicateValues" dxfId="917" priority="185107"/>
    <cfRule type="duplicateValues" dxfId="916" priority="185108"/>
    <cfRule type="duplicateValues" dxfId="915" priority="185109"/>
    <cfRule type="duplicateValues" dxfId="914" priority="185110"/>
    <cfRule type="duplicateValues" dxfId="913" priority="185111"/>
    <cfRule type="duplicateValues" dxfId="912" priority="185112"/>
    <cfRule type="duplicateValues" dxfId="911" priority="185113"/>
    <cfRule type="duplicateValues" dxfId="910" priority="185114"/>
  </conditionalFormatting>
  <conditionalFormatting sqref="B1334:C1361">
    <cfRule type="duplicateValues" dxfId="909" priority="185123"/>
  </conditionalFormatting>
  <conditionalFormatting sqref="C1334:C1361">
    <cfRule type="duplicateValues" dxfId="908" priority="185125"/>
    <cfRule type="duplicateValues" dxfId="907" priority="185126"/>
  </conditionalFormatting>
  <conditionalFormatting sqref="I153">
    <cfRule type="cellIs" dxfId="906" priority="838" operator="equal">
      <formula>"ogleden sonra gitti"</formula>
    </cfRule>
  </conditionalFormatting>
  <conditionalFormatting sqref="I153">
    <cfRule type="cellIs" dxfId="905" priority="836" operator="equal">
      <formula>"ISE CIKMADI"</formula>
    </cfRule>
    <cfRule type="cellIs" dxfId="904" priority="837" operator="equal">
      <formula>"ISE CIKMADI"</formula>
    </cfRule>
  </conditionalFormatting>
  <conditionalFormatting sqref="I1007">
    <cfRule type="cellIs" dxfId="903" priority="835" operator="equal">
      <formula>"ogleden sonra gitti"</formula>
    </cfRule>
  </conditionalFormatting>
  <conditionalFormatting sqref="I1007">
    <cfRule type="cellIs" dxfId="902" priority="833" operator="equal">
      <formula>"ISE CIKMADI"</formula>
    </cfRule>
    <cfRule type="cellIs" dxfId="901" priority="834" operator="equal">
      <formula>"ISE CIKMADI"</formula>
    </cfRule>
  </conditionalFormatting>
  <conditionalFormatting sqref="C1007:C1008">
    <cfRule type="duplicateValues" dxfId="900" priority="831"/>
  </conditionalFormatting>
  <conditionalFormatting sqref="C1007:C1008">
    <cfRule type="duplicateValues" dxfId="899" priority="829"/>
    <cfRule type="duplicateValues" dxfId="898" priority="830"/>
  </conditionalFormatting>
  <conditionalFormatting sqref="D1007:D1008">
    <cfRule type="duplicateValues" dxfId="897" priority="828"/>
  </conditionalFormatting>
  <conditionalFormatting sqref="C1007:C1008">
    <cfRule type="duplicateValues" dxfId="896" priority="827"/>
  </conditionalFormatting>
  <conditionalFormatting sqref="C1007:C1008">
    <cfRule type="duplicateValues" dxfId="895" priority="817"/>
  </conditionalFormatting>
  <conditionalFormatting sqref="C1007:C1008">
    <cfRule type="duplicateValues" dxfId="894" priority="816"/>
  </conditionalFormatting>
  <conditionalFormatting sqref="D1007:D1008">
    <cfRule type="duplicateValues" dxfId="893" priority="815"/>
  </conditionalFormatting>
  <conditionalFormatting sqref="C1007:C1008">
    <cfRule type="duplicateValues" dxfId="892" priority="811"/>
    <cfRule type="duplicateValues" dxfId="891" priority="812"/>
    <cfRule type="duplicateValues" dxfId="890" priority="813"/>
  </conditionalFormatting>
  <conditionalFormatting sqref="B996:B1011">
    <cfRule type="duplicateValues" dxfId="889" priority="185262"/>
  </conditionalFormatting>
  <conditionalFormatting sqref="B1007:B1008 B1009:C1011 B996:C1006">
    <cfRule type="duplicateValues" dxfId="888" priority="185272"/>
  </conditionalFormatting>
  <conditionalFormatting sqref="B996:B1011">
    <cfRule type="duplicateValues" dxfId="887" priority="185275"/>
    <cfRule type="duplicateValues" dxfId="886" priority="185276"/>
    <cfRule type="duplicateValues" dxfId="885" priority="185277"/>
    <cfRule type="duplicateValues" dxfId="884" priority="185278"/>
    <cfRule type="duplicateValues" dxfId="883" priority="185279"/>
    <cfRule type="duplicateValues" dxfId="882" priority="185280"/>
    <cfRule type="duplicateValues" dxfId="881" priority="185281"/>
  </conditionalFormatting>
  <conditionalFormatting sqref="B996:B1011">
    <cfRule type="duplicateValues" dxfId="880" priority="185289"/>
    <cfRule type="duplicateValues" dxfId="879" priority="185290"/>
  </conditionalFormatting>
  <conditionalFormatting sqref="I1011">
    <cfRule type="cellIs" dxfId="878" priority="810" operator="equal">
      <formula>"ogleden sonra gitti"</formula>
    </cfRule>
  </conditionalFormatting>
  <conditionalFormatting sqref="I1011">
    <cfRule type="cellIs" dxfId="877" priority="808" operator="equal">
      <formula>"ISE CIKMADI"</formula>
    </cfRule>
    <cfRule type="cellIs" dxfId="876" priority="809" operator="equal">
      <formula>"ISE CIKMADI"</formula>
    </cfRule>
  </conditionalFormatting>
  <conditionalFormatting sqref="C1587:C1048576 C1009:C1585 C1:C1006">
    <cfRule type="duplicateValues" dxfId="875" priority="185649"/>
    <cfRule type="duplicateValues" dxfId="874" priority="185650"/>
    <cfRule type="duplicateValues" dxfId="873" priority="185651"/>
  </conditionalFormatting>
  <conditionalFormatting sqref="C1009:C1011 C996:C1006">
    <cfRule type="duplicateValues" dxfId="872" priority="186551"/>
  </conditionalFormatting>
  <conditionalFormatting sqref="C1009:C1011 C996:C1006">
    <cfRule type="duplicateValues" dxfId="871" priority="186554"/>
    <cfRule type="duplicateValues" dxfId="870" priority="186555"/>
  </conditionalFormatting>
  <conditionalFormatting sqref="D1009:D1011 D996:D1006">
    <cfRule type="duplicateValues" dxfId="869" priority="186560"/>
  </conditionalFormatting>
  <conditionalFormatting sqref="I190">
    <cfRule type="cellIs" dxfId="868" priority="798" operator="equal">
      <formula>"ogleden sonra gitti"</formula>
    </cfRule>
  </conditionalFormatting>
  <conditionalFormatting sqref="I190">
    <cfRule type="cellIs" dxfId="867" priority="796" operator="equal">
      <formula>"ISE CIKMADI"</formula>
    </cfRule>
    <cfRule type="cellIs" dxfId="866" priority="797" operator="equal">
      <formula>"ISE CIKMADI"</formula>
    </cfRule>
  </conditionalFormatting>
  <conditionalFormatting sqref="I735:I736">
    <cfRule type="cellIs" dxfId="865" priority="795" operator="equal">
      <formula>"ogleden sonra gitti"</formula>
    </cfRule>
  </conditionalFormatting>
  <conditionalFormatting sqref="I735:I736">
    <cfRule type="cellIs" dxfId="864" priority="793" operator="equal">
      <formula>"ISE CIKMADI"</formula>
    </cfRule>
    <cfRule type="cellIs" dxfId="863" priority="794" operator="equal">
      <formula>"ISE CIKMADI"</formula>
    </cfRule>
  </conditionalFormatting>
  <conditionalFormatting sqref="I373">
    <cfRule type="cellIs" dxfId="862" priority="792" operator="equal">
      <formula>"ogleden sonra gitti"</formula>
    </cfRule>
  </conditionalFormatting>
  <conditionalFormatting sqref="I373">
    <cfRule type="cellIs" dxfId="861" priority="790" operator="equal">
      <formula>"ISE CIKMADI"</formula>
    </cfRule>
    <cfRule type="cellIs" dxfId="860" priority="791" operator="equal">
      <formula>"ISE CIKMADI"</formula>
    </cfRule>
  </conditionalFormatting>
  <conditionalFormatting sqref="I373">
    <cfRule type="cellIs" dxfId="859" priority="789" operator="equal">
      <formula>"ogleden sonra gitti"</formula>
    </cfRule>
  </conditionalFormatting>
  <conditionalFormatting sqref="I373">
    <cfRule type="cellIs" dxfId="858" priority="787" operator="equal">
      <formula>"ISE CIKMADI"</formula>
    </cfRule>
    <cfRule type="cellIs" dxfId="857" priority="788" operator="equal">
      <formula>"ISE CIKMADI"</formula>
    </cfRule>
  </conditionalFormatting>
  <conditionalFormatting sqref="I373">
    <cfRule type="cellIs" dxfId="856" priority="786" operator="equal">
      <formula>"ogleden sonra gitti"</formula>
    </cfRule>
  </conditionalFormatting>
  <conditionalFormatting sqref="I373">
    <cfRule type="cellIs" dxfId="855" priority="784" operator="equal">
      <formula>"ISE CIKMADI"</formula>
    </cfRule>
    <cfRule type="cellIs" dxfId="854" priority="785" operator="equal">
      <formula>"ISE CIKMADI"</formula>
    </cfRule>
  </conditionalFormatting>
  <conditionalFormatting sqref="I373">
    <cfRule type="cellIs" dxfId="853" priority="783" operator="equal">
      <formula>"ogleden sonra gitti"</formula>
    </cfRule>
  </conditionalFormatting>
  <conditionalFormatting sqref="I373">
    <cfRule type="cellIs" dxfId="852" priority="781" operator="equal">
      <formula>"ISE CIKMADI"</formula>
    </cfRule>
    <cfRule type="cellIs" dxfId="851" priority="782" operator="equal">
      <formula>"ISE CIKMADI"</formula>
    </cfRule>
  </conditionalFormatting>
  <conditionalFormatting sqref="I373">
    <cfRule type="cellIs" dxfId="850" priority="768" operator="equal">
      <formula>"ogleden sonra gitti"</formula>
    </cfRule>
  </conditionalFormatting>
  <conditionalFormatting sqref="I373">
    <cfRule type="cellIs" dxfId="849" priority="766" operator="equal">
      <formula>"ISE CIKMADI"</formula>
    </cfRule>
    <cfRule type="cellIs" dxfId="848" priority="767" operator="equal">
      <formula>"ISE CIKMADI"</formula>
    </cfRule>
  </conditionalFormatting>
  <conditionalFormatting sqref="I373">
    <cfRule type="cellIs" dxfId="847" priority="780" operator="equal">
      <formula>"ogleden sonra gitti"</formula>
    </cfRule>
  </conditionalFormatting>
  <conditionalFormatting sqref="I373">
    <cfRule type="cellIs" dxfId="846" priority="778" operator="equal">
      <formula>"ISE CIKMADI"</formula>
    </cfRule>
    <cfRule type="cellIs" dxfId="845" priority="779" operator="equal">
      <formula>"ISE CIKMADI"</formula>
    </cfRule>
  </conditionalFormatting>
  <conditionalFormatting sqref="I373">
    <cfRule type="cellIs" dxfId="844" priority="777" operator="equal">
      <formula>"ogleden sonra gitti"</formula>
    </cfRule>
  </conditionalFormatting>
  <conditionalFormatting sqref="I373">
    <cfRule type="cellIs" dxfId="843" priority="775" operator="equal">
      <formula>"ISE CIKMADI"</formula>
    </cfRule>
    <cfRule type="cellIs" dxfId="842" priority="776" operator="equal">
      <formula>"ISE CIKMADI"</formula>
    </cfRule>
  </conditionalFormatting>
  <conditionalFormatting sqref="I373">
    <cfRule type="cellIs" dxfId="841" priority="774" operator="equal">
      <formula>"ogleden sonra gitti"</formula>
    </cfRule>
  </conditionalFormatting>
  <conditionalFormatting sqref="I373">
    <cfRule type="cellIs" dxfId="840" priority="772" operator="equal">
      <formula>"ISE CIKMADI"</formula>
    </cfRule>
    <cfRule type="cellIs" dxfId="839" priority="773" operator="equal">
      <formula>"ISE CIKMADI"</formula>
    </cfRule>
  </conditionalFormatting>
  <conditionalFormatting sqref="I373">
    <cfRule type="cellIs" dxfId="838" priority="771" operator="equal">
      <formula>"ogleden sonra gitti"</formula>
    </cfRule>
  </conditionalFormatting>
  <conditionalFormatting sqref="I373">
    <cfRule type="cellIs" dxfId="837" priority="769" operator="equal">
      <formula>"ISE CIKMADI"</formula>
    </cfRule>
    <cfRule type="cellIs" dxfId="836" priority="770" operator="equal">
      <formula>"ISE CIKMADI"</formula>
    </cfRule>
  </conditionalFormatting>
  <conditionalFormatting sqref="I372">
    <cfRule type="cellIs" dxfId="835" priority="765" operator="equal">
      <formula>"ogleden sonra gitti"</formula>
    </cfRule>
  </conditionalFormatting>
  <conditionalFormatting sqref="I372">
    <cfRule type="cellIs" dxfId="834" priority="763" operator="equal">
      <formula>"ISE CIKMADI"</formula>
    </cfRule>
    <cfRule type="cellIs" dxfId="833" priority="764" operator="equal">
      <formula>"ISE CIKMADI"</formula>
    </cfRule>
  </conditionalFormatting>
  <conditionalFormatting sqref="I372">
    <cfRule type="cellIs" dxfId="832" priority="762" operator="equal">
      <formula>"ogleden sonra gitti"</formula>
    </cfRule>
  </conditionalFormatting>
  <conditionalFormatting sqref="I372">
    <cfRule type="cellIs" dxfId="831" priority="760" operator="equal">
      <formula>"ISE CIKMADI"</formula>
    </cfRule>
    <cfRule type="cellIs" dxfId="830" priority="761" operator="equal">
      <formula>"ISE CIKMADI"</formula>
    </cfRule>
  </conditionalFormatting>
  <conditionalFormatting sqref="I372">
    <cfRule type="cellIs" dxfId="829" priority="759" operator="equal">
      <formula>"ogleden sonra gitti"</formula>
    </cfRule>
  </conditionalFormatting>
  <conditionalFormatting sqref="I372">
    <cfRule type="cellIs" dxfId="828" priority="757" operator="equal">
      <formula>"ISE CIKMADI"</formula>
    </cfRule>
    <cfRule type="cellIs" dxfId="827" priority="758" operator="equal">
      <formula>"ISE CIKMADI"</formula>
    </cfRule>
  </conditionalFormatting>
  <conditionalFormatting sqref="I372">
    <cfRule type="cellIs" dxfId="826" priority="756" operator="equal">
      <formula>"ogleden sonra gitti"</formula>
    </cfRule>
  </conditionalFormatting>
  <conditionalFormatting sqref="I372">
    <cfRule type="cellIs" dxfId="825" priority="754" operator="equal">
      <formula>"ISE CIKMADI"</formula>
    </cfRule>
    <cfRule type="cellIs" dxfId="824" priority="755" operator="equal">
      <formula>"ISE CIKMADI"</formula>
    </cfRule>
  </conditionalFormatting>
  <conditionalFormatting sqref="I372">
    <cfRule type="cellIs" dxfId="823" priority="741" operator="equal">
      <formula>"ogleden sonra gitti"</formula>
    </cfRule>
  </conditionalFormatting>
  <conditionalFormatting sqref="I372">
    <cfRule type="cellIs" dxfId="822" priority="739" operator="equal">
      <formula>"ISE CIKMADI"</formula>
    </cfRule>
    <cfRule type="cellIs" dxfId="821" priority="740" operator="equal">
      <formula>"ISE CIKMADI"</formula>
    </cfRule>
  </conditionalFormatting>
  <conditionalFormatting sqref="I372">
    <cfRule type="cellIs" dxfId="820" priority="753" operator="equal">
      <formula>"ogleden sonra gitti"</formula>
    </cfRule>
  </conditionalFormatting>
  <conditionalFormatting sqref="I372">
    <cfRule type="cellIs" dxfId="819" priority="751" operator="equal">
      <formula>"ISE CIKMADI"</formula>
    </cfRule>
    <cfRule type="cellIs" dxfId="818" priority="752" operator="equal">
      <formula>"ISE CIKMADI"</formula>
    </cfRule>
  </conditionalFormatting>
  <conditionalFormatting sqref="I372">
    <cfRule type="cellIs" dxfId="817" priority="750" operator="equal">
      <formula>"ogleden sonra gitti"</formula>
    </cfRule>
  </conditionalFormatting>
  <conditionalFormatting sqref="I372">
    <cfRule type="cellIs" dxfId="816" priority="748" operator="equal">
      <formula>"ISE CIKMADI"</formula>
    </cfRule>
    <cfRule type="cellIs" dxfId="815" priority="749" operator="equal">
      <formula>"ISE CIKMADI"</formula>
    </cfRule>
  </conditionalFormatting>
  <conditionalFormatting sqref="I372">
    <cfRule type="cellIs" dxfId="814" priority="747" operator="equal">
      <formula>"ogleden sonra gitti"</formula>
    </cfRule>
  </conditionalFormatting>
  <conditionalFormatting sqref="I372">
    <cfRule type="cellIs" dxfId="813" priority="745" operator="equal">
      <formula>"ISE CIKMADI"</formula>
    </cfRule>
    <cfRule type="cellIs" dxfId="812" priority="746" operator="equal">
      <formula>"ISE CIKMADI"</formula>
    </cfRule>
  </conditionalFormatting>
  <conditionalFormatting sqref="I372">
    <cfRule type="cellIs" dxfId="811" priority="744" operator="equal">
      <formula>"ogleden sonra gitti"</formula>
    </cfRule>
  </conditionalFormatting>
  <conditionalFormatting sqref="I372">
    <cfRule type="cellIs" dxfId="810" priority="742" operator="equal">
      <formula>"ISE CIKMADI"</formula>
    </cfRule>
    <cfRule type="cellIs" dxfId="809" priority="743" operator="equal">
      <formula>"ISE CIKMADI"</formula>
    </cfRule>
  </conditionalFormatting>
  <conditionalFormatting sqref="I374:I377">
    <cfRule type="cellIs" dxfId="808" priority="738" operator="equal">
      <formula>"ogleden sonra gitti"</formula>
    </cfRule>
  </conditionalFormatting>
  <conditionalFormatting sqref="I374:I377">
    <cfRule type="cellIs" dxfId="807" priority="736" operator="equal">
      <formula>"ISE CIKMADI"</formula>
    </cfRule>
    <cfRule type="cellIs" dxfId="806" priority="737" operator="equal">
      <formula>"ISE CIKMADI"</formula>
    </cfRule>
  </conditionalFormatting>
  <conditionalFormatting sqref="I374:I377">
    <cfRule type="cellIs" dxfId="805" priority="735" operator="equal">
      <formula>"ogleden sonra gitti"</formula>
    </cfRule>
  </conditionalFormatting>
  <conditionalFormatting sqref="I374:I377">
    <cfRule type="cellIs" dxfId="804" priority="733" operator="equal">
      <formula>"ISE CIKMADI"</formula>
    </cfRule>
    <cfRule type="cellIs" dxfId="803" priority="734" operator="equal">
      <formula>"ISE CIKMADI"</formula>
    </cfRule>
  </conditionalFormatting>
  <conditionalFormatting sqref="I374:I377">
    <cfRule type="cellIs" dxfId="802" priority="732" operator="equal">
      <formula>"ogleden sonra gitti"</formula>
    </cfRule>
  </conditionalFormatting>
  <conditionalFormatting sqref="I374:I377">
    <cfRule type="cellIs" dxfId="801" priority="730" operator="equal">
      <formula>"ISE CIKMADI"</formula>
    </cfRule>
    <cfRule type="cellIs" dxfId="800" priority="731" operator="equal">
      <formula>"ISE CIKMADI"</formula>
    </cfRule>
  </conditionalFormatting>
  <conditionalFormatting sqref="I374:I377">
    <cfRule type="cellIs" dxfId="799" priority="729" operator="equal">
      <formula>"ogleden sonra gitti"</formula>
    </cfRule>
  </conditionalFormatting>
  <conditionalFormatting sqref="I374:I377">
    <cfRule type="cellIs" dxfId="798" priority="727" operator="equal">
      <formula>"ISE CIKMADI"</formula>
    </cfRule>
    <cfRule type="cellIs" dxfId="797" priority="728" operator="equal">
      <formula>"ISE CIKMADI"</formula>
    </cfRule>
  </conditionalFormatting>
  <conditionalFormatting sqref="I374:I377">
    <cfRule type="cellIs" dxfId="796" priority="714" operator="equal">
      <formula>"ogleden sonra gitti"</formula>
    </cfRule>
  </conditionalFormatting>
  <conditionalFormatting sqref="I374:I377">
    <cfRule type="cellIs" dxfId="795" priority="712" operator="equal">
      <formula>"ISE CIKMADI"</formula>
    </cfRule>
    <cfRule type="cellIs" dxfId="794" priority="713" operator="equal">
      <formula>"ISE CIKMADI"</formula>
    </cfRule>
  </conditionalFormatting>
  <conditionalFormatting sqref="I374:I377">
    <cfRule type="cellIs" dxfId="793" priority="726" operator="equal">
      <formula>"ogleden sonra gitti"</formula>
    </cfRule>
  </conditionalFormatting>
  <conditionalFormatting sqref="I374:I377">
    <cfRule type="cellIs" dxfId="792" priority="724" operator="equal">
      <formula>"ISE CIKMADI"</formula>
    </cfRule>
    <cfRule type="cellIs" dxfId="791" priority="725" operator="equal">
      <formula>"ISE CIKMADI"</formula>
    </cfRule>
  </conditionalFormatting>
  <conditionalFormatting sqref="I374:I377">
    <cfRule type="cellIs" dxfId="790" priority="723" operator="equal">
      <formula>"ogleden sonra gitti"</formula>
    </cfRule>
  </conditionalFormatting>
  <conditionalFormatting sqref="I374:I377">
    <cfRule type="cellIs" dxfId="789" priority="721" operator="equal">
      <formula>"ISE CIKMADI"</formula>
    </cfRule>
    <cfRule type="cellIs" dxfId="788" priority="722" operator="equal">
      <formula>"ISE CIKMADI"</formula>
    </cfRule>
  </conditionalFormatting>
  <conditionalFormatting sqref="I374:I377">
    <cfRule type="cellIs" dxfId="787" priority="720" operator="equal">
      <formula>"ogleden sonra gitti"</formula>
    </cfRule>
  </conditionalFormatting>
  <conditionalFormatting sqref="I374:I377">
    <cfRule type="cellIs" dxfId="786" priority="718" operator="equal">
      <formula>"ISE CIKMADI"</formula>
    </cfRule>
    <cfRule type="cellIs" dxfId="785" priority="719" operator="equal">
      <formula>"ISE CIKMADI"</formula>
    </cfRule>
  </conditionalFormatting>
  <conditionalFormatting sqref="I374:I377">
    <cfRule type="cellIs" dxfId="784" priority="717" operator="equal">
      <formula>"ogleden sonra gitti"</formula>
    </cfRule>
  </conditionalFormatting>
  <conditionalFormatting sqref="I374:I377">
    <cfRule type="cellIs" dxfId="783" priority="715" operator="equal">
      <formula>"ISE CIKMADI"</formula>
    </cfRule>
    <cfRule type="cellIs" dxfId="782" priority="716" operator="equal">
      <formula>"ISE CIKMADI"</formula>
    </cfRule>
  </conditionalFormatting>
  <conditionalFormatting sqref="I375:I377">
    <cfRule type="cellIs" dxfId="781" priority="711" operator="equal">
      <formula>"ogleden sonra gitti"</formula>
    </cfRule>
  </conditionalFormatting>
  <conditionalFormatting sqref="I375:I377">
    <cfRule type="cellIs" dxfId="780" priority="709" operator="equal">
      <formula>"ISE CIKMADI"</formula>
    </cfRule>
    <cfRule type="cellIs" dxfId="779" priority="710" operator="equal">
      <formula>"ISE CIKMADI"</formula>
    </cfRule>
  </conditionalFormatting>
  <conditionalFormatting sqref="I375:I377">
    <cfRule type="cellIs" dxfId="778" priority="708" operator="equal">
      <formula>"ogleden sonra gitti"</formula>
    </cfRule>
  </conditionalFormatting>
  <conditionalFormatting sqref="I375:I377">
    <cfRule type="cellIs" dxfId="777" priority="706" operator="equal">
      <formula>"ISE CIKMADI"</formula>
    </cfRule>
    <cfRule type="cellIs" dxfId="776" priority="707" operator="equal">
      <formula>"ISE CIKMADI"</formula>
    </cfRule>
  </conditionalFormatting>
  <conditionalFormatting sqref="I375:I377">
    <cfRule type="cellIs" dxfId="775" priority="705" operator="equal">
      <formula>"ogleden sonra gitti"</formula>
    </cfRule>
  </conditionalFormatting>
  <conditionalFormatting sqref="I375:I377">
    <cfRule type="cellIs" dxfId="774" priority="703" operator="equal">
      <formula>"ISE CIKMADI"</formula>
    </cfRule>
    <cfRule type="cellIs" dxfId="773" priority="704" operator="equal">
      <formula>"ISE CIKMADI"</formula>
    </cfRule>
  </conditionalFormatting>
  <conditionalFormatting sqref="I375:I377">
    <cfRule type="cellIs" dxfId="772" priority="702" operator="equal">
      <formula>"ogleden sonra gitti"</formula>
    </cfRule>
  </conditionalFormatting>
  <conditionalFormatting sqref="I375:I377">
    <cfRule type="cellIs" dxfId="771" priority="700" operator="equal">
      <formula>"ISE CIKMADI"</formula>
    </cfRule>
    <cfRule type="cellIs" dxfId="770" priority="701" operator="equal">
      <formula>"ISE CIKMADI"</formula>
    </cfRule>
  </conditionalFormatting>
  <conditionalFormatting sqref="I375:I377">
    <cfRule type="cellIs" dxfId="769" priority="687" operator="equal">
      <formula>"ogleden sonra gitti"</formula>
    </cfRule>
  </conditionalFormatting>
  <conditionalFormatting sqref="I375:I377">
    <cfRule type="cellIs" dxfId="768" priority="685" operator="equal">
      <formula>"ISE CIKMADI"</formula>
    </cfRule>
    <cfRule type="cellIs" dxfId="767" priority="686" operator="equal">
      <formula>"ISE CIKMADI"</formula>
    </cfRule>
  </conditionalFormatting>
  <conditionalFormatting sqref="I375:I377">
    <cfRule type="cellIs" dxfId="766" priority="699" operator="equal">
      <formula>"ogleden sonra gitti"</formula>
    </cfRule>
  </conditionalFormatting>
  <conditionalFormatting sqref="I375:I377">
    <cfRule type="cellIs" dxfId="765" priority="697" operator="equal">
      <formula>"ISE CIKMADI"</formula>
    </cfRule>
    <cfRule type="cellIs" dxfId="764" priority="698" operator="equal">
      <formula>"ISE CIKMADI"</formula>
    </cfRule>
  </conditionalFormatting>
  <conditionalFormatting sqref="I375:I377">
    <cfRule type="cellIs" dxfId="763" priority="696" operator="equal">
      <formula>"ogleden sonra gitti"</formula>
    </cfRule>
  </conditionalFormatting>
  <conditionalFormatting sqref="I375:I377">
    <cfRule type="cellIs" dxfId="762" priority="694" operator="equal">
      <formula>"ISE CIKMADI"</formula>
    </cfRule>
    <cfRule type="cellIs" dxfId="761" priority="695" operator="equal">
      <formula>"ISE CIKMADI"</formula>
    </cfRule>
  </conditionalFormatting>
  <conditionalFormatting sqref="I375:I377">
    <cfRule type="cellIs" dxfId="760" priority="693" operator="equal">
      <formula>"ogleden sonra gitti"</formula>
    </cfRule>
  </conditionalFormatting>
  <conditionalFormatting sqref="I375:I377">
    <cfRule type="cellIs" dxfId="759" priority="691" operator="equal">
      <formula>"ISE CIKMADI"</formula>
    </cfRule>
    <cfRule type="cellIs" dxfId="758" priority="692" operator="equal">
      <formula>"ISE CIKMADI"</formula>
    </cfRule>
  </conditionalFormatting>
  <conditionalFormatting sqref="I375:I377">
    <cfRule type="cellIs" dxfId="757" priority="690" operator="equal">
      <formula>"ogleden sonra gitti"</formula>
    </cfRule>
  </conditionalFormatting>
  <conditionalFormatting sqref="I375:I377">
    <cfRule type="cellIs" dxfId="756" priority="688" operator="equal">
      <formula>"ISE CIKMADI"</formula>
    </cfRule>
    <cfRule type="cellIs" dxfId="755" priority="689" operator="equal">
      <formula>"ISE CIKMADI"</formula>
    </cfRule>
  </conditionalFormatting>
  <conditionalFormatting sqref="I1323">
    <cfRule type="cellIs" dxfId="754" priority="684" operator="equal">
      <formula>"ogleden sonra gitti"</formula>
    </cfRule>
  </conditionalFormatting>
  <conditionalFormatting sqref="I1323">
    <cfRule type="cellIs" dxfId="753" priority="682" operator="equal">
      <formula>"ISE CIKMADI"</formula>
    </cfRule>
    <cfRule type="cellIs" dxfId="752" priority="683" operator="equal">
      <formula>"ISE CIKMADI"</formula>
    </cfRule>
  </conditionalFormatting>
  <conditionalFormatting sqref="I1618:I1623">
    <cfRule type="cellIs" dxfId="751" priority="663" operator="equal">
      <formula>"ogleden sonra gitti"</formula>
    </cfRule>
  </conditionalFormatting>
  <conditionalFormatting sqref="I1618:I1623">
    <cfRule type="cellIs" dxfId="750" priority="661" operator="equal">
      <formula>"ISE CIKMADI"</formula>
    </cfRule>
    <cfRule type="cellIs" dxfId="749" priority="662" operator="equal">
      <formula>"ISE CIKMADI"</formula>
    </cfRule>
  </conditionalFormatting>
  <conditionalFormatting sqref="I1601:I1602">
    <cfRule type="cellIs" dxfId="748" priority="669" operator="equal">
      <formula>"ogleden sonra gitti"</formula>
    </cfRule>
  </conditionalFormatting>
  <conditionalFormatting sqref="I1601:I1602">
    <cfRule type="cellIs" dxfId="747" priority="667" operator="equal">
      <formula>"ISE CIKMADI"</formula>
    </cfRule>
    <cfRule type="cellIs" dxfId="746" priority="668" operator="equal">
      <formula>"ISE CIKMADI"</formula>
    </cfRule>
  </conditionalFormatting>
  <conditionalFormatting sqref="I1601:I1602">
    <cfRule type="cellIs" dxfId="745" priority="675" operator="equal">
      <formula>"ogleden sonra gitti"</formula>
    </cfRule>
  </conditionalFormatting>
  <conditionalFormatting sqref="I1601:I1602">
    <cfRule type="cellIs" dxfId="744" priority="673" operator="equal">
      <formula>"ISE CIKMADI"</formula>
    </cfRule>
    <cfRule type="cellIs" dxfId="743" priority="674" operator="equal">
      <formula>"ISE CIKMADI"</formula>
    </cfRule>
  </conditionalFormatting>
  <conditionalFormatting sqref="I1601:I1602">
    <cfRule type="cellIs" dxfId="742" priority="672" operator="equal">
      <formula>"ogleden sonra gitti"</formula>
    </cfRule>
  </conditionalFormatting>
  <conditionalFormatting sqref="I1601:I1602">
    <cfRule type="cellIs" dxfId="741" priority="670" operator="equal">
      <formula>"ISE CIKMADI"</formula>
    </cfRule>
    <cfRule type="cellIs" dxfId="740" priority="671" operator="equal">
      <formula>"ISE CIKMADI"</formula>
    </cfRule>
  </conditionalFormatting>
  <conditionalFormatting sqref="I1618:I1623">
    <cfRule type="cellIs" dxfId="739" priority="666" operator="equal">
      <formula>"ogleden sonra gitti"</formula>
    </cfRule>
  </conditionalFormatting>
  <conditionalFormatting sqref="I1618:I1623">
    <cfRule type="cellIs" dxfId="738" priority="664" operator="equal">
      <formula>"ISE CIKMADI"</formula>
    </cfRule>
    <cfRule type="cellIs" dxfId="737" priority="665" operator="equal">
      <formula>"ISE CIKMADI"</formula>
    </cfRule>
  </conditionalFormatting>
  <conditionalFormatting sqref="I1618:I1623">
    <cfRule type="cellIs" dxfId="736" priority="660" operator="equal">
      <formula>"ogleden sonra gitti"</formula>
    </cfRule>
  </conditionalFormatting>
  <conditionalFormatting sqref="I1618:I1623">
    <cfRule type="cellIs" dxfId="735" priority="658" operator="equal">
      <formula>"ISE CIKMADI"</formula>
    </cfRule>
    <cfRule type="cellIs" dxfId="734" priority="659" operator="equal">
      <formula>"ISE CIKMADI"</formula>
    </cfRule>
  </conditionalFormatting>
  <conditionalFormatting sqref="I872">
    <cfRule type="cellIs" dxfId="733" priority="657" operator="equal">
      <formula>"ogleden sonra gitti"</formula>
    </cfRule>
  </conditionalFormatting>
  <conditionalFormatting sqref="I872">
    <cfRule type="cellIs" dxfId="732" priority="655" operator="equal">
      <formula>"ISE CIKMADI"</formula>
    </cfRule>
    <cfRule type="cellIs" dxfId="731" priority="656" operator="equal">
      <formula>"ISE CIKMADI"</formula>
    </cfRule>
  </conditionalFormatting>
  <conditionalFormatting sqref="I872">
    <cfRule type="cellIs" dxfId="730" priority="654" operator="equal">
      <formula>"ogleden sonra gitti"</formula>
    </cfRule>
  </conditionalFormatting>
  <conditionalFormatting sqref="I872">
    <cfRule type="cellIs" dxfId="729" priority="652" operator="equal">
      <formula>"ISE CIKMADI"</formula>
    </cfRule>
    <cfRule type="cellIs" dxfId="728" priority="653" operator="equal">
      <formula>"ISE CIKMADI"</formula>
    </cfRule>
  </conditionalFormatting>
  <conditionalFormatting sqref="I1017">
    <cfRule type="cellIs" dxfId="727" priority="651" operator="equal">
      <formula>"ogleden sonra gitti"</formula>
    </cfRule>
  </conditionalFormatting>
  <conditionalFormatting sqref="I1017">
    <cfRule type="cellIs" dxfId="726" priority="649" operator="equal">
      <formula>"ISE CIKMADI"</formula>
    </cfRule>
    <cfRule type="cellIs" dxfId="725" priority="650" operator="equal">
      <formula>"ISE CIKMADI"</formula>
    </cfRule>
  </conditionalFormatting>
  <conditionalFormatting sqref="C1587:C1048576 C1540:C1585 C1:C76 C1151:C1173 C1175:C1180 C1182:C1225 C78:C141 C867:C995 C1227:C1315 C1434:C1498 C704:C865 C1317:C1432 C1500:C1538 C1013:C1149 C145:C702">
    <cfRule type="duplicateValues" dxfId="724" priority="186697"/>
  </conditionalFormatting>
  <conditionalFormatting sqref="D1587:D1048576 D1540:D1585 D1:D76 D1151:D1173 D1175:D1180 D1182:D1225 D78:D141 D867:D995 D1227:D1315 D1434:D1498 D704:D865 D1317:D1429 D1500:D1538 D1013:D1149 D145:D702">
    <cfRule type="duplicateValues" dxfId="723" priority="186729"/>
  </conditionalFormatting>
  <conditionalFormatting sqref="C1587:C1048576 C1540:C1585 C1:C76 C1151:C1173 C1175:C1180 C78:C141 C867:C995 C1182:C1315 C704:C865 C1317:C1498 C1500:C1538 C1013:C1149 C145:C702">
    <cfRule type="duplicateValues" dxfId="722" priority="186746"/>
  </conditionalFormatting>
  <conditionalFormatting sqref="C1587:C1048576 C1540:C1585 C1:C76 C1151:C1173 C1175:C1180 C78:C141 C1182:C1315 C704:C995 C1317:C1498 C1500:C1538 C1013:C1149 C145:C702">
    <cfRule type="duplicateValues" dxfId="721" priority="186761"/>
  </conditionalFormatting>
  <conditionalFormatting sqref="C1587:C1048576 C1540:C1585 C1:C76 C1151:C1173 C1175:C1180 C78:C141 C1182:C1315 C704:C995 C1317:C1538 C1013:C1149 C145:C702">
    <cfRule type="duplicateValues" dxfId="720" priority="186775"/>
  </conditionalFormatting>
  <conditionalFormatting sqref="D1587:D1048576 D1540:D1585 D1:D76 D1151:D1173 D1175:D1180 D78:D141 D1182:D1315 D704:D995 D1317:D1538 D1013:D1149 D145:D702">
    <cfRule type="duplicateValues" dxfId="719" priority="186788"/>
  </conditionalFormatting>
  <conditionalFormatting sqref="C1587:C1048576 C1540:C1585 C1175:C1180 C1182:C1315 C1317:C1538 C1013:C1173 C1:C995">
    <cfRule type="duplicateValues" dxfId="718" priority="186801"/>
  </conditionalFormatting>
  <conditionalFormatting sqref="B1587:C1048576 B1540:C1585 B1007:B1008 B1175:C1180 B1181 B1182:C1538 B1009:C1173 B1:C1006">
    <cfRule type="duplicateValues" dxfId="717" priority="186810"/>
  </conditionalFormatting>
  <conditionalFormatting sqref="B1653:C1658 B1362:C1362 B652:C652 B1:C1 B195:C195 B1217 B1065:C1065 B176:C182 B3:C5 B1659:B1660 C1660 B1652 B1661:C1048576 B482:C493 B1218:C1225 B1499:B1500 B700:C702 B78:C107 B114:C114 B7:C76 B1163:C1167 B1138:C1139 B1131:C1131 B1133:C1134 B1147:C1149 B1151:C1156 B1175:C1180 B1181 B1182:C1216 B1227:C1289 B1420:C1432 B145:C168 B116:C141 B867:C995 B457:C480 B505:C515 B520:C527 B1434:C1498 B704:C865 B381:C455 B1587:C1651 B1540:C1585 B1500:C1538 B1169:C1173 B1076:C1126">
    <cfRule type="duplicateValues" dxfId="716" priority="187073"/>
  </conditionalFormatting>
  <conditionalFormatting sqref="B1625:C1651 B1420:C1420 B1362:C1362 B1:C1 B652:C652 B700:C702 B195:C195 B1217 B1065:C1065 B176:C182 B3:C5 B1653:C1658 B1659:B1660 C1660 B1652 B1661:C1048576 B1126:C1126 B1163:C1167 B1138:C1139 B1131:C1131 B1133:C1134 B1147:C1149 B1151:C1156 B482:C493 B1218:C1225 B864:C865 B704:C713 B78:C107 B114:C114 B7:C76 B381:C390 B1175:C1180 B1181 B1182:C1216 B867:C877 B1227:C1289 B145:C168 B1076:C1105 B116:C141 B879:C995 B457:C480 B505:C515 B520:C527 B726:C861 B392:C455 B1169:C1173 B1106:B1125">
    <cfRule type="duplicateValues" dxfId="715" priority="187636"/>
  </conditionalFormatting>
  <conditionalFormatting sqref="D1625:D1646 D1648:D1651 D1667:D1048576 C1652 D1362 D1:D5 D195 D652 D1420 D176:D182 D1065 D1653 D1655 D1657 D1659 D1661 D1663 D1665 D482:D493 D1218:D1225 D864:D865 D1169:D1173 D700:D702 D78:D107 D114 D1163:D1167 D1138:D1139 D1133:D1134 D1131 D1147:D1149 D1151:D1156 D145:D168 D7:D76 D1175:D1180 D1182:D1216 D867:D877 D1227:D1289 D116:D141 D879:D995 D457:D480 D505:D515 D520:D527 D704:D861 D381:D455 D1076:D1126">
    <cfRule type="duplicateValues" dxfId="714" priority="187684"/>
  </conditionalFormatting>
  <conditionalFormatting sqref="C1625:C1651 C1653:C1658 C1 C32:C35 C1362 C195 C652 C700:C702 C3:C5 C1420 C1065 C176:C182 C1660:C1048576 C482:C493 C1138:C1139 C1133:C1134 C1131 C1126 C1147:C1149 C1151:C1156 C1163:C1167 C7:C21 C1169:C1173 C1218:C1225 C864:C865 C704:C710 C78:C107 C114 C145:C168 C23:C30 C37:C76 C381:C390 C1175:C1180 C1182:C1216 C867:C877 C1227:C1270 C1274:C1289 C1076:C1105 C116:C141 C759:C861 C879:C995 C457:C480 C505:C515 C520:C527 C726:C743 C392:C455">
    <cfRule type="duplicateValues" dxfId="713" priority="187730"/>
  </conditionalFormatting>
  <conditionalFormatting sqref="C1625:C1651 C1653:C1658 C1 C652 C3:C5 C195 C1420 C1362 C1065 C176:C182 C1660:C1048576 C482:C493 C1218:C1225 C864:C865 C1169:C1173 C700:C702 C78:C107 C114 C1163:C1167 C1138:C1139 C1133:C1134 C1131 C1147:C1149 C1151:C1156 C145:C168 C7:C76 C1175:C1180 C1182:C1216 C867:C877 C1227:C1289 C116:C141 C879:C995 C457:C480 C505:C515 C520:C527 C704:C861 C381:C455 C1076:C1126">
    <cfRule type="duplicateValues" dxfId="712" priority="187777"/>
    <cfRule type="duplicateValues" dxfId="711" priority="187778"/>
  </conditionalFormatting>
  <conditionalFormatting sqref="C1625:C1651 C1653:C1658 C1362 C1 C652 C3:C5 C195 C1420 C1065 C176:C182 C1660:C1048576 C482:C493 C1138:C1139 C1133:C1134 C1131 C1126 C1147:C1149 C1151:C1156 C1163:C1167 C1169:C1173 C1218:C1225 C864:C865 C700:C702 C78:C107 C114 C145:C168 C7:C76 C381:C390 C1175:C1180 C1182:C1216 C867:C877 C1227:C1289 C1076:C1105 C116:C141 C879:C995 C457:C480 C505:C515 C520:C527 C704:C861 C392:C455">
    <cfRule type="duplicateValues" dxfId="710" priority="187855"/>
  </conditionalFormatting>
  <conditionalFormatting sqref="C1625:C1651 C1653:C1658 C1362 C1 C652 C700:C702 C3:C5 C195 C1420 C1065 C176:C182 C1660:C1048576 C482:C493 C1138:C1139 C1133:C1134 C1131 C1126 C1147:C1149 C1151:C1156 C1163:C1167 C1169:C1173 C1218:C1225 C864:C865 C704:C713 C78:C107 C114 C145:C168 C7:C76 C381:C390 C1175:C1180 C1182:C1216 C867:C877 C1227:C1289 C1076:C1105 C116:C141 C879:C995 C457:C480 C505:C515 C520:C527 C726:C861 C392:C455">
    <cfRule type="duplicateValues" dxfId="709" priority="187896"/>
  </conditionalFormatting>
  <conditionalFormatting sqref="C1587:C1048576 C1540:C1585 C1175:C1180 C1182:C1538 C1009:C1173 C1:C1006">
    <cfRule type="duplicateValues" dxfId="708" priority="187984"/>
  </conditionalFormatting>
  <conditionalFormatting sqref="D1587:D1048576 D1540:D1585 D1175:D1180 D1182:D1538 D1009:D1173 D1:D1006">
    <cfRule type="duplicateValues" dxfId="707" priority="187992"/>
  </conditionalFormatting>
  <conditionalFormatting sqref="I1243">
    <cfRule type="cellIs" dxfId="706" priority="645" operator="equal">
      <formula>"ogleden sonra gitti"</formula>
    </cfRule>
  </conditionalFormatting>
  <conditionalFormatting sqref="I1243">
    <cfRule type="cellIs" dxfId="705" priority="643" operator="equal">
      <formula>"ISE CIKMADI"</formula>
    </cfRule>
    <cfRule type="cellIs" dxfId="704" priority="644" operator="equal">
      <formula>"ISE CIKMADI"</formula>
    </cfRule>
  </conditionalFormatting>
  <conditionalFormatting sqref="I1288">
    <cfRule type="cellIs" dxfId="703" priority="623" operator="equal">
      <formula>"ogleden sonra gitti"</formula>
    </cfRule>
  </conditionalFormatting>
  <conditionalFormatting sqref="I1288">
    <cfRule type="cellIs" dxfId="702" priority="621" operator="equal">
      <formula>"ISE CIKMADI"</formula>
    </cfRule>
    <cfRule type="cellIs" dxfId="701" priority="622" operator="equal">
      <formula>"ISE CIKMADI"</formula>
    </cfRule>
  </conditionalFormatting>
  <conditionalFormatting sqref="I1278:I1279">
    <cfRule type="cellIs" dxfId="700" priority="620" operator="equal">
      <formula>"ogleden sonra gitti"</formula>
    </cfRule>
  </conditionalFormatting>
  <conditionalFormatting sqref="I1278:I1279">
    <cfRule type="cellIs" dxfId="699" priority="618" operator="equal">
      <formula>"ISE CIKMADI"</formula>
    </cfRule>
    <cfRule type="cellIs" dxfId="698" priority="619" operator="equal">
      <formula>"ISE CIKMADI"</formula>
    </cfRule>
  </conditionalFormatting>
  <conditionalFormatting sqref="B1587:B1048576 B1540:B1585 B1:B5 B7:B76 B1175:B1225 B1227:B1289 B145:B171 B175:B190 B195:B259 B78:B141 B867:B995 B1293:B1294 B704:B865 B350:B480 B1334:B1432 B1434:B1538 B482:B652 B1151:B1173 B654:B702 B1013:B1149 B261:B281">
    <cfRule type="duplicateValues" dxfId="697" priority="188008"/>
  </conditionalFormatting>
  <conditionalFormatting sqref="B1587:B1048576 B1540:B1585 B652 B1:B5 B700:B702 B78:B107 B114 B7:B76 B1175:B1225 B1227:B1289 B145:B171 B175:B190 B195:B259 B116:B141 B867:B995 B1013:B1065 B1293:B1294 B704:B865 B350:B480 B482:B527 B1334:B1432 B1434:B1538 B1151:B1173 B1076:B1149 B261:B281">
    <cfRule type="duplicateValues" dxfId="696" priority="188030"/>
  </conditionalFormatting>
  <conditionalFormatting sqref="B1587:B1048576 B1540:B1585 B1065 B1:B5 B652 B700:B702 B78:B107 B114 B7:B76 B1175:B1225 B1227:B1289 B176:B190 B195:B259 B145:B168 B116:B141 B867:B995 B457:B480 B482:B527 B704:B865 B350:B455 B1334:B1432 B1434:B1538 B1151:B1173 B1076:B1149 B261:B281">
    <cfRule type="duplicateValues" dxfId="695" priority="188056"/>
  </conditionalFormatting>
  <conditionalFormatting sqref="B494:B504 B516:B519 B196:B259 B183:B190 B350:B380 B261:B281">
    <cfRule type="duplicateValues" dxfId="694" priority="188590"/>
    <cfRule type="duplicateValues" dxfId="693" priority="188591"/>
    <cfRule type="duplicateValues" dxfId="692" priority="188592"/>
    <cfRule type="duplicateValues" dxfId="691" priority="188593"/>
    <cfRule type="duplicateValues" dxfId="690" priority="188594"/>
    <cfRule type="duplicateValues" dxfId="689" priority="188595"/>
    <cfRule type="duplicateValues" dxfId="688" priority="188596"/>
    <cfRule type="duplicateValues" dxfId="687" priority="188597"/>
    <cfRule type="duplicateValues" dxfId="686" priority="188598"/>
    <cfRule type="duplicateValues" dxfId="685" priority="188599"/>
  </conditionalFormatting>
  <conditionalFormatting sqref="B494:C504 B516:C519 B196:C259 B183:C190 B350:C380 B261:C281">
    <cfRule type="duplicateValues" dxfId="684" priority="188650"/>
  </conditionalFormatting>
  <conditionalFormatting sqref="C494:C504 C516:C519 C196:C259 C183:C190 C350:C380 C261:C281">
    <cfRule type="duplicateValues" dxfId="683" priority="188656"/>
    <cfRule type="duplicateValues" dxfId="682" priority="188657"/>
    <cfRule type="duplicateValues" dxfId="681" priority="188658"/>
  </conditionalFormatting>
  <conditionalFormatting sqref="D494:D504 D516:D519 D196:D259 D183:D190 D350:D380 D261:D281">
    <cfRule type="duplicateValues" dxfId="680" priority="188674"/>
  </conditionalFormatting>
  <conditionalFormatting sqref="C1653:C1658 C1660:C1048576 C1 C3:C5 C7:C76 C1151:C1173 C1175:C1180 C1182:C1225 C1227:C1289 C654:C702 C145:C171 C175:C190 C195:C259 C78:C141 C867:C995 C1293:C1294 C1434:C1498 C704:C865 C350:C480 C1334:C1432 C1587:C1651 C1540:C1585 C1500:C1538 C482:C652 C1013:C1149 C261:C281">
    <cfRule type="duplicateValues" dxfId="679" priority="188893"/>
  </conditionalFormatting>
  <conditionalFormatting sqref="C1660:C1048576 C1 C3:C5 C7:C76 C1151:C1173 C1175:C1180 C1182:C1225 C1227:C1289 C654:C702 C145:C171 C175:C190 C195:C259 C78:C141 C867:C995 C1293:C1294 C1434:C1498 C704:C865 C350:C480 C1334:C1432 C1587:C1658 C1540:C1585 C1500:C1538 C482:C652 C1013:C1149 C261:C281">
    <cfRule type="duplicateValues" dxfId="678" priority="188920"/>
    <cfRule type="duplicateValues" dxfId="677" priority="188921"/>
  </conditionalFormatting>
  <conditionalFormatting sqref="C1587:C1048576 C1540:C1585 C1 C3:C5 C7:C76 C1151:C1173 C1175:C1180 C1182:C1225 C1227:C1289 C654:C702 C145:C171 C175:C190 C195:C259 C78:C141 C867:C995 C1293:C1294 C1434:C1498 C704:C865 C350:C480 C1334:C1432 C1500:C1538 C482:C652 C1013:C1149 C261:C281">
    <cfRule type="duplicateValues" dxfId="676" priority="188972"/>
  </conditionalFormatting>
  <conditionalFormatting sqref="C1653:C1658 C652 C1 C1660:C1048576 C3:C5 C700:C702 C78:C107 C114 C1151:C1173 C7:C76 C1175:C1180 C1182:C1225 C1227:C1289 C145:C171 C175:C190 C195:C259 C116:C141 C867:C995 C1013:C1065 C1293:C1294 C1434:C1498 C704:C865 C350:C480 C482:C527 C1334:C1432 C1587:C1651 C1540:C1585 C1500:C1538 C1076:C1149 C261:C281">
    <cfRule type="duplicateValues" dxfId="675" priority="188997"/>
  </conditionalFormatting>
  <conditionalFormatting sqref="D1648:D1651 D1065 D1:D5 D652 D1667:D1048576 C1652 D1653 D1655 D1657 D1659 D1661 D1663 D1665 D700:D702 D78:D107 D114 D1151:D1173 D145:D168 D7:D76 D1175:D1180 D1182:D1225 D1227:D1289 D176:D190 D195:D259 D116:D141 D867:D995 D457:D480 D482:D527 D1434:D1498 D704:D865 D350:D455 D1334:D1429 D1587:D1646 D1540:D1585 D1500:D1538 D1076:D1149 D261:D281">
    <cfRule type="duplicateValues" dxfId="674" priority="189028"/>
  </conditionalFormatting>
  <conditionalFormatting sqref="B1653:C1658 B1362:C1362 B1:C1 B1217 B1065:C1065 B3:C5 B652:C652 B1659:B1660 C1660 B1652 B1661:C1048576 B1218:C1225 B1499:B1500 B700:C702 B78:C107 B114:C114 B7:C76 B1163:C1167 B1138:C1139 B1131:C1131 B1133:C1134 B1147:C1149 B1151:C1156 B1175:C1180 B1181 B1182:C1216 B1227:C1289 B1420:C1432 B176:C190 B195:C259 B145:C168 B116:C141 B867:C995 B457:C480 B482:C527 B1434:C1498 B704:C865 B350:C455 B1587:C1651 B1540:C1585 B1500:C1538 B1169:C1173 B1076:C1126 B261:C281">
    <cfRule type="duplicateValues" dxfId="673" priority="189407"/>
  </conditionalFormatting>
  <conditionalFormatting sqref="I273:I275">
    <cfRule type="cellIs" dxfId="672" priority="617" operator="equal">
      <formula>"ogleden sonra gitti"</formula>
    </cfRule>
  </conditionalFormatting>
  <conditionalFormatting sqref="I273:I275">
    <cfRule type="cellIs" dxfId="671" priority="615" operator="equal">
      <formula>"ISE CIKMADI"</formula>
    </cfRule>
    <cfRule type="cellIs" dxfId="670" priority="616" operator="equal">
      <formula>"ISE CIKMADI"</formula>
    </cfRule>
  </conditionalFormatting>
  <conditionalFormatting sqref="I689">
    <cfRule type="cellIs" dxfId="669" priority="614" operator="equal">
      <formula>"ogleden sonra gitti"</formula>
    </cfRule>
  </conditionalFormatting>
  <conditionalFormatting sqref="I689">
    <cfRule type="cellIs" dxfId="668" priority="612" operator="equal">
      <formula>"ISE CIKMADI"</formula>
    </cfRule>
    <cfRule type="cellIs" dxfId="667" priority="613" operator="equal">
      <formula>"ISE CIKMADI"</formula>
    </cfRule>
  </conditionalFormatting>
  <conditionalFormatting sqref="I690">
    <cfRule type="cellIs" dxfId="666" priority="611" operator="equal">
      <formula>"ogleden sonra gitti"</formula>
    </cfRule>
  </conditionalFormatting>
  <conditionalFormatting sqref="I690">
    <cfRule type="cellIs" dxfId="665" priority="609" operator="equal">
      <formula>"ISE CIKMADI"</formula>
    </cfRule>
    <cfRule type="cellIs" dxfId="664" priority="610" operator="equal">
      <formula>"ISE CIKMADI"</formula>
    </cfRule>
  </conditionalFormatting>
  <conditionalFormatting sqref="I1329">
    <cfRule type="cellIs" dxfId="663" priority="608" operator="equal">
      <formula>"ogleden sonra gitti"</formula>
    </cfRule>
  </conditionalFormatting>
  <conditionalFormatting sqref="I1329">
    <cfRule type="cellIs" dxfId="662" priority="606" operator="equal">
      <formula>"ISE CIKMADI"</formula>
    </cfRule>
    <cfRule type="cellIs" dxfId="661" priority="607" operator="equal">
      <formula>"ISE CIKMADI"</formula>
    </cfRule>
  </conditionalFormatting>
  <conditionalFormatting sqref="I1331">
    <cfRule type="cellIs" dxfId="660" priority="605" operator="equal">
      <formula>"ogleden sonra gitti"</formula>
    </cfRule>
  </conditionalFormatting>
  <conditionalFormatting sqref="I1331">
    <cfRule type="cellIs" dxfId="659" priority="603" operator="equal">
      <formula>"ISE CIKMADI"</formula>
    </cfRule>
    <cfRule type="cellIs" dxfId="658" priority="604" operator="equal">
      <formula>"ISE CIKMADI"</formula>
    </cfRule>
  </conditionalFormatting>
  <conditionalFormatting sqref="I1330">
    <cfRule type="cellIs" dxfId="657" priority="602" operator="equal">
      <formula>"ogleden sonra gitti"</formula>
    </cfRule>
  </conditionalFormatting>
  <conditionalFormatting sqref="I1330">
    <cfRule type="cellIs" dxfId="656" priority="600" operator="equal">
      <formula>"ISE CIKMADI"</formula>
    </cfRule>
    <cfRule type="cellIs" dxfId="655" priority="601" operator="equal">
      <formula>"ISE CIKMADI"</formula>
    </cfRule>
  </conditionalFormatting>
  <conditionalFormatting sqref="I1332">
    <cfRule type="cellIs" dxfId="654" priority="599" operator="equal">
      <formula>"ogleden sonra gitti"</formula>
    </cfRule>
  </conditionalFormatting>
  <conditionalFormatting sqref="I1332">
    <cfRule type="cellIs" dxfId="653" priority="597" operator="equal">
      <formula>"ISE CIKMADI"</formula>
    </cfRule>
    <cfRule type="cellIs" dxfId="652" priority="598" operator="equal">
      <formula>"ISE CIKMADI"</formula>
    </cfRule>
  </conditionalFormatting>
  <conditionalFormatting sqref="I1321:I1323">
    <cfRule type="cellIs" dxfId="651" priority="596" operator="equal">
      <formula>"ogleden sonra gitti"</formula>
    </cfRule>
  </conditionalFormatting>
  <conditionalFormatting sqref="I1321:I1323">
    <cfRule type="cellIs" dxfId="650" priority="594" operator="equal">
      <formula>"ISE CIKMADI"</formula>
    </cfRule>
    <cfRule type="cellIs" dxfId="649" priority="595" operator="equal">
      <formula>"ISE CIKMADI"</formula>
    </cfRule>
  </conditionalFormatting>
  <conditionalFormatting sqref="I1327:I1328">
    <cfRule type="cellIs" dxfId="648" priority="593" operator="equal">
      <formula>"ogleden sonra gitti"</formula>
    </cfRule>
  </conditionalFormatting>
  <conditionalFormatting sqref="I1327:I1328">
    <cfRule type="cellIs" dxfId="647" priority="591" operator="equal">
      <formula>"ISE CIKMADI"</formula>
    </cfRule>
    <cfRule type="cellIs" dxfId="646" priority="592" operator="equal">
      <formula>"ISE CIKMADI"</formula>
    </cfRule>
  </conditionalFormatting>
  <conditionalFormatting sqref="I1495">
    <cfRule type="cellIs" dxfId="645" priority="581" operator="equal">
      <formula>"ogleden sonra gitti"</formula>
    </cfRule>
  </conditionalFormatting>
  <conditionalFormatting sqref="I1495">
    <cfRule type="cellIs" dxfId="644" priority="579" operator="equal">
      <formula>"ISE CIKMADI"</formula>
    </cfRule>
    <cfRule type="cellIs" dxfId="643" priority="580" operator="equal">
      <formula>"ISE CIKMADI"</formula>
    </cfRule>
  </conditionalFormatting>
  <conditionalFormatting sqref="I707">
    <cfRule type="cellIs" dxfId="642" priority="575" operator="equal">
      <formula>"ogleden sonra gitti"</formula>
    </cfRule>
  </conditionalFormatting>
  <conditionalFormatting sqref="I707">
    <cfRule type="cellIs" dxfId="641" priority="573" operator="equal">
      <formula>"ISE CIKMADI"</formula>
    </cfRule>
    <cfRule type="cellIs" dxfId="640" priority="574" operator="equal">
      <formula>"ISE CIKMADI"</formula>
    </cfRule>
  </conditionalFormatting>
  <conditionalFormatting sqref="I707">
    <cfRule type="cellIs" dxfId="639" priority="572" operator="equal">
      <formula>"ogleden sonra gitti"</formula>
    </cfRule>
  </conditionalFormatting>
  <conditionalFormatting sqref="I707">
    <cfRule type="cellIs" dxfId="638" priority="570" operator="equal">
      <formula>"ISE CIKMADI"</formula>
    </cfRule>
    <cfRule type="cellIs" dxfId="637" priority="571" operator="equal">
      <formula>"ISE CIKMADI"</formula>
    </cfRule>
  </conditionalFormatting>
  <conditionalFormatting sqref="C1:C1048576">
    <cfRule type="duplicateValues" dxfId="636" priority="569"/>
  </conditionalFormatting>
  <conditionalFormatting sqref="I970:I971">
    <cfRule type="cellIs" dxfId="635" priority="568" operator="equal">
      <formula>"ogleden sonra gitti"</formula>
    </cfRule>
  </conditionalFormatting>
  <conditionalFormatting sqref="I970:I971">
    <cfRule type="cellIs" dxfId="634" priority="566" operator="equal">
      <formula>"ISE CIKMADI"</formula>
    </cfRule>
    <cfRule type="cellIs" dxfId="633" priority="567" operator="equal">
      <formula>"ISE CIKMADI"</formula>
    </cfRule>
  </conditionalFormatting>
  <conditionalFormatting sqref="I972:I974 I977">
    <cfRule type="cellIs" dxfId="632" priority="565" operator="equal">
      <formula>"ogleden sonra gitti"</formula>
    </cfRule>
  </conditionalFormatting>
  <conditionalFormatting sqref="I972:I974 I977">
    <cfRule type="cellIs" dxfId="631" priority="563" operator="equal">
      <formula>"ISE CIKMADI"</formula>
    </cfRule>
    <cfRule type="cellIs" dxfId="630" priority="564" operator="equal">
      <formula>"ISE CIKMADI"</formula>
    </cfRule>
  </conditionalFormatting>
  <conditionalFormatting sqref="B260 B282:B349 B172:B174 B191:B194">
    <cfRule type="duplicateValues" dxfId="629" priority="190261"/>
    <cfRule type="duplicateValues" dxfId="628" priority="190262"/>
    <cfRule type="duplicateValues" dxfId="627" priority="190263"/>
    <cfRule type="duplicateValues" dxfId="626" priority="190264"/>
    <cfRule type="duplicateValues" dxfId="625" priority="190265"/>
    <cfRule type="duplicateValues" dxfId="624" priority="190266"/>
    <cfRule type="duplicateValues" dxfId="623" priority="190267"/>
    <cfRule type="duplicateValues" dxfId="622" priority="190268"/>
    <cfRule type="duplicateValues" dxfId="621" priority="190269"/>
    <cfRule type="duplicateValues" dxfId="620" priority="190270"/>
    <cfRule type="duplicateValues" dxfId="619" priority="190271"/>
    <cfRule type="duplicateValues" dxfId="618" priority="190272"/>
    <cfRule type="duplicateValues" dxfId="617" priority="190273"/>
    <cfRule type="duplicateValues" dxfId="616" priority="190274"/>
    <cfRule type="duplicateValues" dxfId="615" priority="190275"/>
    <cfRule type="duplicateValues" dxfId="614" priority="190276"/>
    <cfRule type="duplicateValues" dxfId="613" priority="190277"/>
    <cfRule type="duplicateValues" dxfId="612" priority="190278"/>
    <cfRule type="duplicateValues" dxfId="611" priority="190279"/>
  </conditionalFormatting>
  <conditionalFormatting sqref="B260 B282:B349 B172:B174 B191:B194">
    <cfRule type="duplicateValues" dxfId="610" priority="190356"/>
  </conditionalFormatting>
  <conditionalFormatting sqref="C283:C349 C172:C174 C191:C194">
    <cfRule type="duplicateValues" dxfId="609" priority="190361"/>
  </conditionalFormatting>
  <conditionalFormatting sqref="C282:C349 C260 C172:C174 C191:C194">
    <cfRule type="duplicateValues" dxfId="608" priority="190365"/>
  </conditionalFormatting>
  <conditionalFormatting sqref="I346:I347 I349 I312:I325 I327:I343">
    <cfRule type="cellIs" dxfId="607" priority="556" operator="equal">
      <formula>"ogleden sonra gitti"</formula>
    </cfRule>
  </conditionalFormatting>
  <conditionalFormatting sqref="I346:I347 I349 I312:I325 I327:I343">
    <cfRule type="cellIs" dxfId="606" priority="554" operator="equal">
      <formula>"ISE CIKMADI"</formula>
    </cfRule>
    <cfRule type="cellIs" dxfId="605" priority="555" operator="equal">
      <formula>"ISE CIKMADI"</formula>
    </cfRule>
  </conditionalFormatting>
  <conditionalFormatting sqref="I346:I347 I349 I312:I325 I327:I343">
    <cfRule type="cellIs" dxfId="604" priority="553" operator="equal">
      <formula>"ISE CIKMADI GECE"</formula>
    </cfRule>
  </conditionalFormatting>
  <conditionalFormatting sqref="B1587:C1624 B1499:B1500 B1421:C1432 B1434:C1498 B1540:C1585 B1500:C1538">
    <cfRule type="duplicateValues" dxfId="603" priority="190888"/>
  </conditionalFormatting>
  <conditionalFormatting sqref="C1587:C1624 C1421:C1432 C1434:C1498 C1540:C1585 C1500:C1538">
    <cfRule type="duplicateValues" dxfId="602" priority="190895"/>
    <cfRule type="duplicateValues" dxfId="601" priority="190896"/>
    <cfRule type="duplicateValues" dxfId="600" priority="190897"/>
  </conditionalFormatting>
  <conditionalFormatting sqref="D1587:D1624 D1421:D1429 D1434:D1498 D1540:D1585 D1500:D1538">
    <cfRule type="duplicateValues" dxfId="599" priority="190913"/>
  </conditionalFormatting>
  <conditionalFormatting sqref="B1587:B1624 B1421:B1432 B1540:B1585 B1434:B1538">
    <cfRule type="duplicateValues" dxfId="598" priority="190919"/>
    <cfRule type="duplicateValues" dxfId="597" priority="190920"/>
    <cfRule type="duplicateValues" dxfId="596" priority="190921"/>
    <cfRule type="duplicateValues" dxfId="595" priority="190922"/>
    <cfRule type="duplicateValues" dxfId="594" priority="190923"/>
    <cfRule type="duplicateValues" dxfId="593" priority="190924"/>
    <cfRule type="duplicateValues" dxfId="592" priority="190925"/>
    <cfRule type="duplicateValues" dxfId="591" priority="190926"/>
    <cfRule type="duplicateValues" dxfId="590" priority="190927"/>
    <cfRule type="duplicateValues" dxfId="589" priority="190928"/>
  </conditionalFormatting>
  <conditionalFormatting sqref="B1540:B1585 A1421:B1422 B1423:B1432 B1587:B1624 B1434:B1538 A1423:A1624">
    <cfRule type="duplicateValues" dxfId="588" priority="190969"/>
  </conditionalFormatting>
  <conditionalFormatting sqref="I152">
    <cfRule type="cellIs" dxfId="587" priority="552" operator="equal">
      <formula>"ogleden sonra gitti"</formula>
    </cfRule>
  </conditionalFormatting>
  <conditionalFormatting sqref="I152">
    <cfRule type="cellIs" dxfId="586" priority="550" operator="equal">
      <formula>"ISE CIKMADI"</formula>
    </cfRule>
    <cfRule type="cellIs" dxfId="585" priority="551" operator="equal">
      <formula>"ISE CIKMADI"</formula>
    </cfRule>
  </conditionalFormatting>
  <conditionalFormatting sqref="I1320">
    <cfRule type="cellIs" dxfId="584" priority="549" operator="equal">
      <formula>"ogleden sonra gitti"</formula>
    </cfRule>
  </conditionalFormatting>
  <conditionalFormatting sqref="I1320">
    <cfRule type="cellIs" dxfId="583" priority="547" operator="equal">
      <formula>"ISE CIKMADI"</formula>
    </cfRule>
    <cfRule type="cellIs" dxfId="582" priority="548" operator="equal">
      <formula>"ISE CIKMADI"</formula>
    </cfRule>
  </conditionalFormatting>
  <conditionalFormatting sqref="I10">
    <cfRule type="cellIs" dxfId="581" priority="544" operator="equal">
      <formula>"ISE CIKMADI"</formula>
    </cfRule>
    <cfRule type="cellIs" dxfId="580" priority="545" operator="equal">
      <formula>"ISE CIKMADI"</formula>
    </cfRule>
    <cfRule type="cellIs" dxfId="579" priority="546" operator="equal">
      <formula>"ISE CIKMADI"</formula>
    </cfRule>
  </conditionalFormatting>
  <conditionalFormatting sqref="I1040">
    <cfRule type="cellIs" dxfId="578" priority="540" operator="equal">
      <formula>"ogleden sonra gitti"</formula>
    </cfRule>
  </conditionalFormatting>
  <conditionalFormatting sqref="I1040">
    <cfRule type="cellIs" dxfId="577" priority="538" operator="equal">
      <formula>"ISE CIKMADI"</formula>
    </cfRule>
    <cfRule type="cellIs" dxfId="576" priority="539" operator="equal">
      <formula>"ISE CIKMADI"</formula>
    </cfRule>
  </conditionalFormatting>
  <conditionalFormatting sqref="I129">
    <cfRule type="cellIs" dxfId="575" priority="510" operator="equal">
      <formula>"ogleden sonra gitti"</formula>
    </cfRule>
  </conditionalFormatting>
  <conditionalFormatting sqref="I129">
    <cfRule type="cellIs" dxfId="574" priority="508" operator="equal">
      <formula>"ISE CIKMADI"</formula>
    </cfRule>
    <cfRule type="cellIs" dxfId="573" priority="509" operator="equal">
      <formula>"ISE CIKMADI"</formula>
    </cfRule>
  </conditionalFormatting>
  <conditionalFormatting sqref="I1097">
    <cfRule type="cellIs" dxfId="572" priority="492" operator="equal">
      <formula>"ogleden sonra gitti"</formula>
    </cfRule>
  </conditionalFormatting>
  <conditionalFormatting sqref="I1097">
    <cfRule type="cellIs" dxfId="571" priority="490" operator="equal">
      <formula>"ISE CIKMADI"</formula>
    </cfRule>
    <cfRule type="cellIs" dxfId="570" priority="491" operator="equal">
      <formula>"ISE CIKMADI"</formula>
    </cfRule>
  </conditionalFormatting>
  <conditionalFormatting sqref="I499">
    <cfRule type="cellIs" dxfId="569" priority="504" operator="equal">
      <formula>"ogleden sonra gitti"</formula>
    </cfRule>
  </conditionalFormatting>
  <conditionalFormatting sqref="I499">
    <cfRule type="cellIs" dxfId="568" priority="502" operator="equal">
      <formula>"ISE CIKMADI"</formula>
    </cfRule>
    <cfRule type="cellIs" dxfId="567" priority="503" operator="equal">
      <formula>"ISE CIKMADI"</formula>
    </cfRule>
  </conditionalFormatting>
  <conditionalFormatting sqref="B1066:B1075">
    <cfRule type="duplicateValues" dxfId="566" priority="195425"/>
    <cfRule type="duplicateValues" dxfId="565" priority="195426"/>
    <cfRule type="duplicateValues" dxfId="564" priority="195427"/>
    <cfRule type="duplicateValues" dxfId="563" priority="195428"/>
    <cfRule type="duplicateValues" dxfId="562" priority="195429"/>
    <cfRule type="duplicateValues" dxfId="561" priority="195430"/>
    <cfRule type="duplicateValues" dxfId="560" priority="195431"/>
    <cfRule type="duplicateValues" dxfId="559" priority="195432"/>
    <cfRule type="duplicateValues" dxfId="558" priority="195433"/>
    <cfRule type="duplicateValues" dxfId="557" priority="195434"/>
    <cfRule type="duplicateValues" dxfId="556" priority="195435"/>
    <cfRule type="duplicateValues" dxfId="555" priority="195436"/>
    <cfRule type="duplicateValues" dxfId="554" priority="195437"/>
    <cfRule type="duplicateValues" dxfId="553" priority="195438"/>
  </conditionalFormatting>
  <conditionalFormatting sqref="C1066:C1075">
    <cfRule type="duplicateValues" dxfId="552" priority="195453"/>
    <cfRule type="duplicateValues" dxfId="551" priority="195454"/>
    <cfRule type="duplicateValues" dxfId="550" priority="195455"/>
    <cfRule type="duplicateValues" dxfId="549" priority="195456"/>
  </conditionalFormatting>
  <conditionalFormatting sqref="D1066:D1075">
    <cfRule type="duplicateValues" dxfId="548" priority="195461"/>
  </conditionalFormatting>
  <conditionalFormatting sqref="I1097">
    <cfRule type="cellIs" dxfId="547" priority="495" operator="equal">
      <formula>"ogleden sonra gitti"</formula>
    </cfRule>
  </conditionalFormatting>
  <conditionalFormatting sqref="I1097">
    <cfRule type="cellIs" dxfId="546" priority="493" operator="equal">
      <formula>"ISE CIKMADI"</formula>
    </cfRule>
    <cfRule type="cellIs" dxfId="545" priority="494" operator="equal">
      <formula>"ISE CIKMADI"</formula>
    </cfRule>
  </conditionalFormatting>
  <conditionalFormatting sqref="I1083">
    <cfRule type="cellIs" dxfId="544" priority="489" operator="equal">
      <formula>"ogleden sonra gitti"</formula>
    </cfRule>
  </conditionalFormatting>
  <conditionalFormatting sqref="I1083">
    <cfRule type="cellIs" dxfId="543" priority="487" operator="equal">
      <formula>"ISE CIKMADI"</formula>
    </cfRule>
    <cfRule type="cellIs" dxfId="542" priority="488" operator="equal">
      <formula>"ISE CIKMADI"</formula>
    </cfRule>
  </conditionalFormatting>
  <conditionalFormatting sqref="I1083">
    <cfRule type="cellIs" dxfId="541" priority="486" operator="equal">
      <formula>"ogleden sonra gitti"</formula>
    </cfRule>
  </conditionalFormatting>
  <conditionalFormatting sqref="I1083">
    <cfRule type="cellIs" dxfId="540" priority="484" operator="equal">
      <formula>"ISE CIKMADI"</formula>
    </cfRule>
    <cfRule type="cellIs" dxfId="539" priority="485" operator="equal">
      <formula>"ISE CIKMADI"</formula>
    </cfRule>
  </conditionalFormatting>
  <conditionalFormatting sqref="I7">
    <cfRule type="cellIs" dxfId="538" priority="483" operator="equal">
      <formula>"ogleden sonra gitti"</formula>
    </cfRule>
  </conditionalFormatting>
  <conditionalFormatting sqref="I7">
    <cfRule type="cellIs" dxfId="537" priority="481" operator="equal">
      <formula>"ISE CIKMADI"</formula>
    </cfRule>
    <cfRule type="cellIs" dxfId="536" priority="482" operator="equal">
      <formula>"ISE CIKMADI"</formula>
    </cfRule>
  </conditionalFormatting>
  <conditionalFormatting sqref="I781">
    <cfRule type="cellIs" dxfId="535" priority="480" operator="equal">
      <formula>"ogleden sonra gitti"</formula>
    </cfRule>
  </conditionalFormatting>
  <conditionalFormatting sqref="I781">
    <cfRule type="cellIs" dxfId="534" priority="478" operator="equal">
      <formula>"ISE CIKMADI"</formula>
    </cfRule>
    <cfRule type="cellIs" dxfId="533" priority="479" operator="equal">
      <formula>"ISE CIKMADI"</formula>
    </cfRule>
  </conditionalFormatting>
  <conditionalFormatting sqref="I963">
    <cfRule type="cellIs" dxfId="532" priority="477" operator="equal">
      <formula>"ogleden sonra gitti"</formula>
    </cfRule>
  </conditionalFormatting>
  <conditionalFormatting sqref="I963">
    <cfRule type="cellIs" dxfId="531" priority="475" operator="equal">
      <formula>"ISE CIKMADI"</formula>
    </cfRule>
    <cfRule type="cellIs" dxfId="530" priority="476" operator="equal">
      <formula>"ISE CIKMADI"</formula>
    </cfRule>
  </conditionalFormatting>
  <conditionalFormatting sqref="I1008:I1009">
    <cfRule type="cellIs" dxfId="529" priority="474" operator="equal">
      <formula>"ogleden sonra gitti"</formula>
    </cfRule>
  </conditionalFormatting>
  <conditionalFormatting sqref="I1008:I1009">
    <cfRule type="cellIs" dxfId="528" priority="472" operator="equal">
      <formula>"ISE CIKMADI"</formula>
    </cfRule>
    <cfRule type="cellIs" dxfId="527" priority="473" operator="equal">
      <formula>"ISE CIKMADI"</formula>
    </cfRule>
  </conditionalFormatting>
  <conditionalFormatting sqref="I1173">
    <cfRule type="cellIs" dxfId="526" priority="471" operator="equal">
      <formula>"ogleden sonra gitti"</formula>
    </cfRule>
  </conditionalFormatting>
  <conditionalFormatting sqref="I1173">
    <cfRule type="cellIs" dxfId="525" priority="469" operator="equal">
      <formula>"ISE CIKMADI"</formula>
    </cfRule>
    <cfRule type="cellIs" dxfId="524" priority="470" operator="equal">
      <formula>"ISE CIKMADI"</formula>
    </cfRule>
  </conditionalFormatting>
  <conditionalFormatting sqref="I741:I743">
    <cfRule type="cellIs" dxfId="523" priority="459" operator="equal">
      <formula>"ogleden sonra gitti"</formula>
    </cfRule>
  </conditionalFormatting>
  <conditionalFormatting sqref="I741:I743">
    <cfRule type="cellIs" dxfId="522" priority="457" operator="equal">
      <formula>"ISE CIKMADI"</formula>
    </cfRule>
    <cfRule type="cellIs" dxfId="521" priority="458" operator="equal">
      <formula>"ISE CIKMADI"</formula>
    </cfRule>
  </conditionalFormatting>
  <conditionalFormatting sqref="I1060:I1062">
    <cfRule type="cellIs" dxfId="520" priority="456" operator="equal">
      <formula>"ogleden sonra gitti"</formula>
    </cfRule>
  </conditionalFormatting>
  <conditionalFormatting sqref="I1060:I1062">
    <cfRule type="cellIs" dxfId="519" priority="454" operator="equal">
      <formula>"ISE CIKMADI"</formula>
    </cfRule>
    <cfRule type="cellIs" dxfId="518" priority="455" operator="equal">
      <formula>"ISE CIKMADI"</formula>
    </cfRule>
  </conditionalFormatting>
  <conditionalFormatting sqref="I1237:I1238">
    <cfRule type="cellIs" dxfId="517" priority="453" operator="equal">
      <formula>"ogleden sonra gitti"</formula>
    </cfRule>
  </conditionalFormatting>
  <conditionalFormatting sqref="I1237:I1238">
    <cfRule type="cellIs" dxfId="516" priority="451" operator="equal">
      <formula>"ISE CIKMADI"</formula>
    </cfRule>
    <cfRule type="cellIs" dxfId="515" priority="452" operator="equal">
      <formula>"ISE CIKMADI"</formula>
    </cfRule>
  </conditionalFormatting>
  <conditionalFormatting sqref="I1237:I1238">
    <cfRule type="cellIs" dxfId="514" priority="448" operator="equal">
      <formula>"ogleden sonra gitti"</formula>
    </cfRule>
  </conditionalFormatting>
  <conditionalFormatting sqref="I1237:I1238">
    <cfRule type="cellIs" dxfId="513" priority="449" operator="equal">
      <formula>"ISE CIKMADI DIS GOREV NIJNIYNOVGORODDEN GELDI"</formula>
    </cfRule>
    <cfRule type="cellIs" dxfId="512" priority="450" operator="equal">
      <formula>"ISE CIKMADI"</formula>
    </cfRule>
  </conditionalFormatting>
  <conditionalFormatting sqref="I1237:I1238">
    <cfRule type="cellIs" dxfId="511" priority="445" operator="equal">
      <formula>"ogleden sonra gitti"</formula>
    </cfRule>
  </conditionalFormatting>
  <conditionalFormatting sqref="I1237:I1238">
    <cfRule type="cellIs" dxfId="510" priority="446" operator="equal">
      <formula>"ISE CIKMADI"</formula>
    </cfRule>
    <cfRule type="cellIs" dxfId="509" priority="447" operator="equal">
      <formula>"ISE CIKMADI"</formula>
    </cfRule>
  </conditionalFormatting>
  <conditionalFormatting sqref="I1237:I1238">
    <cfRule type="cellIs" dxfId="508" priority="444" operator="equal">
      <formula>"ogleden sonra gitti"</formula>
    </cfRule>
  </conditionalFormatting>
  <conditionalFormatting sqref="I1237:I1238">
    <cfRule type="cellIs" dxfId="507" priority="442" operator="equal">
      <formula>"ISE CIKMADI"</formula>
    </cfRule>
    <cfRule type="cellIs" dxfId="506" priority="443" operator="equal">
      <formula>"ISE CIKMADI"</formula>
    </cfRule>
  </conditionalFormatting>
  <conditionalFormatting sqref="I1294">
    <cfRule type="cellIs" dxfId="505" priority="441" operator="equal">
      <formula>"ogleden sonra gitti"</formula>
    </cfRule>
  </conditionalFormatting>
  <conditionalFormatting sqref="I1294">
    <cfRule type="cellIs" dxfId="504" priority="439" operator="equal">
      <formula>"ISE CIKMADI"</formula>
    </cfRule>
    <cfRule type="cellIs" dxfId="503" priority="440" operator="equal">
      <formula>"ISE CIKMADI"</formula>
    </cfRule>
  </conditionalFormatting>
  <conditionalFormatting sqref="I1324">
    <cfRule type="cellIs" dxfId="502" priority="438" operator="equal">
      <formula>"ogleden sonra gitti"</formula>
    </cfRule>
  </conditionalFormatting>
  <conditionalFormatting sqref="I1324">
    <cfRule type="cellIs" dxfId="501" priority="436" operator="equal">
      <formula>"ISE CIKMADI"</formula>
    </cfRule>
    <cfRule type="cellIs" dxfId="500" priority="437" operator="equal">
      <formula>"ISE CIKMADI"</formula>
    </cfRule>
  </conditionalFormatting>
  <conditionalFormatting sqref="I1325">
    <cfRule type="cellIs" dxfId="499" priority="435" operator="equal">
      <formula>"ogleden sonra gitti"</formula>
    </cfRule>
  </conditionalFormatting>
  <conditionalFormatting sqref="I1325">
    <cfRule type="cellIs" dxfId="498" priority="433" operator="equal">
      <formula>"ISE CIKMADI"</formula>
    </cfRule>
    <cfRule type="cellIs" dxfId="497" priority="434" operator="equal">
      <formula>"ISE CIKMADI"</formula>
    </cfRule>
  </conditionalFormatting>
  <conditionalFormatting sqref="I1326">
    <cfRule type="cellIs" dxfId="496" priority="432" operator="equal">
      <formula>"ogleden sonra gitti"</formula>
    </cfRule>
  </conditionalFormatting>
  <conditionalFormatting sqref="I1326">
    <cfRule type="cellIs" dxfId="495" priority="430" operator="equal">
      <formula>"ISE CIKMADI"</formula>
    </cfRule>
    <cfRule type="cellIs" dxfId="494" priority="431" operator="equal">
      <formula>"ISE CIKMADI"</formula>
    </cfRule>
  </conditionalFormatting>
  <conditionalFormatting sqref="I592">
    <cfRule type="cellIs" dxfId="493" priority="429" operator="equal">
      <formula>"ogleden sonra gitti"</formula>
    </cfRule>
  </conditionalFormatting>
  <conditionalFormatting sqref="I592">
    <cfRule type="cellIs" dxfId="492" priority="427" operator="equal">
      <formula>"ISE CIKMADI"</formula>
    </cfRule>
    <cfRule type="cellIs" dxfId="491" priority="428" operator="equal">
      <formula>"ISE CIKMADI"</formula>
    </cfRule>
  </conditionalFormatting>
  <conditionalFormatting sqref="I943">
    <cfRule type="cellIs" dxfId="490" priority="411" operator="equal">
      <formula>"ogleden sonra gitti"</formula>
    </cfRule>
  </conditionalFormatting>
  <conditionalFormatting sqref="I943">
    <cfRule type="cellIs" dxfId="489" priority="409" operator="equal">
      <formula>"ISE CIKMADI"</formula>
    </cfRule>
    <cfRule type="cellIs" dxfId="488" priority="410" operator="equal">
      <formula>"ISE CIKMADI"</formula>
    </cfRule>
  </conditionalFormatting>
  <conditionalFormatting sqref="I943">
    <cfRule type="cellIs" dxfId="487" priority="408" operator="equal">
      <formula>"ogleden sonra gitti"</formula>
    </cfRule>
  </conditionalFormatting>
  <conditionalFormatting sqref="I943">
    <cfRule type="cellIs" dxfId="486" priority="406" operator="equal">
      <formula>"ISE CIKMADI"</formula>
    </cfRule>
    <cfRule type="cellIs" dxfId="485" priority="407" operator="equal">
      <formula>"ISE CIKMADI"</formula>
    </cfRule>
  </conditionalFormatting>
  <conditionalFormatting sqref="I983">
    <cfRule type="cellIs" dxfId="484" priority="396" operator="equal">
      <formula>"ogleden sonra gitti"</formula>
    </cfRule>
  </conditionalFormatting>
  <conditionalFormatting sqref="I983">
    <cfRule type="cellIs" dxfId="483" priority="394" operator="equal">
      <formula>"ISE CIKMADI"</formula>
    </cfRule>
    <cfRule type="cellIs" dxfId="482" priority="395" operator="equal">
      <formula>"ISE CIKMADI"</formula>
    </cfRule>
  </conditionalFormatting>
  <conditionalFormatting sqref="I1242">
    <cfRule type="cellIs" dxfId="481" priority="393" operator="equal">
      <formula>"ogleden sonra gitti"</formula>
    </cfRule>
  </conditionalFormatting>
  <conditionalFormatting sqref="I1242">
    <cfRule type="cellIs" dxfId="480" priority="391" operator="equal">
      <formula>"ISE CIKMADI"</formula>
    </cfRule>
    <cfRule type="cellIs" dxfId="479" priority="392" operator="equal">
      <formula>"ISE CIKMADI"</formula>
    </cfRule>
  </conditionalFormatting>
  <conditionalFormatting sqref="I1236">
    <cfRule type="cellIs" dxfId="478" priority="390" operator="equal">
      <formula>"ogleden sonra gitti"</formula>
    </cfRule>
  </conditionalFormatting>
  <conditionalFormatting sqref="I1236">
    <cfRule type="cellIs" dxfId="477" priority="388" operator="equal">
      <formula>"ISE CIKMADI"</formula>
    </cfRule>
    <cfRule type="cellIs" dxfId="476" priority="389" operator="equal">
      <formula>"ISE CIKMADI"</formula>
    </cfRule>
  </conditionalFormatting>
  <conditionalFormatting sqref="I143:I144">
    <cfRule type="cellIs" dxfId="475" priority="381" operator="equal">
      <formula>"ogleden sonra gitti"</formula>
    </cfRule>
  </conditionalFormatting>
  <conditionalFormatting sqref="I143:I144">
    <cfRule type="cellIs" dxfId="474" priority="379" operator="equal">
      <formula>"ISE CIKMADI"</formula>
    </cfRule>
    <cfRule type="cellIs" dxfId="473" priority="380" operator="equal">
      <formula>"ISE CIKMADI"</formula>
    </cfRule>
  </conditionalFormatting>
  <conditionalFormatting sqref="I378">
    <cfRule type="cellIs" dxfId="472" priority="378" operator="equal">
      <formula>"ogleden sonra gitti"</formula>
    </cfRule>
  </conditionalFormatting>
  <conditionalFormatting sqref="I378">
    <cfRule type="cellIs" dxfId="471" priority="376" operator="equal">
      <formula>"ISE CIKMADI"</formula>
    </cfRule>
    <cfRule type="cellIs" dxfId="470" priority="377" operator="equal">
      <formula>"ISE CIKMADI"</formula>
    </cfRule>
  </conditionalFormatting>
  <conditionalFormatting sqref="I378">
    <cfRule type="cellIs" dxfId="469" priority="375" operator="equal">
      <formula>"ogleden sonra gitti"</formula>
    </cfRule>
  </conditionalFormatting>
  <conditionalFormatting sqref="I378">
    <cfRule type="cellIs" dxfId="468" priority="373" operator="equal">
      <formula>"ISE CIKMADI"</formula>
    </cfRule>
    <cfRule type="cellIs" dxfId="467" priority="374" operator="equal">
      <formula>"ISE CIKMADI"</formula>
    </cfRule>
  </conditionalFormatting>
  <conditionalFormatting sqref="I378">
    <cfRule type="cellIs" dxfId="466" priority="372" operator="equal">
      <formula>"ogleden sonra gitti"</formula>
    </cfRule>
  </conditionalFormatting>
  <conditionalFormatting sqref="I378">
    <cfRule type="cellIs" dxfId="465" priority="370" operator="equal">
      <formula>"ISE CIKMADI"</formula>
    </cfRule>
    <cfRule type="cellIs" dxfId="464" priority="371" operator="equal">
      <formula>"ISE CIKMADI"</formula>
    </cfRule>
  </conditionalFormatting>
  <conditionalFormatting sqref="I378">
    <cfRule type="cellIs" dxfId="463" priority="369" operator="equal">
      <formula>"ogleden sonra gitti"</formula>
    </cfRule>
  </conditionalFormatting>
  <conditionalFormatting sqref="I378">
    <cfRule type="cellIs" dxfId="462" priority="367" operator="equal">
      <formula>"ISE CIKMADI"</formula>
    </cfRule>
    <cfRule type="cellIs" dxfId="461" priority="368" operator="equal">
      <formula>"ISE CIKMADI"</formula>
    </cfRule>
  </conditionalFormatting>
  <conditionalFormatting sqref="I378">
    <cfRule type="cellIs" dxfId="460" priority="366" operator="equal">
      <formula>"ogleden sonra gitti"</formula>
    </cfRule>
  </conditionalFormatting>
  <conditionalFormatting sqref="I378">
    <cfRule type="cellIs" dxfId="459" priority="364" operator="equal">
      <formula>"ISE CIKMADI"</formula>
    </cfRule>
    <cfRule type="cellIs" dxfId="458" priority="365" operator="equal">
      <formula>"ISE CIKMADI"</formula>
    </cfRule>
  </conditionalFormatting>
  <conditionalFormatting sqref="I378">
    <cfRule type="cellIs" dxfId="457" priority="351" operator="equal">
      <formula>"ogleden sonra gitti"</formula>
    </cfRule>
  </conditionalFormatting>
  <conditionalFormatting sqref="I378">
    <cfRule type="cellIs" dxfId="456" priority="349" operator="equal">
      <formula>"ISE CIKMADI"</formula>
    </cfRule>
    <cfRule type="cellIs" dxfId="455" priority="350" operator="equal">
      <formula>"ISE CIKMADI"</formula>
    </cfRule>
  </conditionalFormatting>
  <conditionalFormatting sqref="I378">
    <cfRule type="cellIs" dxfId="454" priority="363" operator="equal">
      <formula>"ogleden sonra gitti"</formula>
    </cfRule>
  </conditionalFormatting>
  <conditionalFormatting sqref="I378">
    <cfRule type="cellIs" dxfId="453" priority="361" operator="equal">
      <formula>"ISE CIKMADI"</formula>
    </cfRule>
    <cfRule type="cellIs" dxfId="452" priority="362" operator="equal">
      <formula>"ISE CIKMADI"</formula>
    </cfRule>
  </conditionalFormatting>
  <conditionalFormatting sqref="I378">
    <cfRule type="cellIs" dxfId="451" priority="360" operator="equal">
      <formula>"ogleden sonra gitti"</formula>
    </cfRule>
  </conditionalFormatting>
  <conditionalFormatting sqref="I378">
    <cfRule type="cellIs" dxfId="450" priority="358" operator="equal">
      <formula>"ISE CIKMADI"</formula>
    </cfRule>
    <cfRule type="cellIs" dxfId="449" priority="359" operator="equal">
      <formula>"ISE CIKMADI"</formula>
    </cfRule>
  </conditionalFormatting>
  <conditionalFormatting sqref="I378">
    <cfRule type="cellIs" dxfId="448" priority="357" operator="equal">
      <formula>"ogleden sonra gitti"</formula>
    </cfRule>
  </conditionalFormatting>
  <conditionalFormatting sqref="I378">
    <cfRule type="cellIs" dxfId="447" priority="355" operator="equal">
      <formula>"ISE CIKMADI"</formula>
    </cfRule>
    <cfRule type="cellIs" dxfId="446" priority="356" operator="equal">
      <formula>"ISE CIKMADI"</formula>
    </cfRule>
  </conditionalFormatting>
  <conditionalFormatting sqref="I378">
    <cfRule type="cellIs" dxfId="445" priority="354" operator="equal">
      <formula>"ogleden sonra gitti"</formula>
    </cfRule>
  </conditionalFormatting>
  <conditionalFormatting sqref="I378">
    <cfRule type="cellIs" dxfId="444" priority="352" operator="equal">
      <formula>"ISE CIKMADI"</formula>
    </cfRule>
    <cfRule type="cellIs" dxfId="443" priority="353" operator="equal">
      <formula>"ISE CIKMADI"</formula>
    </cfRule>
  </conditionalFormatting>
  <conditionalFormatting sqref="I378">
    <cfRule type="cellIs" dxfId="442" priority="348" operator="equal">
      <formula>"ogleden sonra gitti"</formula>
    </cfRule>
  </conditionalFormatting>
  <conditionalFormatting sqref="I378">
    <cfRule type="cellIs" dxfId="441" priority="346" operator="equal">
      <formula>"ISE CIKMADI"</formula>
    </cfRule>
    <cfRule type="cellIs" dxfId="440" priority="347" operator="equal">
      <formula>"ISE CIKMADI"</formula>
    </cfRule>
  </conditionalFormatting>
  <conditionalFormatting sqref="I378">
    <cfRule type="cellIs" dxfId="439" priority="345" operator="equal">
      <formula>"ogleden sonra gitti"</formula>
    </cfRule>
  </conditionalFormatting>
  <conditionalFormatting sqref="I378">
    <cfRule type="cellIs" dxfId="438" priority="343" operator="equal">
      <formula>"ISE CIKMADI"</formula>
    </cfRule>
    <cfRule type="cellIs" dxfId="437" priority="344" operator="equal">
      <formula>"ISE CIKMADI"</formula>
    </cfRule>
  </conditionalFormatting>
  <conditionalFormatting sqref="I378">
    <cfRule type="cellIs" dxfId="436" priority="342" operator="equal">
      <formula>"ogleden sonra gitti"</formula>
    </cfRule>
  </conditionalFormatting>
  <conditionalFormatting sqref="I378">
    <cfRule type="cellIs" dxfId="435" priority="340" operator="equal">
      <formula>"ISE CIKMADI"</formula>
    </cfRule>
    <cfRule type="cellIs" dxfId="434" priority="341" operator="equal">
      <formula>"ISE CIKMADI"</formula>
    </cfRule>
  </conditionalFormatting>
  <conditionalFormatting sqref="I378">
    <cfRule type="cellIs" dxfId="433" priority="339" operator="equal">
      <formula>"ogleden sonra gitti"</formula>
    </cfRule>
  </conditionalFormatting>
  <conditionalFormatting sqref="I378">
    <cfRule type="cellIs" dxfId="432" priority="337" operator="equal">
      <formula>"ISE CIKMADI"</formula>
    </cfRule>
    <cfRule type="cellIs" dxfId="431" priority="338" operator="equal">
      <formula>"ISE CIKMADI"</formula>
    </cfRule>
  </conditionalFormatting>
  <conditionalFormatting sqref="I378">
    <cfRule type="cellIs" dxfId="430" priority="324" operator="equal">
      <formula>"ogleden sonra gitti"</formula>
    </cfRule>
  </conditionalFormatting>
  <conditionalFormatting sqref="I378">
    <cfRule type="cellIs" dxfId="429" priority="322" operator="equal">
      <formula>"ISE CIKMADI"</formula>
    </cfRule>
    <cfRule type="cellIs" dxfId="428" priority="323" operator="equal">
      <formula>"ISE CIKMADI"</formula>
    </cfRule>
  </conditionalFormatting>
  <conditionalFormatting sqref="I378">
    <cfRule type="cellIs" dxfId="427" priority="336" operator="equal">
      <formula>"ogleden sonra gitti"</formula>
    </cfRule>
  </conditionalFormatting>
  <conditionalFormatting sqref="I378">
    <cfRule type="cellIs" dxfId="426" priority="334" operator="equal">
      <formula>"ISE CIKMADI"</formula>
    </cfRule>
    <cfRule type="cellIs" dxfId="425" priority="335" operator="equal">
      <formula>"ISE CIKMADI"</formula>
    </cfRule>
  </conditionalFormatting>
  <conditionalFormatting sqref="I378">
    <cfRule type="cellIs" dxfId="424" priority="333" operator="equal">
      <formula>"ogleden sonra gitti"</formula>
    </cfRule>
  </conditionalFormatting>
  <conditionalFormatting sqref="I378">
    <cfRule type="cellIs" dxfId="423" priority="331" operator="equal">
      <formula>"ISE CIKMADI"</formula>
    </cfRule>
    <cfRule type="cellIs" dxfId="422" priority="332" operator="equal">
      <formula>"ISE CIKMADI"</formula>
    </cfRule>
  </conditionalFormatting>
  <conditionalFormatting sqref="I378">
    <cfRule type="cellIs" dxfId="421" priority="330" operator="equal">
      <formula>"ogleden sonra gitti"</formula>
    </cfRule>
  </conditionalFormatting>
  <conditionalFormatting sqref="I378">
    <cfRule type="cellIs" dxfId="420" priority="328" operator="equal">
      <formula>"ISE CIKMADI"</formula>
    </cfRule>
    <cfRule type="cellIs" dxfId="419" priority="329" operator="equal">
      <formula>"ISE CIKMADI"</formula>
    </cfRule>
  </conditionalFormatting>
  <conditionalFormatting sqref="I378">
    <cfRule type="cellIs" dxfId="418" priority="327" operator="equal">
      <formula>"ogleden sonra gitti"</formula>
    </cfRule>
  </conditionalFormatting>
  <conditionalFormatting sqref="I378">
    <cfRule type="cellIs" dxfId="417" priority="325" operator="equal">
      <formula>"ISE CIKMADI"</formula>
    </cfRule>
    <cfRule type="cellIs" dxfId="416" priority="326" operator="equal">
      <formula>"ISE CIKMADI"</formula>
    </cfRule>
  </conditionalFormatting>
  <conditionalFormatting sqref="I996">
    <cfRule type="cellIs" dxfId="415" priority="321" operator="equal">
      <formula>"ogleden sonra gitti"</formula>
    </cfRule>
  </conditionalFormatting>
  <conditionalFormatting sqref="I996">
    <cfRule type="cellIs" dxfId="414" priority="319" operator="equal">
      <formula>"ISE CIKMADI"</formula>
    </cfRule>
    <cfRule type="cellIs" dxfId="413" priority="320" operator="equal">
      <formula>"ISE CIKMADI"</formula>
    </cfRule>
  </conditionalFormatting>
  <conditionalFormatting sqref="B528:B651">
    <cfRule type="duplicateValues" dxfId="412" priority="198145"/>
  </conditionalFormatting>
  <conditionalFormatting sqref="B528:C651">
    <cfRule type="duplicateValues" dxfId="411" priority="198147"/>
  </conditionalFormatting>
  <conditionalFormatting sqref="C528:C651">
    <cfRule type="duplicateValues" dxfId="410" priority="198149"/>
  </conditionalFormatting>
  <conditionalFormatting sqref="D528:D651">
    <cfRule type="duplicateValues" dxfId="409" priority="198151"/>
  </conditionalFormatting>
  <conditionalFormatting sqref="I1170">
    <cfRule type="cellIs" dxfId="408" priority="318" operator="equal">
      <formula>"ogleden sonra gitti"</formula>
    </cfRule>
  </conditionalFormatting>
  <conditionalFormatting sqref="I1170">
    <cfRule type="cellIs" dxfId="407" priority="316" operator="equal">
      <formula>"ISE CIKMADI"</formula>
    </cfRule>
    <cfRule type="cellIs" dxfId="406" priority="317" operator="equal">
      <formula>"ISE CIKMADI"</formula>
    </cfRule>
  </conditionalFormatting>
  <conditionalFormatting sqref="B654:B699">
    <cfRule type="duplicateValues" dxfId="405" priority="199753"/>
    <cfRule type="duplicateValues" dxfId="404" priority="199754"/>
  </conditionalFormatting>
  <conditionalFormatting sqref="C654:C699">
    <cfRule type="duplicateValues" dxfId="403" priority="199757"/>
  </conditionalFormatting>
  <conditionalFormatting sqref="D654:D699">
    <cfRule type="duplicateValues" dxfId="402" priority="199759"/>
  </conditionalFormatting>
  <conditionalFormatting sqref="I699">
    <cfRule type="cellIs" dxfId="401" priority="286" operator="equal">
      <formula>"ogleden sonra gitti"</formula>
    </cfRule>
  </conditionalFormatting>
  <conditionalFormatting sqref="I699">
    <cfRule type="cellIs" dxfId="400" priority="284" operator="equal">
      <formula>"ISE CIKMADI"</formula>
    </cfRule>
    <cfRule type="cellIs" dxfId="399" priority="285" operator="equal">
      <formula>"ISE CIKMADI"</formula>
    </cfRule>
  </conditionalFormatting>
  <conditionalFormatting sqref="I516:I519">
    <cfRule type="cellIs" dxfId="398" priority="283" operator="equal">
      <formula>"ogleden sonra gitti"</formula>
    </cfRule>
  </conditionalFormatting>
  <conditionalFormatting sqref="I516:I519">
    <cfRule type="cellIs" dxfId="397" priority="281" operator="equal">
      <formula>"ISE CIKMADI"</formula>
    </cfRule>
    <cfRule type="cellIs" dxfId="396" priority="282" operator="equal">
      <formula>"ISE CIKMADI"</formula>
    </cfRule>
  </conditionalFormatting>
  <conditionalFormatting sqref="I509:I519">
    <cfRule type="cellIs" dxfId="395" priority="280" operator="equal">
      <formula>"ogleden sonra gitti"</formula>
    </cfRule>
  </conditionalFormatting>
  <conditionalFormatting sqref="I509:I519">
    <cfRule type="cellIs" dxfId="394" priority="278" operator="equal">
      <formula>"ISE CIKMADI"</formula>
    </cfRule>
    <cfRule type="cellIs" dxfId="393" priority="279" operator="equal">
      <formula>"ISE CIKMADI"</formula>
    </cfRule>
  </conditionalFormatting>
  <conditionalFormatting sqref="I511">
    <cfRule type="cellIs" dxfId="392" priority="277" operator="equal">
      <formula>"ogleden sonra gitti"</formula>
    </cfRule>
  </conditionalFormatting>
  <conditionalFormatting sqref="I511">
    <cfRule type="cellIs" dxfId="391" priority="275" operator="equal">
      <formula>"ISE CIKMADI"</formula>
    </cfRule>
    <cfRule type="cellIs" dxfId="390" priority="276" operator="equal">
      <formula>"ISE CIKMADI"</formula>
    </cfRule>
  </conditionalFormatting>
  <conditionalFormatting sqref="I510:I519">
    <cfRule type="cellIs" dxfId="389" priority="274" operator="equal">
      <formula>"ogleden sonra gitti"</formula>
    </cfRule>
  </conditionalFormatting>
  <conditionalFormatting sqref="I510:I519">
    <cfRule type="cellIs" dxfId="388" priority="272" operator="equal">
      <formula>"ISE CIKMADI"</formula>
    </cfRule>
    <cfRule type="cellIs" dxfId="387" priority="273" operator="equal">
      <formula>"ISE CIKMADI"</formula>
    </cfRule>
  </conditionalFormatting>
  <conditionalFormatting sqref="I514">
    <cfRule type="cellIs" dxfId="386" priority="271" operator="equal">
      <formula>"ogleden sonra gitti"</formula>
    </cfRule>
  </conditionalFormatting>
  <conditionalFormatting sqref="I514">
    <cfRule type="cellIs" dxfId="385" priority="269" operator="equal">
      <formula>"ISE CIKMADI"</formula>
    </cfRule>
    <cfRule type="cellIs" dxfId="384" priority="270" operator="equal">
      <formula>"ISE CIKMADI"</formula>
    </cfRule>
  </conditionalFormatting>
  <conditionalFormatting sqref="I513">
    <cfRule type="cellIs" dxfId="383" priority="268" operator="equal">
      <formula>"ogleden sonra gitti"</formula>
    </cfRule>
  </conditionalFormatting>
  <conditionalFormatting sqref="I513">
    <cfRule type="cellIs" dxfId="382" priority="266" operator="equal">
      <formula>"ISE CIKMADI"</formula>
    </cfRule>
    <cfRule type="cellIs" dxfId="381" priority="267" operator="equal">
      <formula>"ISE CIKMADI"</formula>
    </cfRule>
  </conditionalFormatting>
  <conditionalFormatting sqref="I515:I519">
    <cfRule type="cellIs" dxfId="380" priority="265" operator="equal">
      <formula>"ogleden sonra gitti"</formula>
    </cfRule>
  </conditionalFormatting>
  <conditionalFormatting sqref="I515:I519">
    <cfRule type="cellIs" dxfId="379" priority="263" operator="equal">
      <formula>"ISE CIKMADI"</formula>
    </cfRule>
    <cfRule type="cellIs" dxfId="378" priority="264" operator="equal">
      <formula>"ISE CIKMADI"</formula>
    </cfRule>
  </conditionalFormatting>
  <conditionalFormatting sqref="I512">
    <cfRule type="cellIs" dxfId="377" priority="262" operator="equal">
      <formula>"ogleden sonra gitti"</formula>
    </cfRule>
  </conditionalFormatting>
  <conditionalFormatting sqref="I512">
    <cfRule type="cellIs" dxfId="376" priority="260" operator="equal">
      <formula>"ISE CIKMADI"</formula>
    </cfRule>
    <cfRule type="cellIs" dxfId="375" priority="261" operator="equal">
      <formula>"ISE CIKMADI"</formula>
    </cfRule>
  </conditionalFormatting>
  <conditionalFormatting sqref="I519">
    <cfRule type="cellIs" dxfId="374" priority="259" operator="equal">
      <formula>"ogleden sonra gitti"</formula>
    </cfRule>
  </conditionalFormatting>
  <conditionalFormatting sqref="I519">
    <cfRule type="cellIs" dxfId="373" priority="257" operator="equal">
      <formula>"ISE CIKMADI"</formula>
    </cfRule>
    <cfRule type="cellIs" dxfId="372" priority="258" operator="equal">
      <formula>"ISE CIKMADI"</formula>
    </cfRule>
  </conditionalFormatting>
  <conditionalFormatting sqref="I518">
    <cfRule type="cellIs" dxfId="371" priority="256" operator="equal">
      <formula>"ogleden sonra gitti"</formula>
    </cfRule>
  </conditionalFormatting>
  <conditionalFormatting sqref="I518">
    <cfRule type="cellIs" dxfId="370" priority="254" operator="equal">
      <formula>"ISE CIKMADI"</formula>
    </cfRule>
    <cfRule type="cellIs" dxfId="369" priority="255" operator="equal">
      <formula>"ISE CIKMADI"</formula>
    </cfRule>
  </conditionalFormatting>
  <conditionalFormatting sqref="I517">
    <cfRule type="cellIs" dxfId="368" priority="253" operator="equal">
      <formula>"ogleden sonra gitti"</formula>
    </cfRule>
  </conditionalFormatting>
  <conditionalFormatting sqref="I517">
    <cfRule type="cellIs" dxfId="367" priority="251" operator="equal">
      <formula>"ISE CIKMADI"</formula>
    </cfRule>
    <cfRule type="cellIs" dxfId="366" priority="252" operator="equal">
      <formula>"ISE CIKMADI"</formula>
    </cfRule>
  </conditionalFormatting>
  <conditionalFormatting sqref="C1106:C1125">
    <cfRule type="duplicateValues" dxfId="365" priority="208612"/>
    <cfRule type="duplicateValues" dxfId="364" priority="208613"/>
    <cfRule type="duplicateValues" dxfId="363" priority="208614"/>
    <cfRule type="duplicateValues" dxfId="362" priority="208615"/>
  </conditionalFormatting>
  <conditionalFormatting sqref="I1085">
    <cfRule type="cellIs" dxfId="361" priority="250" operator="equal">
      <formula>"ogleden sonra gitti"</formula>
    </cfRule>
  </conditionalFormatting>
  <conditionalFormatting sqref="I1085">
    <cfRule type="cellIs" dxfId="360" priority="248" operator="equal">
      <formula>"ISE CIKMADI"</formula>
    </cfRule>
    <cfRule type="cellIs" dxfId="359" priority="249" operator="equal">
      <formula>"ISE CIKMADI"</formula>
    </cfRule>
  </conditionalFormatting>
  <conditionalFormatting sqref="I1085">
    <cfRule type="cellIs" dxfId="358" priority="247" operator="equal">
      <formula>"ogleden sonra gitti"</formula>
    </cfRule>
  </conditionalFormatting>
  <conditionalFormatting sqref="I1085">
    <cfRule type="cellIs" dxfId="357" priority="245" operator="equal">
      <formula>"ISE CIKMADI"</formula>
    </cfRule>
    <cfRule type="cellIs" dxfId="356" priority="246" operator="equal">
      <formula>"ISE CIKMADI"</formula>
    </cfRule>
  </conditionalFormatting>
  <conditionalFormatting sqref="I756">
    <cfRule type="cellIs" dxfId="355" priority="244" operator="equal">
      <formula>"ogleden sonra gitti"</formula>
    </cfRule>
  </conditionalFormatting>
  <conditionalFormatting sqref="I756">
    <cfRule type="cellIs" dxfId="354" priority="242" operator="equal">
      <formula>"ISE CIKMADI"</formula>
    </cfRule>
    <cfRule type="cellIs" dxfId="353" priority="243" operator="equal">
      <formula>"ISE CIKMADI"</formula>
    </cfRule>
  </conditionalFormatting>
  <conditionalFormatting sqref="I1431">
    <cfRule type="cellIs" dxfId="352" priority="241" operator="equal">
      <formula>"ogleden sonra gitti"</formula>
    </cfRule>
  </conditionalFormatting>
  <conditionalFormatting sqref="I1431">
    <cfRule type="cellIs" dxfId="351" priority="239" operator="equal">
      <formula>"ISE CIKMADI"</formula>
    </cfRule>
    <cfRule type="cellIs" dxfId="350" priority="240" operator="equal">
      <formula>"ISE CIKMADI"</formula>
    </cfRule>
  </conditionalFormatting>
  <conditionalFormatting sqref="I1432">
    <cfRule type="cellIs" dxfId="349" priority="238" operator="equal">
      <formula>"ogleden sonra gitti"</formula>
    </cfRule>
  </conditionalFormatting>
  <conditionalFormatting sqref="I1432">
    <cfRule type="cellIs" dxfId="348" priority="236" operator="equal">
      <formula>"ISE CIKMADI"</formula>
    </cfRule>
    <cfRule type="cellIs" dxfId="347" priority="237" operator="equal">
      <formula>"ISE CIKMADI"</formula>
    </cfRule>
  </conditionalFormatting>
  <conditionalFormatting sqref="I1442">
    <cfRule type="cellIs" dxfId="346" priority="235" operator="equal">
      <formula>"ogleden sonra gitti"</formula>
    </cfRule>
  </conditionalFormatting>
  <conditionalFormatting sqref="I1442">
    <cfRule type="cellIs" dxfId="345" priority="233" operator="equal">
      <formula>"ISE CIKMADI"</formula>
    </cfRule>
    <cfRule type="cellIs" dxfId="344" priority="234" operator="equal">
      <formula>"ISE CIKMADI"</formula>
    </cfRule>
  </conditionalFormatting>
  <conditionalFormatting sqref="I1442">
    <cfRule type="cellIs" dxfId="343" priority="232" operator="equal">
      <formula>"ogleden sonra gitti"</formula>
    </cfRule>
  </conditionalFormatting>
  <conditionalFormatting sqref="I1442">
    <cfRule type="cellIs" dxfId="342" priority="230" operator="equal">
      <formula>"ISE CIKMADI"</formula>
    </cfRule>
    <cfRule type="cellIs" dxfId="341" priority="231" operator="equal">
      <formula>"ISE CIKMADI"</formula>
    </cfRule>
  </conditionalFormatting>
  <conditionalFormatting sqref="I1442">
    <cfRule type="cellIs" dxfId="340" priority="229" operator="equal">
      <formula>"ogleden sonra gitti"</formula>
    </cfRule>
  </conditionalFormatting>
  <conditionalFormatting sqref="I1442">
    <cfRule type="cellIs" dxfId="339" priority="227" operator="equal">
      <formula>"ISE CIKMADI"</formula>
    </cfRule>
    <cfRule type="cellIs" dxfId="338" priority="228" operator="equal">
      <formula>"ISE CIKMADI"</formula>
    </cfRule>
  </conditionalFormatting>
  <conditionalFormatting sqref="I1422">
    <cfRule type="cellIs" dxfId="337" priority="226" operator="equal">
      <formula>"ogleden sonra gitti"</formula>
    </cfRule>
  </conditionalFormatting>
  <conditionalFormatting sqref="I1422">
    <cfRule type="cellIs" dxfId="336" priority="224" operator="equal">
      <formula>"ISE CIKMADI"</formula>
    </cfRule>
    <cfRule type="cellIs" dxfId="335" priority="225" operator="equal">
      <formula>"ISE CIKMADI"</formula>
    </cfRule>
  </conditionalFormatting>
  <conditionalFormatting sqref="I1422">
    <cfRule type="cellIs" dxfId="334" priority="223" operator="equal">
      <formula>"ogleden sonra gitti"</formula>
    </cfRule>
  </conditionalFormatting>
  <conditionalFormatting sqref="I1422">
    <cfRule type="cellIs" dxfId="333" priority="221" operator="equal">
      <formula>"ISE CIKMADI"</formula>
    </cfRule>
    <cfRule type="cellIs" dxfId="332" priority="222" operator="equal">
      <formula>"ISE CIKMADI"</formula>
    </cfRule>
  </conditionalFormatting>
  <conditionalFormatting sqref="I1422">
    <cfRule type="cellIs" dxfId="331" priority="220" operator="equal">
      <formula>"ogleden sonra gitti"</formula>
    </cfRule>
  </conditionalFormatting>
  <conditionalFormatting sqref="I1422">
    <cfRule type="cellIs" dxfId="330" priority="218" operator="equal">
      <formula>"ISE CIKMADI"</formula>
    </cfRule>
    <cfRule type="cellIs" dxfId="329" priority="219" operator="equal">
      <formula>"ISE CIKMADI"</formula>
    </cfRule>
  </conditionalFormatting>
  <conditionalFormatting sqref="I196">
    <cfRule type="cellIs" dxfId="328" priority="217" operator="equal">
      <formula>"ogleden sonra gitti"</formula>
    </cfRule>
  </conditionalFormatting>
  <conditionalFormatting sqref="I196">
    <cfRule type="cellIs" dxfId="327" priority="215" operator="equal">
      <formula>"ISE CIKMADI"</formula>
    </cfRule>
    <cfRule type="cellIs" dxfId="326" priority="216" operator="equal">
      <formula>"ISE CIKMADI"</formula>
    </cfRule>
  </conditionalFormatting>
  <conditionalFormatting sqref="I593">
    <cfRule type="cellIs" dxfId="325" priority="214" operator="equal">
      <formula>"ogleden sonra gitti"</formula>
    </cfRule>
  </conditionalFormatting>
  <conditionalFormatting sqref="I593">
    <cfRule type="cellIs" dxfId="324" priority="212" operator="equal">
      <formula>"ISE CIKMADI"</formula>
    </cfRule>
    <cfRule type="cellIs" dxfId="323" priority="213" operator="equal">
      <formula>"ISE CIKMADI"</formula>
    </cfRule>
  </conditionalFormatting>
  <conditionalFormatting sqref="I593">
    <cfRule type="cellIs" dxfId="322" priority="211" operator="equal">
      <formula>"ogleden sonra gitti"</formula>
    </cfRule>
  </conditionalFormatting>
  <conditionalFormatting sqref="I593">
    <cfRule type="cellIs" dxfId="321" priority="209" operator="equal">
      <formula>"ISE CIKMADI"</formula>
    </cfRule>
    <cfRule type="cellIs" dxfId="320" priority="210" operator="equal">
      <formula>"ISE CIKMADI"</formula>
    </cfRule>
  </conditionalFormatting>
  <conditionalFormatting sqref="I975:I976">
    <cfRule type="cellIs" dxfId="319" priority="208" operator="equal">
      <formula>"ogleden sonra gitti"</formula>
    </cfRule>
  </conditionalFormatting>
  <conditionalFormatting sqref="I975:I976">
    <cfRule type="cellIs" dxfId="318" priority="206" operator="equal">
      <formula>"ISE CIKMADI"</formula>
    </cfRule>
    <cfRule type="cellIs" dxfId="317" priority="207" operator="equal">
      <formula>"ISE CIKMADI"</formula>
    </cfRule>
  </conditionalFormatting>
  <conditionalFormatting sqref="I984">
    <cfRule type="cellIs" dxfId="316" priority="205" operator="equal">
      <formula>"ogleden sonra gitti"</formula>
    </cfRule>
  </conditionalFormatting>
  <conditionalFormatting sqref="I984">
    <cfRule type="cellIs" dxfId="315" priority="203" operator="equal">
      <formula>"ISE CIKMADI"</formula>
    </cfRule>
    <cfRule type="cellIs" dxfId="314" priority="204" operator="equal">
      <formula>"ISE CIKMADI"</formula>
    </cfRule>
  </conditionalFormatting>
  <conditionalFormatting sqref="I988">
    <cfRule type="cellIs" dxfId="310" priority="199" operator="equal">
      <formula>"ogleden sonra gitti"</formula>
    </cfRule>
  </conditionalFormatting>
  <conditionalFormatting sqref="I988">
    <cfRule type="cellIs" dxfId="309" priority="197" operator="equal">
      <formula>"ISE CIKMADI"</formula>
    </cfRule>
    <cfRule type="cellIs" dxfId="308" priority="198" operator="equal">
      <formula>"ISE CIKMADI"</formula>
    </cfRule>
  </conditionalFormatting>
  <conditionalFormatting sqref="I225">
    <cfRule type="cellIs" dxfId="198" priority="193" operator="equal">
      <formula>"ogleden sonra gitti"</formula>
    </cfRule>
  </conditionalFormatting>
  <conditionalFormatting sqref="I225">
    <cfRule type="cellIs" dxfId="197" priority="191" operator="equal">
      <formula>"ISE CIKMADI"</formula>
    </cfRule>
    <cfRule type="cellIs" dxfId="196" priority="192" operator="equal">
      <formula>"ISE CIKMADI"</formula>
    </cfRule>
  </conditionalFormatting>
  <conditionalFormatting sqref="I225">
    <cfRule type="cellIs" dxfId="195" priority="190" operator="equal">
      <formula>"ogleden sonra gitti"</formula>
    </cfRule>
  </conditionalFormatting>
  <conditionalFormatting sqref="I225">
    <cfRule type="cellIs" dxfId="194" priority="188" operator="equal">
      <formula>"ISE CIKMADI"</formula>
    </cfRule>
    <cfRule type="cellIs" dxfId="193" priority="189" operator="equal">
      <formula>"ISE CIKMADI"</formula>
    </cfRule>
  </conditionalFormatting>
  <conditionalFormatting sqref="I238">
    <cfRule type="cellIs" dxfId="192" priority="187" operator="equal">
      <formula>"ogleden sonra gitti"</formula>
    </cfRule>
  </conditionalFormatting>
  <conditionalFormatting sqref="I238">
    <cfRule type="cellIs" dxfId="191" priority="185" operator="equal">
      <formula>"ISE CIKMADI"</formula>
    </cfRule>
    <cfRule type="cellIs" dxfId="190" priority="186" operator="equal">
      <formula>"ISE CIKMADI"</formula>
    </cfRule>
  </conditionalFormatting>
  <conditionalFormatting sqref="I238">
    <cfRule type="cellIs" dxfId="189" priority="184" operator="equal">
      <formula>"ogleden sonra gitti"</formula>
    </cfRule>
  </conditionalFormatting>
  <conditionalFormatting sqref="I238">
    <cfRule type="cellIs" dxfId="188" priority="182" operator="equal">
      <formula>"ISE CIKMADI"</formula>
    </cfRule>
    <cfRule type="cellIs" dxfId="187" priority="183" operator="equal">
      <formula>"ISE CIKMADI"</formula>
    </cfRule>
  </conditionalFormatting>
  <conditionalFormatting sqref="I255">
    <cfRule type="cellIs" dxfId="186" priority="181" operator="equal">
      <formula>"ogleden sonra gitti"</formula>
    </cfRule>
  </conditionalFormatting>
  <conditionalFormatting sqref="I255">
    <cfRule type="cellIs" dxfId="185" priority="179" operator="equal">
      <formula>"ISE CIKMADI"</formula>
    </cfRule>
    <cfRule type="cellIs" dxfId="184" priority="180" operator="equal">
      <formula>"ISE CIKMADI"</formula>
    </cfRule>
  </conditionalFormatting>
  <conditionalFormatting sqref="I255">
    <cfRule type="cellIs" dxfId="183" priority="178" operator="equal">
      <formula>"ogleden sonra gitti"</formula>
    </cfRule>
  </conditionalFormatting>
  <conditionalFormatting sqref="I255">
    <cfRule type="cellIs" dxfId="182" priority="176" operator="equal">
      <formula>"ISE CIKMADI"</formula>
    </cfRule>
    <cfRule type="cellIs" dxfId="181" priority="177" operator="equal">
      <formula>"ISE CIKMADI"</formula>
    </cfRule>
  </conditionalFormatting>
  <conditionalFormatting sqref="I272">
    <cfRule type="cellIs" dxfId="180" priority="175" operator="equal">
      <formula>"ogleden sonra gitti"</formula>
    </cfRule>
  </conditionalFormatting>
  <conditionalFormatting sqref="I272">
    <cfRule type="cellIs" dxfId="179" priority="173" operator="equal">
      <formula>"ISE CIKMADI"</formula>
    </cfRule>
    <cfRule type="cellIs" dxfId="178" priority="174" operator="equal">
      <formula>"ISE CIKMADI"</formula>
    </cfRule>
  </conditionalFormatting>
  <conditionalFormatting sqref="I272">
    <cfRule type="cellIs" dxfId="177" priority="172" operator="equal">
      <formula>"ogleden sonra gitti"</formula>
    </cfRule>
  </conditionalFormatting>
  <conditionalFormatting sqref="I272">
    <cfRule type="cellIs" dxfId="176" priority="170" operator="equal">
      <formula>"ISE CIKMADI"</formula>
    </cfRule>
    <cfRule type="cellIs" dxfId="175" priority="171" operator="equal">
      <formula>"ISE CIKMADI"</formula>
    </cfRule>
  </conditionalFormatting>
  <conditionalFormatting sqref="I285">
    <cfRule type="cellIs" dxfId="168" priority="169" operator="equal">
      <formula>"ogleden sonra gitti"</formula>
    </cfRule>
  </conditionalFormatting>
  <conditionalFormatting sqref="I285">
    <cfRule type="cellIs" dxfId="167" priority="167" operator="equal">
      <formula>"ISE CIKMADI"</formula>
    </cfRule>
    <cfRule type="cellIs" dxfId="166" priority="168" operator="equal">
      <formula>"ISE CIKMADI"</formula>
    </cfRule>
  </conditionalFormatting>
  <conditionalFormatting sqref="I285">
    <cfRule type="cellIs" dxfId="165" priority="166" operator="equal">
      <formula>"ISE CIKMADI GECE"</formula>
    </cfRule>
  </conditionalFormatting>
  <conditionalFormatting sqref="I291">
    <cfRule type="cellIs" dxfId="164" priority="165" operator="equal">
      <formula>"ogleden sonra gitti"</formula>
    </cfRule>
  </conditionalFormatting>
  <conditionalFormatting sqref="I291">
    <cfRule type="cellIs" dxfId="163" priority="163" operator="equal">
      <formula>"ISE CIKMADI"</formula>
    </cfRule>
    <cfRule type="cellIs" dxfId="162" priority="164" operator="equal">
      <formula>"ISE CIKMADI"</formula>
    </cfRule>
  </conditionalFormatting>
  <conditionalFormatting sqref="I291">
    <cfRule type="cellIs" dxfId="161" priority="162" operator="equal">
      <formula>"ISE CIKMADI GECE"</formula>
    </cfRule>
  </conditionalFormatting>
  <conditionalFormatting sqref="I326">
    <cfRule type="cellIs" dxfId="160" priority="161" operator="equal">
      <formula>"ogleden sonra gitti"</formula>
    </cfRule>
  </conditionalFormatting>
  <conditionalFormatting sqref="I326">
    <cfRule type="cellIs" dxfId="159" priority="159" operator="equal">
      <formula>"ISE CIKMADI"</formula>
    </cfRule>
    <cfRule type="cellIs" dxfId="158" priority="160" operator="equal">
      <formula>"ISE CIKMADI"</formula>
    </cfRule>
  </conditionalFormatting>
  <conditionalFormatting sqref="I326">
    <cfRule type="cellIs" dxfId="157" priority="158" operator="equal">
      <formula>"ISE CIKMADI GECE"</formula>
    </cfRule>
  </conditionalFormatting>
  <conditionalFormatting sqref="I344">
    <cfRule type="cellIs" dxfId="152" priority="153" operator="equal">
      <formula>"ogleden sonra gitti"</formula>
    </cfRule>
  </conditionalFormatting>
  <conditionalFormatting sqref="I344">
    <cfRule type="cellIs" dxfId="151" priority="151" operator="equal">
      <formula>"ISE CIKMADI"</formula>
    </cfRule>
    <cfRule type="cellIs" dxfId="150" priority="152" operator="equal">
      <formula>"ISE CIKMADI"</formula>
    </cfRule>
  </conditionalFormatting>
  <conditionalFormatting sqref="I344">
    <cfRule type="cellIs" dxfId="149" priority="150" operator="equal">
      <formula>"ISE CIKMADI GECE"</formula>
    </cfRule>
  </conditionalFormatting>
  <conditionalFormatting sqref="I345">
    <cfRule type="cellIs" dxfId="148" priority="149" operator="equal">
      <formula>"ogleden sonra gitti"</formula>
    </cfRule>
  </conditionalFormatting>
  <conditionalFormatting sqref="I345">
    <cfRule type="cellIs" dxfId="147" priority="147" operator="equal">
      <formula>"ISE CIKMADI"</formula>
    </cfRule>
    <cfRule type="cellIs" dxfId="146" priority="148" operator="equal">
      <formula>"ISE CIKMADI"</formula>
    </cfRule>
  </conditionalFormatting>
  <conditionalFormatting sqref="I345">
    <cfRule type="cellIs" dxfId="145" priority="146" operator="equal">
      <formula>"ISE CIKMADI GECE"</formula>
    </cfRule>
  </conditionalFormatting>
  <conditionalFormatting sqref="I348">
    <cfRule type="cellIs" dxfId="144" priority="145" operator="equal">
      <formula>"ogleden sonra gitti"</formula>
    </cfRule>
  </conditionalFormatting>
  <conditionalFormatting sqref="I348">
    <cfRule type="cellIs" dxfId="143" priority="143" operator="equal">
      <formula>"ISE CIKMADI"</formula>
    </cfRule>
    <cfRule type="cellIs" dxfId="142" priority="144" operator="equal">
      <formula>"ISE CIKMADI"</formula>
    </cfRule>
  </conditionalFormatting>
  <conditionalFormatting sqref="I348">
    <cfRule type="cellIs" dxfId="141" priority="142" operator="equal">
      <formula>"ISE CIKMADI GECE"</formula>
    </cfRule>
  </conditionalFormatting>
  <conditionalFormatting sqref="I281">
    <cfRule type="cellIs" dxfId="140" priority="141" operator="equal">
      <formula>"ogleden sonra gitti"</formula>
    </cfRule>
  </conditionalFormatting>
  <conditionalFormatting sqref="I281">
    <cfRule type="cellIs" dxfId="139" priority="139" operator="equal">
      <formula>"ISE CIKMADI"</formula>
    </cfRule>
    <cfRule type="cellIs" dxfId="138" priority="140" operator="equal">
      <formula>"ISE CIKMADI"</formula>
    </cfRule>
  </conditionalFormatting>
  <conditionalFormatting sqref="I929">
    <cfRule type="cellIs" dxfId="137" priority="138" operator="equal">
      <formula>"ogleden sonra gitti"</formula>
    </cfRule>
  </conditionalFormatting>
  <conditionalFormatting sqref="I929">
    <cfRule type="cellIs" dxfId="136" priority="136" operator="equal">
      <formula>"ISE CIKMADI"</formula>
    </cfRule>
    <cfRule type="cellIs" dxfId="135" priority="137" operator="equal">
      <formula>"ISE CIKMADI"</formula>
    </cfRule>
  </conditionalFormatting>
  <conditionalFormatting sqref="I930">
    <cfRule type="cellIs" dxfId="134" priority="135" operator="equal">
      <formula>"ogleden sonra gitti"</formula>
    </cfRule>
  </conditionalFormatting>
  <conditionalFormatting sqref="I930">
    <cfRule type="cellIs" dxfId="133" priority="133" operator="equal">
      <formula>"ISE CIKMADI"</formula>
    </cfRule>
    <cfRule type="cellIs" dxfId="132" priority="134" operator="equal">
      <formula>"ISE CIKMADI"</formula>
    </cfRule>
  </conditionalFormatting>
  <conditionalFormatting sqref="I931">
    <cfRule type="cellIs" dxfId="131" priority="132" operator="equal">
      <formula>"ogleden sonra gitti"</formula>
    </cfRule>
  </conditionalFormatting>
  <conditionalFormatting sqref="I931">
    <cfRule type="cellIs" dxfId="130" priority="130" operator="equal">
      <formula>"ISE CIKMADI"</formula>
    </cfRule>
    <cfRule type="cellIs" dxfId="129" priority="131" operator="equal">
      <formula>"ISE CIKMADI"</formula>
    </cfRule>
  </conditionalFormatting>
  <conditionalFormatting sqref="I945">
    <cfRule type="cellIs" dxfId="128" priority="129" operator="equal">
      <formula>"ogleden sonra gitti"</formula>
    </cfRule>
  </conditionalFormatting>
  <conditionalFormatting sqref="I945">
    <cfRule type="cellIs" dxfId="127" priority="127" operator="equal">
      <formula>"ISE CIKMADI"</formula>
    </cfRule>
    <cfRule type="cellIs" dxfId="126" priority="128" operator="equal">
      <formula>"ISE CIKMADI"</formula>
    </cfRule>
  </conditionalFormatting>
  <conditionalFormatting sqref="I951">
    <cfRule type="cellIs" dxfId="125" priority="126" operator="equal">
      <formula>"ogleden sonra gitti"</formula>
    </cfRule>
  </conditionalFormatting>
  <conditionalFormatting sqref="I951">
    <cfRule type="cellIs" dxfId="124" priority="124" operator="equal">
      <formula>"ISE CIKMADI"</formula>
    </cfRule>
    <cfRule type="cellIs" dxfId="123" priority="125" operator="equal">
      <formula>"ISE CIKMADI"</formula>
    </cfRule>
  </conditionalFormatting>
  <conditionalFormatting sqref="I985">
    <cfRule type="cellIs" dxfId="122" priority="123" operator="equal">
      <formula>"ogleden sonra gitti"</formula>
    </cfRule>
  </conditionalFormatting>
  <conditionalFormatting sqref="I985">
    <cfRule type="cellIs" dxfId="121" priority="121" operator="equal">
      <formula>"ISE CIKMADI"</formula>
    </cfRule>
    <cfRule type="cellIs" dxfId="120" priority="122" operator="equal">
      <formula>"ISE CIKMADI"</formula>
    </cfRule>
  </conditionalFormatting>
  <conditionalFormatting sqref="I986">
    <cfRule type="cellIs" dxfId="119" priority="120" operator="equal">
      <formula>"ogleden sonra gitti"</formula>
    </cfRule>
  </conditionalFormatting>
  <conditionalFormatting sqref="I986">
    <cfRule type="cellIs" dxfId="118" priority="118" operator="equal">
      <formula>"ISE CIKMADI"</formula>
    </cfRule>
    <cfRule type="cellIs" dxfId="117" priority="119" operator="equal">
      <formula>"ISE CIKMADI"</formula>
    </cfRule>
  </conditionalFormatting>
  <conditionalFormatting sqref="I991">
    <cfRule type="cellIs" dxfId="116" priority="117" operator="equal">
      <formula>"ogleden sonra gitti"</formula>
    </cfRule>
  </conditionalFormatting>
  <conditionalFormatting sqref="I991">
    <cfRule type="cellIs" dxfId="115" priority="115" operator="equal">
      <formula>"ISE CIKMADI"</formula>
    </cfRule>
    <cfRule type="cellIs" dxfId="114" priority="116" operator="equal">
      <formula>"ISE CIKMADI"</formula>
    </cfRule>
  </conditionalFormatting>
  <conditionalFormatting sqref="I733">
    <cfRule type="cellIs" dxfId="113" priority="114" operator="equal">
      <formula>"ogleden sonra gitti"</formula>
    </cfRule>
  </conditionalFormatting>
  <conditionalFormatting sqref="I733">
    <cfRule type="cellIs" dxfId="112" priority="112" operator="equal">
      <formula>"ISE CIKMADI"</formula>
    </cfRule>
    <cfRule type="cellIs" dxfId="111" priority="113" operator="equal">
      <formula>"ISE CIKMADI"</formula>
    </cfRule>
  </conditionalFormatting>
  <conditionalFormatting sqref="I734">
    <cfRule type="cellIs" dxfId="110" priority="111" operator="equal">
      <formula>"ogleden sonra gitti"</formula>
    </cfRule>
  </conditionalFormatting>
  <conditionalFormatting sqref="I734">
    <cfRule type="cellIs" dxfId="109" priority="109" operator="equal">
      <formula>"ISE CIKMADI"</formula>
    </cfRule>
    <cfRule type="cellIs" dxfId="108" priority="110" operator="equal">
      <formula>"ISE CIKMADI"</formula>
    </cfRule>
  </conditionalFormatting>
  <conditionalFormatting sqref="I737">
    <cfRule type="cellIs" dxfId="107" priority="108" operator="equal">
      <formula>"ogleden sonra gitti"</formula>
    </cfRule>
  </conditionalFormatting>
  <conditionalFormatting sqref="I737">
    <cfRule type="cellIs" dxfId="106" priority="106" operator="equal">
      <formula>"ISE CIKMADI"</formula>
    </cfRule>
    <cfRule type="cellIs" dxfId="105" priority="107" operator="equal">
      <formula>"ISE CIKMADI"</formula>
    </cfRule>
  </conditionalFormatting>
  <conditionalFormatting sqref="I744">
    <cfRule type="cellIs" dxfId="104" priority="105" operator="equal">
      <formula>"ogleden sonra gitti"</formula>
    </cfRule>
  </conditionalFormatting>
  <conditionalFormatting sqref="I744">
    <cfRule type="cellIs" dxfId="103" priority="103" operator="equal">
      <formula>"ISE CIKMADI"</formula>
    </cfRule>
    <cfRule type="cellIs" dxfId="102" priority="104" operator="equal">
      <formula>"ISE CIKMADI"</formula>
    </cfRule>
  </conditionalFormatting>
  <conditionalFormatting sqref="I747">
    <cfRule type="cellIs" dxfId="101" priority="102" operator="equal">
      <formula>"ogleden sonra gitti"</formula>
    </cfRule>
  </conditionalFormatting>
  <conditionalFormatting sqref="I747">
    <cfRule type="cellIs" dxfId="100" priority="100" operator="equal">
      <formula>"ISE CIKMADI"</formula>
    </cfRule>
    <cfRule type="cellIs" dxfId="99" priority="101" operator="equal">
      <formula>"ISE CIKMADI"</formula>
    </cfRule>
  </conditionalFormatting>
  <conditionalFormatting sqref="I748">
    <cfRule type="cellIs" dxfId="98" priority="99" operator="equal">
      <formula>"ogleden sonra gitti"</formula>
    </cfRule>
  </conditionalFormatting>
  <conditionalFormatting sqref="I748">
    <cfRule type="cellIs" dxfId="97" priority="97" operator="equal">
      <formula>"ISE CIKMADI"</formula>
    </cfRule>
    <cfRule type="cellIs" dxfId="96" priority="98" operator="equal">
      <formula>"ISE CIKMADI"</formula>
    </cfRule>
  </conditionalFormatting>
  <conditionalFormatting sqref="I1385">
    <cfRule type="cellIs" dxfId="95" priority="96" operator="equal">
      <formula>"ogleden sonra gitti"</formula>
    </cfRule>
  </conditionalFormatting>
  <conditionalFormatting sqref="I1385">
    <cfRule type="cellIs" dxfId="94" priority="94" operator="equal">
      <formula>"ISE CIKMADI"</formula>
    </cfRule>
    <cfRule type="cellIs" dxfId="93" priority="95" operator="equal">
      <formula>"ISE CIKMADI"</formula>
    </cfRule>
  </conditionalFormatting>
  <conditionalFormatting sqref="I1392">
    <cfRule type="cellIs" dxfId="92" priority="93" operator="equal">
      <formula>"ogleden sonra gitti"</formula>
    </cfRule>
  </conditionalFormatting>
  <conditionalFormatting sqref="I1392">
    <cfRule type="cellIs" dxfId="91" priority="91" operator="equal">
      <formula>"ISE CIKMADI"</formula>
    </cfRule>
    <cfRule type="cellIs" dxfId="90" priority="92" operator="equal">
      <formula>"ISE CIKMADI"</formula>
    </cfRule>
  </conditionalFormatting>
  <conditionalFormatting sqref="I1393">
    <cfRule type="cellIs" dxfId="89" priority="90" operator="equal">
      <formula>"ogleden sonra gitti"</formula>
    </cfRule>
  </conditionalFormatting>
  <conditionalFormatting sqref="I1393">
    <cfRule type="cellIs" dxfId="88" priority="88" operator="equal">
      <formula>"ISE CIKMADI"</formula>
    </cfRule>
    <cfRule type="cellIs" dxfId="87" priority="89" operator="equal">
      <formula>"ISE CIKMADI"</formula>
    </cfRule>
  </conditionalFormatting>
  <conditionalFormatting sqref="I1395">
    <cfRule type="cellIs" dxfId="86" priority="87" operator="equal">
      <formula>"ogleden sonra gitti"</formula>
    </cfRule>
  </conditionalFormatting>
  <conditionalFormatting sqref="I1395">
    <cfRule type="cellIs" dxfId="85" priority="85" operator="equal">
      <formula>"ISE CIKMADI"</formula>
    </cfRule>
    <cfRule type="cellIs" dxfId="84" priority="86" operator="equal">
      <formula>"ISE CIKMADI"</formula>
    </cfRule>
  </conditionalFormatting>
  <conditionalFormatting sqref="I1035">
    <cfRule type="cellIs" dxfId="83" priority="84" operator="equal">
      <formula>"ogleden sonra gitti"</formula>
    </cfRule>
  </conditionalFormatting>
  <conditionalFormatting sqref="I1035">
    <cfRule type="cellIs" dxfId="82" priority="82" operator="equal">
      <formula>"ISE CIKMADI"</formula>
    </cfRule>
    <cfRule type="cellIs" dxfId="81" priority="83" operator="equal">
      <formula>"ISE CIKMADI"</formula>
    </cfRule>
  </conditionalFormatting>
  <conditionalFormatting sqref="I1038">
    <cfRule type="cellIs" dxfId="80" priority="81" operator="equal">
      <formula>"ogleden sonra gitti"</formula>
    </cfRule>
  </conditionalFormatting>
  <conditionalFormatting sqref="I1038">
    <cfRule type="cellIs" dxfId="79" priority="79" operator="equal">
      <formula>"ISE CIKMADI"</formula>
    </cfRule>
    <cfRule type="cellIs" dxfId="78" priority="80" operator="equal">
      <formula>"ISE CIKMADI"</formula>
    </cfRule>
  </conditionalFormatting>
  <conditionalFormatting sqref="I1045">
    <cfRule type="cellIs" dxfId="77" priority="78" operator="equal">
      <formula>"ogleden sonra gitti"</formula>
    </cfRule>
  </conditionalFormatting>
  <conditionalFormatting sqref="I1045">
    <cfRule type="cellIs" dxfId="76" priority="76" operator="equal">
      <formula>"ISE CIKMADI"</formula>
    </cfRule>
    <cfRule type="cellIs" dxfId="75" priority="77" operator="equal">
      <formula>"ISE CIKMADI"</formula>
    </cfRule>
  </conditionalFormatting>
  <conditionalFormatting sqref="I1058">
    <cfRule type="cellIs" dxfId="74" priority="75" operator="equal">
      <formula>"ogleden sonra gitti"</formula>
    </cfRule>
  </conditionalFormatting>
  <conditionalFormatting sqref="I1058">
    <cfRule type="cellIs" dxfId="73" priority="73" operator="equal">
      <formula>"ISE CIKMADI"</formula>
    </cfRule>
    <cfRule type="cellIs" dxfId="72" priority="74" operator="equal">
      <formula>"ISE CIKMADI"</formula>
    </cfRule>
  </conditionalFormatting>
  <conditionalFormatting sqref="I1059">
    <cfRule type="cellIs" dxfId="71" priority="72" operator="equal">
      <formula>"ogleden sonra gitti"</formula>
    </cfRule>
  </conditionalFormatting>
  <conditionalFormatting sqref="I1059">
    <cfRule type="cellIs" dxfId="70" priority="70" operator="equal">
      <formula>"ISE CIKMADI"</formula>
    </cfRule>
    <cfRule type="cellIs" dxfId="69" priority="71" operator="equal">
      <formula>"ISE CIKMADI"</formula>
    </cfRule>
  </conditionalFormatting>
  <conditionalFormatting sqref="I888">
    <cfRule type="cellIs" dxfId="68" priority="69" operator="equal">
      <formula>"ogleden sonra gitti"</formula>
    </cfRule>
  </conditionalFormatting>
  <conditionalFormatting sqref="I888">
    <cfRule type="cellIs" dxfId="67" priority="67" operator="equal">
      <formula>"ISE CIKMADI"</formula>
    </cfRule>
    <cfRule type="cellIs" dxfId="66" priority="68" operator="equal">
      <formula>"ISE CIKMADI"</formula>
    </cfRule>
  </conditionalFormatting>
  <conditionalFormatting sqref="I898">
    <cfRule type="cellIs" dxfId="65" priority="66" operator="equal">
      <formula>"ogleden sonra gitti"</formula>
    </cfRule>
  </conditionalFormatting>
  <conditionalFormatting sqref="I898">
    <cfRule type="cellIs" dxfId="64" priority="64" operator="equal">
      <formula>"ISE CIKMADI"</formula>
    </cfRule>
    <cfRule type="cellIs" dxfId="63" priority="65" operator="equal">
      <formula>"ISE CIKMADI"</formula>
    </cfRule>
  </conditionalFormatting>
  <conditionalFormatting sqref="I900">
    <cfRule type="cellIs" dxfId="62" priority="63" operator="equal">
      <formula>"ogleden sonra gitti"</formula>
    </cfRule>
  </conditionalFormatting>
  <conditionalFormatting sqref="I900">
    <cfRule type="cellIs" dxfId="61" priority="61" operator="equal">
      <formula>"ISE CIKMADI"</formula>
    </cfRule>
    <cfRule type="cellIs" dxfId="60" priority="62" operator="equal">
      <formula>"ISE CIKMADI"</formula>
    </cfRule>
  </conditionalFormatting>
  <conditionalFormatting sqref="I164">
    <cfRule type="cellIs" dxfId="59" priority="58" operator="equal">
      <formula>"ISE CIKMADI"</formula>
    </cfRule>
    <cfRule type="cellIs" dxfId="58" priority="59" operator="equal">
      <formula>"ISE CIKMADI"</formula>
    </cfRule>
  </conditionalFormatting>
  <conditionalFormatting sqref="I164">
    <cfRule type="cellIs" dxfId="57" priority="60" operator="equal">
      <formula>"ogleden sonra gitti"</formula>
    </cfRule>
  </conditionalFormatting>
  <conditionalFormatting sqref="I154">
    <cfRule type="cellIs" dxfId="56" priority="57" operator="equal">
      <formula>"ogleden sonra gitti"</formula>
    </cfRule>
  </conditionalFormatting>
  <conditionalFormatting sqref="I154">
    <cfRule type="cellIs" dxfId="55" priority="55" operator="equal">
      <formula>"ISE CIKMADI"</formula>
    </cfRule>
    <cfRule type="cellIs" dxfId="54" priority="56" operator="equal">
      <formula>"ISE CIKMADI"</formula>
    </cfRule>
  </conditionalFormatting>
  <conditionalFormatting sqref="I1180">
    <cfRule type="cellIs" dxfId="53" priority="54" operator="equal">
      <formula>"ogleden sonra gitti"</formula>
    </cfRule>
  </conditionalFormatting>
  <conditionalFormatting sqref="I1180">
    <cfRule type="cellIs" dxfId="52" priority="52" operator="equal">
      <formula>"ISE CIKMADI"</formula>
    </cfRule>
    <cfRule type="cellIs" dxfId="51" priority="53" operator="equal">
      <formula>"ISE CIKMADI"</formula>
    </cfRule>
  </conditionalFormatting>
  <conditionalFormatting sqref="I503">
    <cfRule type="cellIs" dxfId="50" priority="51" operator="equal">
      <formula>"ogleden sonra gitti"</formula>
    </cfRule>
  </conditionalFormatting>
  <conditionalFormatting sqref="I503">
    <cfRule type="cellIs" dxfId="49" priority="49" operator="equal">
      <formula>"ISE CIKMADI"</formula>
    </cfRule>
    <cfRule type="cellIs" dxfId="48" priority="50" operator="equal">
      <formula>"ISE CIKMADI"</formula>
    </cfRule>
  </conditionalFormatting>
  <conditionalFormatting sqref="I504">
    <cfRule type="cellIs" dxfId="47" priority="48" operator="equal">
      <formula>"ogleden sonra gitti"</formula>
    </cfRule>
  </conditionalFormatting>
  <conditionalFormatting sqref="I504">
    <cfRule type="cellIs" dxfId="46" priority="46" operator="equal">
      <formula>"ISE CIKMADI"</formula>
    </cfRule>
    <cfRule type="cellIs" dxfId="45" priority="47" operator="equal">
      <formula>"ISE CIKMADI"</formula>
    </cfRule>
  </conditionalFormatting>
  <conditionalFormatting sqref="I416">
    <cfRule type="cellIs" dxfId="41" priority="42" operator="equal">
      <formula>"ogleden sonra gitti"</formula>
    </cfRule>
  </conditionalFormatting>
  <conditionalFormatting sqref="I416">
    <cfRule type="cellIs" dxfId="40" priority="40" operator="equal">
      <formula>"ISE CIKMADI"</formula>
    </cfRule>
    <cfRule type="cellIs" dxfId="39" priority="41" operator="equal">
      <formula>"ISE CIKMADI"</formula>
    </cfRule>
  </conditionalFormatting>
  <conditionalFormatting sqref="I418">
    <cfRule type="cellIs" dxfId="38" priority="39" operator="equal">
      <formula>"ogleden sonra gitti"</formula>
    </cfRule>
  </conditionalFormatting>
  <conditionalFormatting sqref="I418">
    <cfRule type="cellIs" dxfId="37" priority="37" operator="equal">
      <formula>"ISE CIKMADI"</formula>
    </cfRule>
    <cfRule type="cellIs" dxfId="36" priority="38" operator="equal">
      <formula>"ISE CIKMADI"</formula>
    </cfRule>
  </conditionalFormatting>
  <conditionalFormatting sqref="I419">
    <cfRule type="cellIs" dxfId="35" priority="36" operator="equal">
      <formula>"ogleden sonra gitti"</formula>
    </cfRule>
  </conditionalFormatting>
  <conditionalFormatting sqref="I419">
    <cfRule type="cellIs" dxfId="34" priority="34" operator="equal">
      <formula>"ISE CIKMADI"</formula>
    </cfRule>
    <cfRule type="cellIs" dxfId="33" priority="35" operator="equal">
      <formula>"ISE CIKMADI"</formula>
    </cfRule>
  </conditionalFormatting>
  <conditionalFormatting sqref="I420">
    <cfRule type="cellIs" dxfId="32" priority="33" operator="equal">
      <formula>"ogleden sonra gitti"</formula>
    </cfRule>
  </conditionalFormatting>
  <conditionalFormatting sqref="I420">
    <cfRule type="cellIs" dxfId="31" priority="31" operator="equal">
      <formula>"ISE CIKMADI"</formula>
    </cfRule>
    <cfRule type="cellIs" dxfId="30" priority="32" operator="equal">
      <formula>"ISE CIKMADI"</formula>
    </cfRule>
  </conditionalFormatting>
  <conditionalFormatting sqref="I439">
    <cfRule type="cellIs" dxfId="17" priority="18" operator="equal">
      <formula>"ogleden sonra gitti"</formula>
    </cfRule>
  </conditionalFormatting>
  <conditionalFormatting sqref="I439">
    <cfRule type="cellIs" dxfId="16" priority="16" operator="equal">
      <formula>"ISE CIKMADI"</formula>
    </cfRule>
    <cfRule type="cellIs" dxfId="15" priority="17" operator="equal">
      <formula>"ISE CIKMADI"</formula>
    </cfRule>
  </conditionalFormatting>
  <conditionalFormatting sqref="I1557">
    <cfRule type="cellIs" dxfId="14" priority="15" operator="equal">
      <formula>"ogleden sonra gitti"</formula>
    </cfRule>
  </conditionalFormatting>
  <conditionalFormatting sqref="I1557">
    <cfRule type="cellIs" dxfId="13" priority="13" operator="equal">
      <formula>"ISE CIKMADI"</formula>
    </cfRule>
    <cfRule type="cellIs" dxfId="12" priority="14" operator="equal">
      <formula>"ISE CIKMADI"</formula>
    </cfRule>
  </conditionalFormatting>
  <conditionalFormatting sqref="I1557">
    <cfRule type="cellIs" dxfId="11" priority="12" operator="equal">
      <formula>"ogleden sonra gitti"</formula>
    </cfRule>
  </conditionalFormatting>
  <conditionalFormatting sqref="I1557">
    <cfRule type="cellIs" dxfId="10" priority="10" operator="equal">
      <formula>"ISE CIKMADI"</formula>
    </cfRule>
    <cfRule type="cellIs" dxfId="9" priority="11" operator="equal">
      <formula>"ISE CIKMADI"</formula>
    </cfRule>
  </conditionalFormatting>
  <conditionalFormatting sqref="I1475">
    <cfRule type="cellIs" dxfId="8" priority="9" operator="equal">
      <formula>"ogleden sonra gitti"</formula>
    </cfRule>
  </conditionalFormatting>
  <conditionalFormatting sqref="I1475">
    <cfRule type="cellIs" dxfId="7" priority="7" operator="equal">
      <formula>"ISE CIKMADI"</formula>
    </cfRule>
    <cfRule type="cellIs" dxfId="6" priority="8" operator="equal">
      <formula>"ISE CIKMADI"</formula>
    </cfRule>
  </conditionalFormatting>
  <conditionalFormatting sqref="I130">
    <cfRule type="cellIs" dxfId="5" priority="6" operator="equal">
      <formula>"ogleden sonra gitti"</formula>
    </cfRule>
  </conditionalFormatting>
  <conditionalFormatting sqref="I130">
    <cfRule type="cellIs" dxfId="4" priority="4" operator="equal">
      <formula>"ISE CIKMADI"</formula>
    </cfRule>
    <cfRule type="cellIs" dxfId="3" priority="5" operator="equal">
      <formula>"ISE CIKMADI"</formula>
    </cfRule>
  </conditionalFormatting>
  <conditionalFormatting sqref="I564">
    <cfRule type="cellIs" dxfId="2" priority="3" operator="equal">
      <formula>"ogleden sonra gitti"</formula>
    </cfRule>
  </conditionalFormatting>
  <conditionalFormatting sqref="I564">
    <cfRule type="cellIs" dxfId="1" priority="1" operator="equal">
      <formula>"ISE CIKMADI"</formula>
    </cfRule>
    <cfRule type="cellIs" dxfId="0" priority="2" operator="equal">
      <formula>"ISE CIKMADI"</formula>
    </cfRule>
  </conditionalFormatting>
  <pageMargins left="0.25" right="0.25" top="0.75" bottom="0.75" header="0.3" footer="0.3"/>
  <pageSetup paperSize="9" scale="30" fitToHeight="0" orientation="portrait" r:id="rId1"/>
  <rowBreaks count="1" manualBreakCount="1">
    <brk id="160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21" sqref="J2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O80"/>
  <sheetViews>
    <sheetView topLeftCell="A58" workbookViewId="0">
      <selection activeCell="I71" sqref="I71"/>
    </sheetView>
  </sheetViews>
  <sheetFormatPr defaultRowHeight="15"/>
  <cols>
    <col min="6" max="6" width="46" customWidth="1"/>
  </cols>
  <sheetData>
    <row r="3" spans="3:15" ht="23.25">
      <c r="C3" s="10">
        <v>4267</v>
      </c>
      <c r="D3" s="50" t="s">
        <v>318</v>
      </c>
      <c r="E3" s="50" t="s">
        <v>319</v>
      </c>
      <c r="F3" s="51" t="s">
        <v>256</v>
      </c>
      <c r="G3" s="30" t="s">
        <v>78</v>
      </c>
      <c r="H3" s="30"/>
      <c r="I3" s="30"/>
      <c r="J3" s="49" t="s">
        <v>255</v>
      </c>
      <c r="K3" s="196"/>
      <c r="L3" s="197">
        <v>1</v>
      </c>
      <c r="M3" s="197"/>
      <c r="N3" s="198"/>
      <c r="O3" s="198"/>
    </row>
    <row r="4" spans="3:15" ht="23.25">
      <c r="C4" s="10">
        <v>4268</v>
      </c>
      <c r="D4" s="50" t="s">
        <v>320</v>
      </c>
      <c r="E4" s="50" t="s">
        <v>321</v>
      </c>
      <c r="F4" s="51" t="s">
        <v>256</v>
      </c>
      <c r="G4" s="30" t="s">
        <v>78</v>
      </c>
      <c r="H4" s="30"/>
      <c r="I4" s="30"/>
      <c r="J4" s="49" t="s">
        <v>255</v>
      </c>
      <c r="K4" s="196"/>
      <c r="L4" s="197">
        <v>1</v>
      </c>
      <c r="M4" s="197"/>
      <c r="N4" s="198"/>
      <c r="O4" s="198"/>
    </row>
    <row r="5" spans="3:15" ht="23.25">
      <c r="C5" s="10">
        <v>5134</v>
      </c>
      <c r="D5" s="50" t="s">
        <v>322</v>
      </c>
      <c r="E5" s="50" t="s">
        <v>323</v>
      </c>
      <c r="F5" s="51" t="s">
        <v>256</v>
      </c>
      <c r="G5" s="30">
        <v>0</v>
      </c>
      <c r="H5" s="30"/>
      <c r="I5" s="30"/>
      <c r="J5" s="189" t="s">
        <v>118</v>
      </c>
      <c r="K5" s="196"/>
      <c r="L5" s="197">
        <v>0</v>
      </c>
      <c r="M5" s="199"/>
      <c r="N5" s="197">
        <v>1</v>
      </c>
      <c r="O5" s="198"/>
    </row>
    <row r="6" spans="3:15" ht="23.25">
      <c r="C6" s="10">
        <v>5268</v>
      </c>
      <c r="D6" s="185" t="s">
        <v>324</v>
      </c>
      <c r="E6" s="50" t="s">
        <v>325</v>
      </c>
      <c r="F6" s="51" t="s">
        <v>256</v>
      </c>
      <c r="G6" s="30">
        <v>0</v>
      </c>
      <c r="H6" s="30"/>
      <c r="I6" s="30"/>
      <c r="J6" s="189" t="s">
        <v>34</v>
      </c>
      <c r="K6" s="196"/>
      <c r="L6" s="197">
        <v>0</v>
      </c>
      <c r="M6" s="199"/>
      <c r="N6" s="197">
        <v>1</v>
      </c>
      <c r="O6" s="200"/>
    </row>
    <row r="7" spans="3:15" ht="23.25">
      <c r="C7" s="10">
        <v>5652</v>
      </c>
      <c r="D7" s="50" t="s">
        <v>330</v>
      </c>
      <c r="E7" s="50" t="s">
        <v>331</v>
      </c>
      <c r="F7" s="51" t="s">
        <v>259</v>
      </c>
      <c r="G7" s="30">
        <v>7.5</v>
      </c>
      <c r="H7" s="30">
        <v>2.5</v>
      </c>
      <c r="I7" s="30">
        <f t="shared" ref="I7:I43" si="0">IF(H7&gt;0,(H7*1.5)+G7,"YOK")</f>
        <v>11.25</v>
      </c>
      <c r="J7" s="49" t="s">
        <v>792</v>
      </c>
      <c r="K7" s="196"/>
      <c r="L7" s="197">
        <v>1</v>
      </c>
      <c r="M7" s="197"/>
      <c r="N7" s="198"/>
      <c r="O7" s="198"/>
    </row>
    <row r="8" spans="3:15" ht="23.25">
      <c r="C8" s="10">
        <v>4278</v>
      </c>
      <c r="D8" s="185" t="s">
        <v>328</v>
      </c>
      <c r="E8" s="50" t="s">
        <v>329</v>
      </c>
      <c r="F8" s="51" t="s">
        <v>259</v>
      </c>
      <c r="G8" s="30">
        <v>7.5</v>
      </c>
      <c r="H8" s="30">
        <v>2.5</v>
      </c>
      <c r="I8" s="30">
        <f t="shared" si="0"/>
        <v>11.25</v>
      </c>
      <c r="J8" s="49" t="s">
        <v>792</v>
      </c>
      <c r="K8" s="196"/>
      <c r="L8" s="197">
        <v>1</v>
      </c>
      <c r="M8" s="197"/>
      <c r="N8" s="198"/>
      <c r="O8" s="198"/>
    </row>
    <row r="9" spans="3:15" ht="23.25">
      <c r="C9" s="10">
        <v>5271</v>
      </c>
      <c r="D9" s="185" t="s">
        <v>340</v>
      </c>
      <c r="E9" s="50" t="s">
        <v>341</v>
      </c>
      <c r="F9" s="51" t="s">
        <v>260</v>
      </c>
      <c r="G9" s="30">
        <v>7.5</v>
      </c>
      <c r="H9" s="30">
        <v>2.5</v>
      </c>
      <c r="I9" s="30">
        <f t="shared" si="0"/>
        <v>11.25</v>
      </c>
      <c r="J9" s="49" t="s">
        <v>792</v>
      </c>
      <c r="K9" s="196"/>
      <c r="L9" s="197">
        <v>1</v>
      </c>
      <c r="M9" s="197"/>
      <c r="N9" s="198"/>
      <c r="O9" s="198"/>
    </row>
    <row r="10" spans="3:15" ht="23.25">
      <c r="C10" s="10">
        <v>5047</v>
      </c>
      <c r="D10" s="185" t="s">
        <v>359</v>
      </c>
      <c r="E10" s="50" t="s">
        <v>360</v>
      </c>
      <c r="F10" s="51" t="s">
        <v>261</v>
      </c>
      <c r="G10" s="30">
        <v>7.5</v>
      </c>
      <c r="H10" s="30">
        <v>2.5</v>
      </c>
      <c r="I10" s="30">
        <f t="shared" si="0"/>
        <v>11.25</v>
      </c>
      <c r="J10" s="49" t="s">
        <v>792</v>
      </c>
      <c r="K10" s="196"/>
      <c r="L10" s="197">
        <v>1</v>
      </c>
      <c r="M10" s="197"/>
      <c r="N10" s="198"/>
      <c r="O10" s="198"/>
    </row>
    <row r="11" spans="3:15" ht="23.25">
      <c r="C11" s="10">
        <v>5424</v>
      </c>
      <c r="D11" s="185" t="s">
        <v>820</v>
      </c>
      <c r="E11" s="50" t="s">
        <v>821</v>
      </c>
      <c r="F11" s="51" t="s">
        <v>261</v>
      </c>
      <c r="G11" s="30">
        <v>7.5</v>
      </c>
      <c r="H11" s="30">
        <v>2.5</v>
      </c>
      <c r="I11" s="30">
        <f t="shared" si="0"/>
        <v>11.25</v>
      </c>
      <c r="J11" s="49" t="s">
        <v>792</v>
      </c>
      <c r="K11" s="196"/>
      <c r="L11" s="197">
        <v>1</v>
      </c>
      <c r="M11" s="197"/>
      <c r="N11" s="198"/>
      <c r="O11" s="198"/>
    </row>
    <row r="12" spans="3:15" ht="23.25">
      <c r="C12" s="10">
        <v>4633</v>
      </c>
      <c r="D12" s="185" t="s">
        <v>352</v>
      </c>
      <c r="E12" s="50" t="s">
        <v>353</v>
      </c>
      <c r="F12" s="51" t="s">
        <v>261</v>
      </c>
      <c r="G12" s="30">
        <v>7.5</v>
      </c>
      <c r="H12" s="30">
        <v>2.5</v>
      </c>
      <c r="I12" s="30">
        <f t="shared" si="0"/>
        <v>11.25</v>
      </c>
      <c r="J12" s="49" t="s">
        <v>794</v>
      </c>
      <c r="K12" s="196"/>
      <c r="L12" s="197">
        <v>1</v>
      </c>
      <c r="M12" s="197"/>
      <c r="N12" s="198"/>
      <c r="O12" s="200"/>
    </row>
    <row r="13" spans="3:15" ht="23.25">
      <c r="C13" s="10">
        <v>5445</v>
      </c>
      <c r="D13" s="185" t="s">
        <v>840</v>
      </c>
      <c r="E13" s="50" t="s">
        <v>841</v>
      </c>
      <c r="F13" s="51" t="s">
        <v>261</v>
      </c>
      <c r="G13" s="30">
        <v>7.5</v>
      </c>
      <c r="H13" s="30">
        <v>2.5</v>
      </c>
      <c r="I13" s="30">
        <f t="shared" si="0"/>
        <v>11.25</v>
      </c>
      <c r="J13" s="49" t="s">
        <v>794</v>
      </c>
      <c r="K13" s="196"/>
      <c r="L13" s="197">
        <v>1</v>
      </c>
      <c r="M13" s="197"/>
      <c r="N13" s="198"/>
      <c r="O13" s="200"/>
    </row>
    <row r="14" spans="3:15" ht="23.25">
      <c r="C14" s="10">
        <v>4998</v>
      </c>
      <c r="D14" s="185" t="s">
        <v>357</v>
      </c>
      <c r="E14" s="50" t="s">
        <v>358</v>
      </c>
      <c r="F14" s="51" t="s">
        <v>261</v>
      </c>
      <c r="G14" s="30">
        <v>7.5</v>
      </c>
      <c r="H14" s="30">
        <v>2.5</v>
      </c>
      <c r="I14" s="30">
        <f t="shared" si="0"/>
        <v>11.25</v>
      </c>
      <c r="J14" s="49" t="s">
        <v>794</v>
      </c>
      <c r="K14" s="196"/>
      <c r="L14" s="197">
        <v>1</v>
      </c>
      <c r="M14" s="197"/>
      <c r="N14" s="198"/>
      <c r="O14" s="200"/>
    </row>
    <row r="15" spans="3:15" ht="23.25">
      <c r="C15" s="10">
        <v>5715</v>
      </c>
      <c r="D15" s="185" t="s">
        <v>1172</v>
      </c>
      <c r="E15" s="50" t="s">
        <v>1173</v>
      </c>
      <c r="F15" s="51" t="s">
        <v>261</v>
      </c>
      <c r="G15" s="30">
        <v>7.5</v>
      </c>
      <c r="H15" s="30">
        <v>2.5</v>
      </c>
      <c r="I15" s="30">
        <f t="shared" si="0"/>
        <v>11.25</v>
      </c>
      <c r="J15" s="49" t="s">
        <v>794</v>
      </c>
      <c r="K15" s="196"/>
      <c r="L15" s="197">
        <v>1</v>
      </c>
      <c r="M15" s="197"/>
      <c r="N15" s="198"/>
      <c r="O15" s="200"/>
    </row>
    <row r="16" spans="3:15" ht="23.25">
      <c r="C16" s="10">
        <v>5713</v>
      </c>
      <c r="D16" s="185" t="s">
        <v>1176</v>
      </c>
      <c r="E16" s="50" t="s">
        <v>1177</v>
      </c>
      <c r="F16" s="51" t="s">
        <v>261</v>
      </c>
      <c r="G16" s="30">
        <v>7.5</v>
      </c>
      <c r="H16" s="30">
        <v>2.5</v>
      </c>
      <c r="I16" s="30">
        <f t="shared" si="0"/>
        <v>11.25</v>
      </c>
      <c r="J16" s="49" t="s">
        <v>794</v>
      </c>
      <c r="K16" s="196"/>
      <c r="L16" s="197">
        <v>1</v>
      </c>
      <c r="M16" s="197"/>
      <c r="N16" s="198"/>
      <c r="O16" s="200"/>
    </row>
    <row r="17" spans="3:15" ht="23.25">
      <c r="C17" s="10">
        <v>5719</v>
      </c>
      <c r="D17" s="185" t="s">
        <v>1190</v>
      </c>
      <c r="E17" s="50" t="s">
        <v>1191</v>
      </c>
      <c r="F17" s="51" t="s">
        <v>261</v>
      </c>
      <c r="G17" s="30">
        <v>7.5</v>
      </c>
      <c r="H17" s="30">
        <v>2.5</v>
      </c>
      <c r="I17" s="30">
        <f t="shared" si="0"/>
        <v>11.25</v>
      </c>
      <c r="J17" s="49" t="s">
        <v>794</v>
      </c>
      <c r="K17" s="196"/>
      <c r="L17" s="197">
        <v>1</v>
      </c>
      <c r="M17" s="197"/>
      <c r="N17" s="198"/>
      <c r="O17" s="200"/>
    </row>
    <row r="18" spans="3:15" ht="23.25">
      <c r="C18" s="10">
        <v>5105</v>
      </c>
      <c r="D18" s="185" t="s">
        <v>356</v>
      </c>
      <c r="E18" s="50" t="s">
        <v>900</v>
      </c>
      <c r="F18" s="51" t="s">
        <v>261</v>
      </c>
      <c r="G18" s="30">
        <v>7.5</v>
      </c>
      <c r="H18" s="30">
        <v>2.5</v>
      </c>
      <c r="I18" s="30">
        <f t="shared" si="0"/>
        <v>11.25</v>
      </c>
      <c r="J18" s="49" t="s">
        <v>793</v>
      </c>
      <c r="K18" s="196"/>
      <c r="L18" s="197">
        <v>1</v>
      </c>
      <c r="M18" s="197"/>
      <c r="N18" s="198"/>
      <c r="O18" s="198"/>
    </row>
    <row r="19" spans="3:15" ht="23.25">
      <c r="C19" s="10">
        <v>4638</v>
      </c>
      <c r="D19" s="185" t="s">
        <v>354</v>
      </c>
      <c r="E19" s="50" t="s">
        <v>355</v>
      </c>
      <c r="F19" s="51" t="s">
        <v>261</v>
      </c>
      <c r="G19" s="30">
        <v>7.5</v>
      </c>
      <c r="H19" s="30">
        <v>2.5</v>
      </c>
      <c r="I19" s="30">
        <f t="shared" si="0"/>
        <v>11.25</v>
      </c>
      <c r="J19" s="49" t="s">
        <v>793</v>
      </c>
      <c r="K19" s="196"/>
      <c r="L19" s="197">
        <v>1</v>
      </c>
      <c r="M19" s="197"/>
      <c r="N19" s="198"/>
      <c r="O19" s="200"/>
    </row>
    <row r="20" spans="3:15" ht="23.25">
      <c r="C20" s="10">
        <v>4635</v>
      </c>
      <c r="D20" s="185" t="s">
        <v>417</v>
      </c>
      <c r="E20" s="50" t="s">
        <v>418</v>
      </c>
      <c r="F20" s="51" t="s">
        <v>261</v>
      </c>
      <c r="G20" s="30">
        <v>0</v>
      </c>
      <c r="H20" s="30">
        <v>0</v>
      </c>
      <c r="I20" s="30" t="str">
        <f t="shared" si="0"/>
        <v>YOK</v>
      </c>
      <c r="J20" s="16" t="s">
        <v>1185</v>
      </c>
      <c r="K20" s="196">
        <v>1</v>
      </c>
      <c r="L20" s="197">
        <v>0</v>
      </c>
      <c r="M20" s="201"/>
      <c r="N20" s="202"/>
      <c r="O20" s="198"/>
    </row>
    <row r="21" spans="3:15" ht="23.25">
      <c r="C21" s="10">
        <v>5714</v>
      </c>
      <c r="D21" s="185" t="s">
        <v>1175</v>
      </c>
      <c r="E21" s="50" t="s">
        <v>1174</v>
      </c>
      <c r="F21" s="51" t="s">
        <v>261</v>
      </c>
      <c r="G21" s="30">
        <v>0</v>
      </c>
      <c r="H21" s="30">
        <v>0</v>
      </c>
      <c r="I21" s="30" t="str">
        <f t="shared" si="0"/>
        <v>YOK</v>
      </c>
      <c r="J21" s="16" t="s">
        <v>1185</v>
      </c>
      <c r="K21" s="196">
        <v>1</v>
      </c>
      <c r="L21" s="197">
        <v>0</v>
      </c>
      <c r="M21" s="201"/>
      <c r="N21" s="202"/>
      <c r="O21" s="198"/>
    </row>
    <row r="22" spans="3:15" ht="23.25">
      <c r="C22" s="10">
        <v>4687</v>
      </c>
      <c r="D22" s="185" t="s">
        <v>363</v>
      </c>
      <c r="E22" s="50" t="s">
        <v>364</v>
      </c>
      <c r="F22" s="51" t="s">
        <v>365</v>
      </c>
      <c r="G22" s="30">
        <v>7.5</v>
      </c>
      <c r="H22" s="30">
        <v>2.5</v>
      </c>
      <c r="I22" s="30">
        <f t="shared" si="0"/>
        <v>11.25</v>
      </c>
      <c r="J22" s="49" t="s">
        <v>794</v>
      </c>
      <c r="K22" s="196"/>
      <c r="L22" s="197">
        <v>1</v>
      </c>
      <c r="M22" s="197"/>
      <c r="N22" s="198"/>
      <c r="O22" s="200"/>
    </row>
    <row r="23" spans="3:15" ht="23.25">
      <c r="C23" s="10">
        <v>5270</v>
      </c>
      <c r="D23" s="185" t="s">
        <v>382</v>
      </c>
      <c r="E23" s="50" t="s">
        <v>383</v>
      </c>
      <c r="F23" s="51" t="s">
        <v>299</v>
      </c>
      <c r="G23" s="30">
        <v>7.5</v>
      </c>
      <c r="H23" s="30">
        <v>2.5</v>
      </c>
      <c r="I23" s="30">
        <f t="shared" si="0"/>
        <v>11.25</v>
      </c>
      <c r="J23" s="49" t="s">
        <v>795</v>
      </c>
      <c r="K23" s="196"/>
      <c r="L23" s="197">
        <v>1</v>
      </c>
      <c r="M23" s="197"/>
      <c r="N23" s="198"/>
      <c r="O23" s="200"/>
    </row>
    <row r="24" spans="3:15" ht="23.25">
      <c r="C24" s="10">
        <v>4475</v>
      </c>
      <c r="D24" s="185" t="s">
        <v>378</v>
      </c>
      <c r="E24" s="50" t="s">
        <v>379</v>
      </c>
      <c r="F24" s="51" t="s">
        <v>299</v>
      </c>
      <c r="G24" s="30">
        <v>7.5</v>
      </c>
      <c r="H24" s="30">
        <v>2.5</v>
      </c>
      <c r="I24" s="30">
        <f t="shared" si="0"/>
        <v>11.25</v>
      </c>
      <c r="J24" s="49" t="s">
        <v>795</v>
      </c>
      <c r="K24" s="196"/>
      <c r="L24" s="197">
        <v>1</v>
      </c>
      <c r="M24" s="197"/>
      <c r="N24" s="198"/>
      <c r="O24" s="200"/>
    </row>
    <row r="25" spans="3:15" ht="23.25">
      <c r="C25" s="10">
        <v>4601</v>
      </c>
      <c r="D25" s="185" t="s">
        <v>423</v>
      </c>
      <c r="E25" s="50" t="s">
        <v>424</v>
      </c>
      <c r="F25" s="51" t="s">
        <v>299</v>
      </c>
      <c r="G25" s="30">
        <v>7.5</v>
      </c>
      <c r="H25" s="30">
        <v>2.5</v>
      </c>
      <c r="I25" s="30">
        <f t="shared" si="0"/>
        <v>11.25</v>
      </c>
      <c r="J25" s="49" t="s">
        <v>796</v>
      </c>
      <c r="K25" s="196"/>
      <c r="L25" s="197">
        <v>1</v>
      </c>
      <c r="M25" s="197"/>
      <c r="N25" s="198"/>
      <c r="O25" s="200"/>
    </row>
    <row r="26" spans="3:15" ht="23.25">
      <c r="C26" s="10">
        <v>5570</v>
      </c>
      <c r="D26" s="185" t="s">
        <v>936</v>
      </c>
      <c r="E26" s="50" t="s">
        <v>1036</v>
      </c>
      <c r="F26" s="51" t="s">
        <v>299</v>
      </c>
      <c r="G26" s="30">
        <v>7.5</v>
      </c>
      <c r="H26" s="30">
        <v>2.5</v>
      </c>
      <c r="I26" s="30">
        <f t="shared" si="0"/>
        <v>11.25</v>
      </c>
      <c r="J26" s="49" t="s">
        <v>794</v>
      </c>
      <c r="K26" s="196"/>
      <c r="L26" s="197">
        <v>1</v>
      </c>
      <c r="M26" s="197"/>
      <c r="N26" s="198"/>
      <c r="O26" s="200"/>
    </row>
    <row r="27" spans="3:15" ht="23.25">
      <c r="C27" s="10">
        <v>4374</v>
      </c>
      <c r="D27" s="185" t="s">
        <v>374</v>
      </c>
      <c r="E27" s="50" t="s">
        <v>375</v>
      </c>
      <c r="F27" s="51" t="s">
        <v>299</v>
      </c>
      <c r="G27" s="30">
        <v>7.5</v>
      </c>
      <c r="H27" s="30">
        <v>2.5</v>
      </c>
      <c r="I27" s="30">
        <f t="shared" si="0"/>
        <v>11.25</v>
      </c>
      <c r="J27" s="49" t="s">
        <v>794</v>
      </c>
      <c r="K27" s="196"/>
      <c r="L27" s="197">
        <v>1</v>
      </c>
      <c r="M27" s="197"/>
      <c r="N27" s="198"/>
      <c r="O27" s="200"/>
    </row>
    <row r="28" spans="3:15" ht="23.25">
      <c r="C28" s="10">
        <v>4400</v>
      </c>
      <c r="D28" s="185" t="s">
        <v>366</v>
      </c>
      <c r="E28" s="50" t="s">
        <v>367</v>
      </c>
      <c r="F28" s="51" t="s">
        <v>299</v>
      </c>
      <c r="G28" s="30">
        <v>7.5</v>
      </c>
      <c r="H28" s="30">
        <v>2.5</v>
      </c>
      <c r="I28" s="30">
        <f t="shared" si="0"/>
        <v>11.25</v>
      </c>
      <c r="J28" s="49" t="s">
        <v>794</v>
      </c>
      <c r="K28" s="196"/>
      <c r="L28" s="197">
        <v>1</v>
      </c>
      <c r="M28" s="197"/>
      <c r="N28" s="198"/>
      <c r="O28" s="200"/>
    </row>
    <row r="29" spans="3:15" ht="23.25">
      <c r="C29" s="10" t="s">
        <v>979</v>
      </c>
      <c r="D29" s="185" t="s">
        <v>372</v>
      </c>
      <c r="E29" s="50" t="s">
        <v>373</v>
      </c>
      <c r="F29" s="51" t="s">
        <v>299</v>
      </c>
      <c r="G29" s="30">
        <v>7.5</v>
      </c>
      <c r="H29" s="30">
        <v>2.5</v>
      </c>
      <c r="I29" s="30">
        <f t="shared" si="0"/>
        <v>11.25</v>
      </c>
      <c r="J29" s="189" t="s">
        <v>1100</v>
      </c>
      <c r="K29" s="196"/>
      <c r="L29" s="197">
        <v>1</v>
      </c>
      <c r="M29" s="197"/>
      <c r="N29" s="198"/>
      <c r="O29" s="200"/>
    </row>
    <row r="30" spans="3:15" ht="23.25">
      <c r="C30" s="10">
        <v>5242</v>
      </c>
      <c r="D30" s="185" t="s">
        <v>403</v>
      </c>
      <c r="E30" s="50" t="s">
        <v>404</v>
      </c>
      <c r="F30" s="51" t="s">
        <v>306</v>
      </c>
      <c r="G30" s="30">
        <v>7.5</v>
      </c>
      <c r="H30" s="30">
        <v>2.5</v>
      </c>
      <c r="I30" s="30">
        <f t="shared" si="0"/>
        <v>11.25</v>
      </c>
      <c r="J30" s="49" t="s">
        <v>795</v>
      </c>
      <c r="K30" s="196"/>
      <c r="L30" s="197">
        <v>1</v>
      </c>
      <c r="M30" s="197"/>
      <c r="N30" s="198"/>
      <c r="O30" s="200"/>
    </row>
    <row r="31" spans="3:15" ht="23.25">
      <c r="C31" s="10">
        <v>5451</v>
      </c>
      <c r="D31" s="185" t="s">
        <v>846</v>
      </c>
      <c r="E31" s="50" t="s">
        <v>847</v>
      </c>
      <c r="F31" s="51" t="s">
        <v>306</v>
      </c>
      <c r="G31" s="30">
        <v>7.5</v>
      </c>
      <c r="H31" s="30">
        <v>2.5</v>
      </c>
      <c r="I31" s="30">
        <f t="shared" si="0"/>
        <v>11.25</v>
      </c>
      <c r="J31" s="49" t="s">
        <v>795</v>
      </c>
      <c r="K31" s="196"/>
      <c r="L31" s="197">
        <v>1</v>
      </c>
      <c r="M31" s="197"/>
      <c r="N31" s="198"/>
      <c r="O31" s="200"/>
    </row>
    <row r="32" spans="3:15" ht="23.25">
      <c r="C32" s="10">
        <v>5454</v>
      </c>
      <c r="D32" s="185" t="s">
        <v>848</v>
      </c>
      <c r="E32" s="50" t="s">
        <v>849</v>
      </c>
      <c r="F32" s="51" t="s">
        <v>306</v>
      </c>
      <c r="G32" s="30">
        <v>7.5</v>
      </c>
      <c r="H32" s="30">
        <v>2.5</v>
      </c>
      <c r="I32" s="30">
        <f t="shared" si="0"/>
        <v>11.25</v>
      </c>
      <c r="J32" s="49" t="s">
        <v>795</v>
      </c>
      <c r="K32" s="196"/>
      <c r="L32" s="197">
        <v>1</v>
      </c>
      <c r="M32" s="197"/>
      <c r="N32" s="198"/>
      <c r="O32" s="200"/>
    </row>
    <row r="33" spans="3:15" ht="23.25">
      <c r="C33" s="10">
        <v>5577</v>
      </c>
      <c r="D33" s="185" t="s">
        <v>947</v>
      </c>
      <c r="E33" s="50" t="s">
        <v>948</v>
      </c>
      <c r="F33" s="51" t="s">
        <v>306</v>
      </c>
      <c r="G33" s="30">
        <v>7.5</v>
      </c>
      <c r="H33" s="30">
        <v>2.5</v>
      </c>
      <c r="I33" s="30">
        <f t="shared" si="0"/>
        <v>11.25</v>
      </c>
      <c r="J33" s="49" t="s">
        <v>795</v>
      </c>
      <c r="K33" s="196"/>
      <c r="L33" s="197">
        <v>1</v>
      </c>
      <c r="M33" s="197"/>
      <c r="N33" s="198"/>
      <c r="O33" s="200"/>
    </row>
    <row r="34" spans="3:15" ht="23.25">
      <c r="C34" s="10">
        <v>5378</v>
      </c>
      <c r="D34" s="185" t="s">
        <v>758</v>
      </c>
      <c r="E34" s="50" t="s">
        <v>759</v>
      </c>
      <c r="F34" s="51" t="s">
        <v>306</v>
      </c>
      <c r="G34" s="30">
        <v>7.5</v>
      </c>
      <c r="H34" s="30">
        <v>2.5</v>
      </c>
      <c r="I34" s="30">
        <f t="shared" si="0"/>
        <v>11.25</v>
      </c>
      <c r="J34" s="49" t="s">
        <v>795</v>
      </c>
      <c r="K34" s="196"/>
      <c r="L34" s="197">
        <v>1</v>
      </c>
      <c r="M34" s="197"/>
      <c r="N34" s="198"/>
      <c r="O34" s="200"/>
    </row>
    <row r="35" spans="3:15" ht="23.25">
      <c r="C35" s="10">
        <v>5272</v>
      </c>
      <c r="D35" s="185" t="s">
        <v>401</v>
      </c>
      <c r="E35" s="50" t="s">
        <v>402</v>
      </c>
      <c r="F35" s="51" t="s">
        <v>306</v>
      </c>
      <c r="G35" s="30">
        <v>7.5</v>
      </c>
      <c r="H35" s="30">
        <v>2.5</v>
      </c>
      <c r="I35" s="30">
        <f t="shared" si="0"/>
        <v>11.25</v>
      </c>
      <c r="J35" s="49" t="s">
        <v>795</v>
      </c>
      <c r="K35" s="196"/>
      <c r="L35" s="197">
        <v>1</v>
      </c>
      <c r="M35" s="197"/>
      <c r="N35" s="198"/>
      <c r="O35" s="200"/>
    </row>
    <row r="36" spans="3:15" ht="23.25">
      <c r="C36" s="10">
        <v>5198</v>
      </c>
      <c r="D36" s="185" t="s">
        <v>395</v>
      </c>
      <c r="E36" s="50" t="s">
        <v>396</v>
      </c>
      <c r="F36" s="51" t="s">
        <v>306</v>
      </c>
      <c r="G36" s="30">
        <v>7.5</v>
      </c>
      <c r="H36" s="30">
        <v>2.5</v>
      </c>
      <c r="I36" s="30">
        <f t="shared" si="0"/>
        <v>11.25</v>
      </c>
      <c r="J36" s="49" t="s">
        <v>795</v>
      </c>
      <c r="K36" s="196"/>
      <c r="L36" s="197">
        <v>1</v>
      </c>
      <c r="M36" s="197"/>
      <c r="N36" s="198"/>
      <c r="O36" s="200"/>
    </row>
    <row r="37" spans="3:15" ht="23.25">
      <c r="C37" s="10">
        <v>5200</v>
      </c>
      <c r="D37" s="185" t="s">
        <v>397</v>
      </c>
      <c r="E37" s="50" t="s">
        <v>398</v>
      </c>
      <c r="F37" s="51" t="s">
        <v>306</v>
      </c>
      <c r="G37" s="30">
        <v>7.5</v>
      </c>
      <c r="H37" s="30">
        <v>2.5</v>
      </c>
      <c r="I37" s="30">
        <f t="shared" si="0"/>
        <v>11.25</v>
      </c>
      <c r="J37" s="49" t="s">
        <v>795</v>
      </c>
      <c r="K37" s="196"/>
      <c r="L37" s="197">
        <v>1</v>
      </c>
      <c r="M37" s="197"/>
      <c r="N37" s="198"/>
      <c r="O37" s="200"/>
    </row>
    <row r="38" spans="3:15" ht="23.25">
      <c r="C38" s="10">
        <v>5237</v>
      </c>
      <c r="D38" s="185" t="s">
        <v>399</v>
      </c>
      <c r="E38" s="50" t="s">
        <v>400</v>
      </c>
      <c r="F38" s="51" t="s">
        <v>306</v>
      </c>
      <c r="G38" s="30">
        <v>7.5</v>
      </c>
      <c r="H38" s="30">
        <v>2.5</v>
      </c>
      <c r="I38" s="30">
        <f t="shared" si="0"/>
        <v>11.25</v>
      </c>
      <c r="J38" s="49" t="s">
        <v>795</v>
      </c>
      <c r="K38" s="196"/>
      <c r="L38" s="197">
        <v>1</v>
      </c>
      <c r="M38" s="197"/>
      <c r="N38" s="198"/>
      <c r="O38" s="200"/>
    </row>
    <row r="39" spans="3:15" ht="23.25">
      <c r="C39" s="10">
        <v>4723</v>
      </c>
      <c r="D39" s="185" t="s">
        <v>389</v>
      </c>
      <c r="E39" s="50" t="s">
        <v>390</v>
      </c>
      <c r="F39" s="51" t="s">
        <v>306</v>
      </c>
      <c r="G39" s="30">
        <v>7.5</v>
      </c>
      <c r="H39" s="30">
        <v>2.5</v>
      </c>
      <c r="I39" s="30">
        <f t="shared" si="0"/>
        <v>11.25</v>
      </c>
      <c r="J39" s="49" t="s">
        <v>795</v>
      </c>
      <c r="K39" s="196"/>
      <c r="L39" s="197">
        <v>1</v>
      </c>
      <c r="M39" s="197"/>
      <c r="N39" s="198"/>
      <c r="O39" s="200"/>
    </row>
    <row r="40" spans="3:15" ht="23.25">
      <c r="C40" s="10">
        <v>5716</v>
      </c>
      <c r="D40" s="185" t="s">
        <v>1179</v>
      </c>
      <c r="E40" s="50" t="s">
        <v>1178</v>
      </c>
      <c r="F40" s="51" t="s">
        <v>306</v>
      </c>
      <c r="G40" s="30">
        <v>0</v>
      </c>
      <c r="H40" s="30">
        <v>0</v>
      </c>
      <c r="I40" s="30" t="str">
        <f t="shared" si="0"/>
        <v>YOK</v>
      </c>
      <c r="J40" s="16" t="s">
        <v>1185</v>
      </c>
      <c r="K40" s="196">
        <v>1</v>
      </c>
      <c r="L40" s="197">
        <v>0</v>
      </c>
      <c r="M40" s="201"/>
      <c r="N40" s="202"/>
      <c r="O40" s="200"/>
    </row>
    <row r="41" spans="3:15" ht="23.25">
      <c r="C41" s="10">
        <v>4634</v>
      </c>
      <c r="D41" s="185" t="s">
        <v>413</v>
      </c>
      <c r="E41" s="50" t="s">
        <v>414</v>
      </c>
      <c r="F41" s="51" t="s">
        <v>311</v>
      </c>
      <c r="G41" s="30">
        <v>7.5</v>
      </c>
      <c r="H41" s="30">
        <v>2.5</v>
      </c>
      <c r="I41" s="30">
        <f t="shared" si="0"/>
        <v>11.25</v>
      </c>
      <c r="J41" s="49" t="s">
        <v>795</v>
      </c>
      <c r="K41" s="196"/>
      <c r="L41" s="197">
        <v>1</v>
      </c>
      <c r="M41" s="197"/>
      <c r="N41" s="198"/>
      <c r="O41" s="200"/>
    </row>
    <row r="42" spans="3:15" ht="23.25">
      <c r="C42" s="10">
        <v>4637</v>
      </c>
      <c r="D42" s="185" t="s">
        <v>415</v>
      </c>
      <c r="E42" s="50" t="s">
        <v>416</v>
      </c>
      <c r="F42" s="51" t="s">
        <v>311</v>
      </c>
      <c r="G42" s="30">
        <v>7.5</v>
      </c>
      <c r="H42" s="30">
        <v>2.5</v>
      </c>
      <c r="I42" s="30">
        <f t="shared" si="0"/>
        <v>11.25</v>
      </c>
      <c r="J42" s="49" t="s">
        <v>796</v>
      </c>
      <c r="K42" s="196"/>
      <c r="L42" s="197">
        <v>1</v>
      </c>
      <c r="M42" s="197"/>
      <c r="N42" s="198"/>
      <c r="O42" s="200"/>
    </row>
    <row r="43" spans="3:15" ht="23.25">
      <c r="C43" s="10">
        <v>4521</v>
      </c>
      <c r="D43" s="185" t="s">
        <v>405</v>
      </c>
      <c r="E43" s="50" t="s">
        <v>406</v>
      </c>
      <c r="F43" s="51" t="s">
        <v>311</v>
      </c>
      <c r="G43" s="30">
        <v>7.5</v>
      </c>
      <c r="H43" s="30">
        <v>2.5</v>
      </c>
      <c r="I43" s="30">
        <f t="shared" si="0"/>
        <v>11.25</v>
      </c>
      <c r="J43" s="49" t="s">
        <v>796</v>
      </c>
      <c r="K43" s="196"/>
      <c r="L43" s="197">
        <v>1</v>
      </c>
      <c r="M43" s="197"/>
      <c r="N43" s="198"/>
      <c r="O43" s="200"/>
    </row>
    <row r="44" spans="3:15" ht="23.25">
      <c r="C44" s="10">
        <v>4705</v>
      </c>
      <c r="D44" s="185" t="s">
        <v>334</v>
      </c>
      <c r="E44" s="50" t="s">
        <v>335</v>
      </c>
      <c r="F44" s="51" t="s">
        <v>259</v>
      </c>
      <c r="G44" s="30">
        <v>0</v>
      </c>
      <c r="H44" s="30"/>
      <c r="I44" s="30"/>
      <c r="J44" s="189" t="s">
        <v>34</v>
      </c>
      <c r="K44" s="196"/>
      <c r="L44" s="197">
        <v>0</v>
      </c>
      <c r="M44" s="199"/>
      <c r="N44" s="197">
        <v>1</v>
      </c>
      <c r="O44" s="200"/>
    </row>
    <row r="45" spans="3:15" ht="23.25">
      <c r="C45" s="10">
        <v>4567</v>
      </c>
      <c r="D45" s="185" t="s">
        <v>332</v>
      </c>
      <c r="E45" s="50" t="s">
        <v>333</v>
      </c>
      <c r="F45" s="51" t="s">
        <v>259</v>
      </c>
      <c r="G45" s="30">
        <v>0</v>
      </c>
      <c r="H45" s="30"/>
      <c r="I45" s="30"/>
      <c r="J45" s="189" t="s">
        <v>34</v>
      </c>
      <c r="K45" s="196"/>
      <c r="L45" s="197">
        <v>0</v>
      </c>
      <c r="M45" s="199"/>
      <c r="N45" s="197">
        <v>1</v>
      </c>
      <c r="O45" s="200"/>
    </row>
    <row r="46" spans="3:15" ht="23.25">
      <c r="C46" s="10">
        <v>5138</v>
      </c>
      <c r="D46" s="185" t="s">
        <v>326</v>
      </c>
      <c r="E46" s="50" t="s">
        <v>327</v>
      </c>
      <c r="F46" s="51" t="s">
        <v>259</v>
      </c>
      <c r="G46" s="30">
        <v>0</v>
      </c>
      <c r="H46" s="30"/>
      <c r="I46" s="30"/>
      <c r="J46" s="189" t="s">
        <v>34</v>
      </c>
      <c r="K46" s="196"/>
      <c r="L46" s="197">
        <v>0</v>
      </c>
      <c r="M46" s="199"/>
      <c r="N46" s="197">
        <v>1</v>
      </c>
      <c r="O46" s="200"/>
    </row>
    <row r="47" spans="3:15" ht="23.25">
      <c r="C47" s="10">
        <v>5357</v>
      </c>
      <c r="D47" s="185" t="s">
        <v>750</v>
      </c>
      <c r="E47" s="50" t="s">
        <v>751</v>
      </c>
      <c r="F47" s="51" t="s">
        <v>259</v>
      </c>
      <c r="G47" s="30">
        <v>0</v>
      </c>
      <c r="H47" s="30"/>
      <c r="I47" s="30"/>
      <c r="J47" s="189" t="s">
        <v>34</v>
      </c>
      <c r="K47" s="196"/>
      <c r="L47" s="197">
        <v>0</v>
      </c>
      <c r="M47" s="199"/>
      <c r="N47" s="197">
        <v>1</v>
      </c>
      <c r="O47" s="200"/>
    </row>
    <row r="48" spans="3:15" ht="23.25">
      <c r="C48" s="10">
        <v>4527</v>
      </c>
      <c r="D48" s="185" t="s">
        <v>425</v>
      </c>
      <c r="E48" s="50" t="s">
        <v>426</v>
      </c>
      <c r="F48" s="51" t="s">
        <v>259</v>
      </c>
      <c r="G48" s="30">
        <v>0</v>
      </c>
      <c r="H48" s="30"/>
      <c r="I48" s="30"/>
      <c r="J48" s="189" t="s">
        <v>34</v>
      </c>
      <c r="K48" s="196"/>
      <c r="L48" s="197">
        <v>0</v>
      </c>
      <c r="M48" s="199"/>
      <c r="N48" s="197">
        <v>1</v>
      </c>
      <c r="O48" s="200"/>
    </row>
    <row r="49" spans="3:15" ht="23.25">
      <c r="C49" s="10">
        <v>5356</v>
      </c>
      <c r="D49" s="185" t="s">
        <v>752</v>
      </c>
      <c r="E49" s="50" t="s">
        <v>753</v>
      </c>
      <c r="F49" s="51" t="s">
        <v>260</v>
      </c>
      <c r="G49" s="30">
        <v>0</v>
      </c>
      <c r="H49" s="30"/>
      <c r="I49" s="30"/>
      <c r="J49" s="189" t="s">
        <v>34</v>
      </c>
      <c r="K49" s="196"/>
      <c r="L49" s="197">
        <v>0</v>
      </c>
      <c r="M49" s="199"/>
      <c r="N49" s="197">
        <v>1</v>
      </c>
      <c r="O49" s="198"/>
    </row>
    <row r="50" spans="3:15" ht="23.25">
      <c r="C50" s="10">
        <v>5595</v>
      </c>
      <c r="D50" s="185" t="s">
        <v>992</v>
      </c>
      <c r="E50" s="50" t="s">
        <v>995</v>
      </c>
      <c r="F50" s="51" t="s">
        <v>260</v>
      </c>
      <c r="G50" s="30">
        <v>0</v>
      </c>
      <c r="H50" s="30"/>
      <c r="I50" s="30"/>
      <c r="J50" s="189" t="s">
        <v>34</v>
      </c>
      <c r="K50" s="196"/>
      <c r="L50" s="197">
        <v>0</v>
      </c>
      <c r="M50" s="199"/>
      <c r="N50" s="197">
        <v>1</v>
      </c>
      <c r="O50" s="200"/>
    </row>
    <row r="51" spans="3:15" ht="23.25">
      <c r="C51" s="10">
        <v>5594</v>
      </c>
      <c r="D51" s="185" t="s">
        <v>993</v>
      </c>
      <c r="E51" s="50" t="s">
        <v>994</v>
      </c>
      <c r="F51" s="51" t="s">
        <v>260</v>
      </c>
      <c r="G51" s="30">
        <v>0</v>
      </c>
      <c r="H51" s="30"/>
      <c r="I51" s="30"/>
      <c r="J51" s="189" t="s">
        <v>34</v>
      </c>
      <c r="K51" s="196"/>
      <c r="L51" s="197">
        <v>0</v>
      </c>
      <c r="M51" s="199"/>
      <c r="N51" s="197">
        <v>1</v>
      </c>
      <c r="O51" s="200"/>
    </row>
    <row r="52" spans="3:15" ht="23.25">
      <c r="C52" s="10">
        <v>4726</v>
      </c>
      <c r="D52" s="185" t="s">
        <v>338</v>
      </c>
      <c r="E52" s="50" t="s">
        <v>339</v>
      </c>
      <c r="F52" s="51" t="s">
        <v>260</v>
      </c>
      <c r="G52" s="30">
        <v>0</v>
      </c>
      <c r="H52" s="30"/>
      <c r="I52" s="30"/>
      <c r="J52" s="189" t="s">
        <v>34</v>
      </c>
      <c r="K52" s="196"/>
      <c r="L52" s="197">
        <v>0</v>
      </c>
      <c r="M52" s="199"/>
      <c r="N52" s="197">
        <v>1</v>
      </c>
      <c r="O52" s="198"/>
    </row>
    <row r="53" spans="3:15" ht="23.25">
      <c r="C53" s="10">
        <v>5273</v>
      </c>
      <c r="D53" s="185" t="s">
        <v>342</v>
      </c>
      <c r="E53" s="50" t="s">
        <v>343</v>
      </c>
      <c r="F53" s="51" t="s">
        <v>260</v>
      </c>
      <c r="G53" s="30">
        <v>0</v>
      </c>
      <c r="H53" s="30"/>
      <c r="I53" s="30"/>
      <c r="J53" s="189" t="s">
        <v>34</v>
      </c>
      <c r="K53" s="196"/>
      <c r="L53" s="197">
        <v>0</v>
      </c>
      <c r="M53" s="199"/>
      <c r="N53" s="197">
        <v>1</v>
      </c>
      <c r="O53" s="198"/>
    </row>
    <row r="54" spans="3:15" ht="23.25">
      <c r="C54" s="10">
        <v>5457</v>
      </c>
      <c r="D54" s="185" t="s">
        <v>844</v>
      </c>
      <c r="E54" s="50" t="s">
        <v>845</v>
      </c>
      <c r="F54" s="51" t="s">
        <v>260</v>
      </c>
      <c r="G54" s="30">
        <v>0</v>
      </c>
      <c r="H54" s="30"/>
      <c r="I54" s="30"/>
      <c r="J54" s="189" t="s">
        <v>34</v>
      </c>
      <c r="K54" s="196"/>
      <c r="L54" s="197">
        <v>0</v>
      </c>
      <c r="M54" s="199"/>
      <c r="N54" s="197">
        <v>1</v>
      </c>
      <c r="O54" s="198"/>
    </row>
    <row r="55" spans="3:15" ht="23.25">
      <c r="C55" s="10">
        <v>5142</v>
      </c>
      <c r="D55" s="185" t="s">
        <v>336</v>
      </c>
      <c r="E55" s="50" t="s">
        <v>337</v>
      </c>
      <c r="F55" s="51" t="s">
        <v>260</v>
      </c>
      <c r="G55" s="30">
        <v>0</v>
      </c>
      <c r="H55" s="30"/>
      <c r="I55" s="30"/>
      <c r="J55" s="189" t="s">
        <v>34</v>
      </c>
      <c r="K55" s="196"/>
      <c r="L55" s="197">
        <v>0</v>
      </c>
      <c r="M55" s="199"/>
      <c r="N55" s="197">
        <v>1</v>
      </c>
      <c r="O55" s="198"/>
    </row>
    <row r="56" spans="3:15" ht="23.25">
      <c r="C56" s="10">
        <v>5044</v>
      </c>
      <c r="D56" s="185" t="s">
        <v>344</v>
      </c>
      <c r="E56" s="50" t="s">
        <v>345</v>
      </c>
      <c r="F56" s="51" t="s">
        <v>316</v>
      </c>
      <c r="G56" s="30">
        <v>0</v>
      </c>
      <c r="H56" s="30"/>
      <c r="I56" s="30"/>
      <c r="J56" s="189" t="s">
        <v>34</v>
      </c>
      <c r="K56" s="196"/>
      <c r="L56" s="197">
        <v>0</v>
      </c>
      <c r="M56" s="199"/>
      <c r="N56" s="197">
        <v>1</v>
      </c>
      <c r="O56" s="200"/>
    </row>
    <row r="57" spans="3:15" ht="23.25">
      <c r="C57" s="10">
        <v>5603</v>
      </c>
      <c r="D57" s="185" t="s">
        <v>1006</v>
      </c>
      <c r="E57" s="50" t="s">
        <v>1007</v>
      </c>
      <c r="F57" s="51" t="s">
        <v>261</v>
      </c>
      <c r="G57" s="30">
        <v>0</v>
      </c>
      <c r="H57" s="30"/>
      <c r="I57" s="30"/>
      <c r="J57" s="189" t="s">
        <v>34</v>
      </c>
      <c r="K57" s="196"/>
      <c r="L57" s="197">
        <v>0</v>
      </c>
      <c r="M57" s="199"/>
      <c r="N57" s="197">
        <v>1</v>
      </c>
      <c r="O57" s="200"/>
    </row>
    <row r="58" spans="3:15" ht="23.25">
      <c r="C58" s="10">
        <v>5143</v>
      </c>
      <c r="D58" s="185" t="s">
        <v>350</v>
      </c>
      <c r="E58" s="50" t="s">
        <v>351</v>
      </c>
      <c r="F58" s="51" t="s">
        <v>261</v>
      </c>
      <c r="G58" s="30">
        <v>0</v>
      </c>
      <c r="H58" s="30"/>
      <c r="I58" s="30"/>
      <c r="J58" s="189" t="s">
        <v>34</v>
      </c>
      <c r="K58" s="196"/>
      <c r="L58" s="197">
        <v>0</v>
      </c>
      <c r="M58" s="199"/>
      <c r="N58" s="197">
        <v>1</v>
      </c>
      <c r="O58" s="200"/>
    </row>
    <row r="59" spans="3:15" ht="23.25">
      <c r="C59" s="10">
        <v>5137</v>
      </c>
      <c r="D59" s="185" t="s">
        <v>368</v>
      </c>
      <c r="E59" s="50" t="s">
        <v>369</v>
      </c>
      <c r="F59" s="51" t="s">
        <v>299</v>
      </c>
      <c r="G59" s="30">
        <v>0</v>
      </c>
      <c r="H59" s="30"/>
      <c r="I59" s="30"/>
      <c r="J59" s="189" t="s">
        <v>34</v>
      </c>
      <c r="K59" s="196"/>
      <c r="L59" s="197">
        <v>0</v>
      </c>
      <c r="M59" s="199"/>
      <c r="N59" s="197">
        <v>1</v>
      </c>
      <c r="O59" s="200"/>
    </row>
    <row r="60" spans="3:15" ht="23.25">
      <c r="C60" s="10">
        <v>5694</v>
      </c>
      <c r="D60" s="50" t="s">
        <v>1154</v>
      </c>
      <c r="E60" s="50" t="s">
        <v>1155</v>
      </c>
      <c r="F60" s="51" t="s">
        <v>299</v>
      </c>
      <c r="G60" s="30">
        <v>0</v>
      </c>
      <c r="H60" s="30"/>
      <c r="I60" s="30"/>
      <c r="J60" s="189" t="s">
        <v>34</v>
      </c>
      <c r="K60" s="196"/>
      <c r="L60" s="197">
        <v>0</v>
      </c>
      <c r="M60" s="199"/>
      <c r="N60" s="197">
        <v>1</v>
      </c>
      <c r="O60" s="200"/>
    </row>
    <row r="61" spans="3:15" ht="23.25">
      <c r="C61" s="10">
        <v>4398</v>
      </c>
      <c r="D61" s="185" t="s">
        <v>376</v>
      </c>
      <c r="E61" s="50" t="s">
        <v>377</v>
      </c>
      <c r="F61" s="51" t="s">
        <v>299</v>
      </c>
      <c r="G61" s="30">
        <v>0</v>
      </c>
      <c r="H61" s="30"/>
      <c r="I61" s="30"/>
      <c r="J61" s="189" t="s">
        <v>34</v>
      </c>
      <c r="K61" s="196"/>
      <c r="L61" s="197">
        <v>0</v>
      </c>
      <c r="M61" s="199"/>
      <c r="N61" s="197">
        <v>1</v>
      </c>
      <c r="O61" s="200"/>
    </row>
    <row r="62" spans="3:15" ht="23.25">
      <c r="C62" s="10">
        <v>4282</v>
      </c>
      <c r="D62" s="185" t="s">
        <v>370</v>
      </c>
      <c r="E62" s="50" t="s">
        <v>371</v>
      </c>
      <c r="F62" s="51" t="s">
        <v>299</v>
      </c>
      <c r="G62" s="30">
        <v>0</v>
      </c>
      <c r="H62" s="30"/>
      <c r="I62" s="30"/>
      <c r="J62" s="189" t="s">
        <v>34</v>
      </c>
      <c r="K62" s="196"/>
      <c r="L62" s="197">
        <v>0</v>
      </c>
      <c r="M62" s="199"/>
      <c r="N62" s="197">
        <v>1</v>
      </c>
      <c r="O62" s="200"/>
    </row>
    <row r="63" spans="3:15" ht="23.25">
      <c r="C63" s="10">
        <v>5359</v>
      </c>
      <c r="D63" s="185" t="s">
        <v>754</v>
      </c>
      <c r="E63" s="50" t="s">
        <v>755</v>
      </c>
      <c r="F63" s="51" t="s">
        <v>306</v>
      </c>
      <c r="G63" s="30">
        <v>0</v>
      </c>
      <c r="H63" s="30"/>
      <c r="I63" s="30"/>
      <c r="J63" s="189" t="s">
        <v>34</v>
      </c>
      <c r="K63" s="196"/>
      <c r="L63" s="197">
        <v>0</v>
      </c>
      <c r="M63" s="199"/>
      <c r="N63" s="197">
        <v>1</v>
      </c>
      <c r="O63" s="200"/>
    </row>
    <row r="64" spans="3:15" ht="23.25">
      <c r="C64" s="10">
        <v>5154</v>
      </c>
      <c r="D64" s="185" t="s">
        <v>386</v>
      </c>
      <c r="E64" s="50" t="s">
        <v>960</v>
      </c>
      <c r="F64" s="51" t="s">
        <v>306</v>
      </c>
      <c r="G64" s="30">
        <v>0</v>
      </c>
      <c r="H64" s="30"/>
      <c r="I64" s="30"/>
      <c r="J64" s="189" t="s">
        <v>34</v>
      </c>
      <c r="K64" s="196"/>
      <c r="L64" s="197">
        <v>0</v>
      </c>
      <c r="M64" s="199"/>
      <c r="N64" s="197">
        <v>1</v>
      </c>
      <c r="O64" s="200"/>
    </row>
    <row r="65" spans="3:15" ht="23.25">
      <c r="C65" s="10">
        <v>5155</v>
      </c>
      <c r="D65" s="185" t="s">
        <v>387</v>
      </c>
      <c r="E65" s="50" t="s">
        <v>388</v>
      </c>
      <c r="F65" s="51" t="s">
        <v>306</v>
      </c>
      <c r="G65" s="30">
        <v>0</v>
      </c>
      <c r="H65" s="30"/>
      <c r="I65" s="30"/>
      <c r="J65" s="189" t="s">
        <v>34</v>
      </c>
      <c r="K65" s="196"/>
      <c r="L65" s="197">
        <v>0</v>
      </c>
      <c r="M65" s="199"/>
      <c r="N65" s="197">
        <v>1</v>
      </c>
      <c r="O65" s="200"/>
    </row>
    <row r="66" spans="3:15" ht="23.25">
      <c r="C66" s="10">
        <v>5092</v>
      </c>
      <c r="D66" s="185" t="s">
        <v>391</v>
      </c>
      <c r="E66" s="50" t="s">
        <v>392</v>
      </c>
      <c r="F66" s="51" t="s">
        <v>306</v>
      </c>
      <c r="G66" s="30">
        <v>0</v>
      </c>
      <c r="H66" s="30"/>
      <c r="I66" s="30"/>
      <c r="J66" s="189" t="s">
        <v>34</v>
      </c>
      <c r="K66" s="196"/>
      <c r="L66" s="197">
        <v>0</v>
      </c>
      <c r="M66" s="199"/>
      <c r="N66" s="197">
        <v>1</v>
      </c>
      <c r="O66" s="200"/>
    </row>
    <row r="67" spans="3:15" ht="23.25">
      <c r="C67" s="10">
        <v>5140</v>
      </c>
      <c r="D67" s="185" t="s">
        <v>384</v>
      </c>
      <c r="E67" s="50" t="s">
        <v>385</v>
      </c>
      <c r="F67" s="51" t="s">
        <v>306</v>
      </c>
      <c r="G67" s="30">
        <v>0</v>
      </c>
      <c r="H67" s="30"/>
      <c r="I67" s="30"/>
      <c r="J67" s="189" t="s">
        <v>34</v>
      </c>
      <c r="K67" s="196"/>
      <c r="L67" s="197">
        <v>0</v>
      </c>
      <c r="M67" s="199"/>
      <c r="N67" s="197">
        <v>1</v>
      </c>
      <c r="O67" s="200"/>
    </row>
    <row r="68" spans="3:15" ht="23.25">
      <c r="C68" s="10">
        <v>5087</v>
      </c>
      <c r="D68" s="185" t="s">
        <v>393</v>
      </c>
      <c r="E68" s="50" t="s">
        <v>394</v>
      </c>
      <c r="F68" s="51" t="s">
        <v>306</v>
      </c>
      <c r="G68" s="30">
        <v>0</v>
      </c>
      <c r="H68" s="30"/>
      <c r="I68" s="30"/>
      <c r="J68" s="189" t="s">
        <v>34</v>
      </c>
      <c r="K68" s="196"/>
      <c r="L68" s="197">
        <v>0</v>
      </c>
      <c r="M68" s="199"/>
      <c r="N68" s="197">
        <v>1</v>
      </c>
      <c r="O68" s="200"/>
    </row>
    <row r="69" spans="3:15" ht="23.25">
      <c r="C69" s="10">
        <v>4522</v>
      </c>
      <c r="D69" s="185" t="s">
        <v>407</v>
      </c>
      <c r="E69" s="50" t="s">
        <v>408</v>
      </c>
      <c r="F69" s="51" t="s">
        <v>311</v>
      </c>
      <c r="G69" s="30">
        <v>0</v>
      </c>
      <c r="H69" s="30"/>
      <c r="I69" s="30"/>
      <c r="J69" s="189" t="s">
        <v>34</v>
      </c>
      <c r="K69" s="196"/>
      <c r="L69" s="197">
        <v>0</v>
      </c>
      <c r="M69" s="199"/>
      <c r="N69" s="197">
        <v>1</v>
      </c>
      <c r="O69" s="200"/>
    </row>
    <row r="70" spans="3:15" ht="23.25">
      <c r="C70" s="10">
        <v>4629</v>
      </c>
      <c r="D70" s="185" t="s">
        <v>409</v>
      </c>
      <c r="E70" s="50" t="s">
        <v>410</v>
      </c>
      <c r="F70" s="51" t="s">
        <v>311</v>
      </c>
      <c r="G70" s="30">
        <v>0</v>
      </c>
      <c r="H70" s="30"/>
      <c r="I70" s="30"/>
      <c r="J70" s="189" t="s">
        <v>34</v>
      </c>
      <c r="K70" s="196"/>
      <c r="L70" s="197">
        <v>0</v>
      </c>
      <c r="M70" s="199"/>
      <c r="N70" s="197">
        <v>1</v>
      </c>
      <c r="O70" s="200"/>
    </row>
    <row r="71" spans="3:15" ht="23.25">
      <c r="C71" s="10">
        <v>4477</v>
      </c>
      <c r="D71" s="185" t="s">
        <v>421</v>
      </c>
      <c r="E71" s="50" t="s">
        <v>422</v>
      </c>
      <c r="F71" s="51" t="s">
        <v>299</v>
      </c>
      <c r="G71" s="30">
        <v>0</v>
      </c>
      <c r="H71" s="30"/>
      <c r="I71" s="30"/>
      <c r="J71" s="189" t="s">
        <v>104</v>
      </c>
      <c r="K71" s="196"/>
      <c r="L71" s="197">
        <v>0</v>
      </c>
      <c r="M71" s="199"/>
      <c r="N71" s="197">
        <v>1</v>
      </c>
      <c r="O71" s="200"/>
    </row>
    <row r="72" spans="3:15" ht="23.25">
      <c r="C72" s="10">
        <v>4630</v>
      </c>
      <c r="D72" s="185" t="s">
        <v>411</v>
      </c>
      <c r="E72" s="50" t="s">
        <v>412</v>
      </c>
      <c r="F72" s="51" t="s">
        <v>311</v>
      </c>
      <c r="G72" s="30">
        <v>0</v>
      </c>
      <c r="H72" s="30"/>
      <c r="I72" s="30"/>
      <c r="J72" s="189" t="s">
        <v>70</v>
      </c>
      <c r="K72" s="196"/>
      <c r="L72" s="197">
        <v>0</v>
      </c>
      <c r="M72" s="199"/>
      <c r="N72" s="197">
        <v>1</v>
      </c>
      <c r="O72" s="200"/>
    </row>
    <row r="73" spans="3:15" ht="23.25">
      <c r="C73" s="10">
        <v>5003</v>
      </c>
      <c r="D73" s="185" t="s">
        <v>346</v>
      </c>
      <c r="E73" s="50" t="s">
        <v>347</v>
      </c>
      <c r="F73" s="51" t="s">
        <v>348</v>
      </c>
      <c r="G73" s="30">
        <v>0</v>
      </c>
      <c r="H73" s="30"/>
      <c r="I73" s="30"/>
      <c r="J73" s="189" t="s">
        <v>118</v>
      </c>
      <c r="K73" s="196"/>
      <c r="L73" s="197">
        <v>0</v>
      </c>
      <c r="M73" s="199"/>
      <c r="N73" s="197">
        <v>1</v>
      </c>
      <c r="O73" s="200"/>
    </row>
    <row r="74" spans="3:15" ht="23.25">
      <c r="C74" s="10">
        <v>4585</v>
      </c>
      <c r="D74" s="185" t="s">
        <v>361</v>
      </c>
      <c r="E74" s="50" t="s">
        <v>362</v>
      </c>
      <c r="F74" s="51" t="s">
        <v>298</v>
      </c>
      <c r="G74" s="30">
        <v>0</v>
      </c>
      <c r="H74" s="30"/>
      <c r="I74" s="30"/>
      <c r="J74" s="189" t="s">
        <v>118</v>
      </c>
      <c r="K74" s="196"/>
      <c r="L74" s="197">
        <v>0</v>
      </c>
      <c r="M74" s="199"/>
      <c r="N74" s="197">
        <v>1</v>
      </c>
      <c r="O74" s="200"/>
    </row>
    <row r="75" spans="3:15" ht="23.25">
      <c r="C75" s="10">
        <v>5119</v>
      </c>
      <c r="D75" s="185" t="s">
        <v>380</v>
      </c>
      <c r="E75" s="50" t="s">
        <v>381</v>
      </c>
      <c r="F75" s="51" t="s">
        <v>299</v>
      </c>
      <c r="G75" s="30">
        <v>0</v>
      </c>
      <c r="H75" s="30"/>
      <c r="I75" s="30"/>
      <c r="J75" s="189" t="s">
        <v>118</v>
      </c>
      <c r="K75" s="196"/>
      <c r="L75" s="197">
        <v>0</v>
      </c>
      <c r="M75" s="199"/>
      <c r="N75" s="197">
        <v>1</v>
      </c>
      <c r="O75" s="200"/>
    </row>
    <row r="76" spans="3:15" ht="23.25">
      <c r="C76" s="10">
        <v>4399</v>
      </c>
      <c r="D76" s="185" t="s">
        <v>419</v>
      </c>
      <c r="E76" s="50" t="s">
        <v>420</v>
      </c>
      <c r="F76" s="51" t="s">
        <v>299</v>
      </c>
      <c r="G76" s="13">
        <v>0</v>
      </c>
      <c r="H76" s="30"/>
      <c r="I76" s="30"/>
      <c r="J76" s="189" t="s">
        <v>118</v>
      </c>
      <c r="K76" s="196"/>
      <c r="L76" s="197">
        <v>0</v>
      </c>
      <c r="M76" s="199"/>
      <c r="N76" s="197">
        <v>1</v>
      </c>
      <c r="O76" s="200"/>
    </row>
    <row r="77" spans="3:15" ht="23.25">
      <c r="C77" s="10">
        <v>4639</v>
      </c>
      <c r="D77" s="50" t="s">
        <v>427</v>
      </c>
      <c r="E77" s="50" t="s">
        <v>428</v>
      </c>
      <c r="F77" s="51" t="s">
        <v>261</v>
      </c>
      <c r="G77" s="30">
        <v>7.5</v>
      </c>
      <c r="H77" s="30">
        <v>2.5</v>
      </c>
      <c r="I77" s="30">
        <f>IF(H77&gt;0,(H77*1.5)+G77,"YOK")</f>
        <v>11.25</v>
      </c>
      <c r="J77" s="47" t="s">
        <v>132</v>
      </c>
      <c r="K77" s="196"/>
      <c r="L77" s="197">
        <v>1</v>
      </c>
      <c r="M77" s="197">
        <v>1</v>
      </c>
      <c r="N77" s="198"/>
      <c r="O77" s="200"/>
    </row>
    <row r="78" spans="3:15" ht="23.25">
      <c r="C78" s="10">
        <v>5108</v>
      </c>
      <c r="D78" s="50" t="s">
        <v>429</v>
      </c>
      <c r="E78" s="50" t="s">
        <v>430</v>
      </c>
      <c r="F78" s="51" t="s">
        <v>162</v>
      </c>
      <c r="G78" s="30">
        <v>7.5</v>
      </c>
      <c r="H78" s="30">
        <v>2.5</v>
      </c>
      <c r="I78" s="30">
        <f>IF(H78&gt;0,(H78*1.5)+G78,"YOK")</f>
        <v>11.25</v>
      </c>
      <c r="J78" s="47" t="s">
        <v>132</v>
      </c>
      <c r="K78" s="196"/>
      <c r="L78" s="197">
        <v>1</v>
      </c>
      <c r="M78" s="197">
        <v>1</v>
      </c>
      <c r="N78" s="198"/>
      <c r="O78" s="200"/>
    </row>
    <row r="79" spans="3:15" ht="23.25">
      <c r="C79" s="10">
        <v>5461</v>
      </c>
      <c r="D79" s="50" t="s">
        <v>853</v>
      </c>
      <c r="E79" s="50" t="s">
        <v>854</v>
      </c>
      <c r="F79" s="51" t="s">
        <v>299</v>
      </c>
      <c r="G79" s="30">
        <v>7.5</v>
      </c>
      <c r="H79" s="30">
        <v>2.5</v>
      </c>
      <c r="I79" s="30">
        <f>IF(H79&gt;0,(H79*1.5)+G79,"YOK")</f>
        <v>11.25</v>
      </c>
      <c r="J79" s="47" t="s">
        <v>132</v>
      </c>
      <c r="K79" s="196"/>
      <c r="L79" s="197">
        <v>1</v>
      </c>
      <c r="M79" s="197">
        <v>1</v>
      </c>
      <c r="N79" s="198"/>
      <c r="O79" s="200"/>
    </row>
    <row r="80" spans="3:15" ht="23.25">
      <c r="C80" s="10">
        <v>5657</v>
      </c>
      <c r="D80" s="50" t="s">
        <v>1098</v>
      </c>
      <c r="E80" s="50" t="s">
        <v>1099</v>
      </c>
      <c r="F80" s="51" t="s">
        <v>306</v>
      </c>
      <c r="G80" s="30">
        <v>7.5</v>
      </c>
      <c r="H80" s="30">
        <v>2.5</v>
      </c>
      <c r="I80" s="30">
        <f>IF(H80&gt;0,(H80*1.5)+G80,"YOK")</f>
        <v>11.25</v>
      </c>
      <c r="J80" s="47" t="s">
        <v>132</v>
      </c>
      <c r="K80" s="196"/>
      <c r="L80" s="197">
        <v>1</v>
      </c>
      <c r="M80" s="197">
        <v>1</v>
      </c>
      <c r="N80" s="198"/>
      <c r="O80" s="200"/>
    </row>
  </sheetData>
  <autoFilter ref="C6:O6" xr:uid="{00000000-0009-0000-0000-000004000000}">
    <sortState xmlns:xlrd2="http://schemas.microsoft.com/office/spreadsheetml/2017/richdata2" ref="C7:O43">
      <sortCondition ref="F6"/>
    </sortState>
  </autoFilter>
  <conditionalFormatting sqref="C3:C5">
    <cfRule type="duplicateValues" dxfId="304" priority="25"/>
    <cfRule type="duplicateValues" dxfId="303" priority="29"/>
    <cfRule type="duplicateValues" dxfId="302" priority="30"/>
    <cfRule type="duplicateValues" dxfId="301" priority="34"/>
    <cfRule type="duplicateValues" dxfId="300" priority="35"/>
    <cfRule type="duplicateValues" dxfId="299" priority="92"/>
    <cfRule type="duplicateValues" dxfId="298" priority="93"/>
    <cfRule type="duplicateValues" dxfId="297" priority="94"/>
    <cfRule type="duplicateValues" dxfId="296" priority="95"/>
    <cfRule type="duplicateValues" dxfId="295" priority="98"/>
  </conditionalFormatting>
  <conditionalFormatting sqref="C3:C80">
    <cfRule type="duplicateValues" dxfId="294" priority="80826"/>
  </conditionalFormatting>
  <conditionalFormatting sqref="C6">
    <cfRule type="duplicateValues" dxfId="293" priority="82"/>
    <cfRule type="duplicateValues" dxfId="292" priority="84"/>
    <cfRule type="duplicateValues" dxfId="291" priority="85"/>
    <cfRule type="duplicateValues" dxfId="290" priority="86"/>
    <cfRule type="duplicateValues" dxfId="289" priority="87"/>
    <cfRule type="duplicateValues" dxfId="288" priority="90"/>
  </conditionalFormatting>
  <conditionalFormatting sqref="C34">
    <cfRule type="duplicateValues" dxfId="287" priority="38"/>
    <cfRule type="duplicateValues" dxfId="286" priority="39"/>
    <cfRule type="duplicateValues" dxfId="285" priority="40"/>
    <cfRule type="duplicateValues" dxfId="284" priority="41"/>
    <cfRule type="duplicateValues" dxfId="283" priority="44"/>
    <cfRule type="duplicateValues" dxfId="282" priority="51"/>
    <cfRule type="duplicateValues" dxfId="281" priority="53"/>
    <cfRule type="duplicateValues" dxfId="280" priority="55"/>
  </conditionalFormatting>
  <conditionalFormatting sqref="C35:C80 C3:C33">
    <cfRule type="duplicateValues" dxfId="279" priority="80768"/>
  </conditionalFormatting>
  <conditionalFormatting sqref="C35:C80 C6:C33">
    <cfRule type="duplicateValues" dxfId="278" priority="80778"/>
  </conditionalFormatting>
  <conditionalFormatting sqref="C35:C80 C7:C33">
    <cfRule type="duplicateValues" dxfId="277" priority="80799"/>
    <cfRule type="duplicateValues" dxfId="276" priority="80808"/>
    <cfRule type="duplicateValues" dxfId="275" priority="80809"/>
    <cfRule type="duplicateValues" dxfId="274" priority="80810"/>
    <cfRule type="duplicateValues" dxfId="273" priority="80811"/>
  </conditionalFormatting>
  <conditionalFormatting sqref="C35:C80">
    <cfRule type="duplicateValues" dxfId="272" priority="80774"/>
  </conditionalFormatting>
  <conditionalFormatting sqref="C47:C48">
    <cfRule type="duplicateValues" dxfId="271" priority="67"/>
    <cfRule type="duplicateValues" dxfId="270" priority="68"/>
    <cfRule type="duplicateValues" dxfId="269" priority="69"/>
    <cfRule type="duplicateValues" dxfId="268" priority="70"/>
    <cfRule type="duplicateValues" dxfId="267" priority="71"/>
    <cfRule type="duplicateValues" dxfId="266" priority="72"/>
    <cfRule type="duplicateValues" dxfId="265" priority="73"/>
    <cfRule type="duplicateValues" dxfId="264" priority="74"/>
    <cfRule type="duplicateValues" dxfId="263" priority="75"/>
    <cfRule type="duplicateValues" dxfId="262" priority="76"/>
    <cfRule type="duplicateValues" dxfId="261" priority="77"/>
    <cfRule type="duplicateValues" dxfId="260" priority="78"/>
    <cfRule type="duplicateValues" dxfId="259" priority="79"/>
    <cfRule type="duplicateValues" dxfId="258" priority="80"/>
    <cfRule type="duplicateValues" dxfId="257" priority="81"/>
  </conditionalFormatting>
  <conditionalFormatting sqref="C47:C49">
    <cfRule type="duplicateValues" dxfId="256" priority="57"/>
    <cfRule type="duplicateValues" dxfId="255" priority="58"/>
    <cfRule type="duplicateValues" dxfId="254" priority="59"/>
    <cfRule type="duplicateValues" dxfId="253" priority="60"/>
    <cfRule type="duplicateValues" dxfId="252" priority="61"/>
  </conditionalFormatting>
  <conditionalFormatting sqref="C49">
    <cfRule type="duplicateValues" dxfId="251" priority="62"/>
    <cfRule type="duplicateValues" dxfId="250" priority="63"/>
    <cfRule type="duplicateValues" dxfId="249" priority="64"/>
    <cfRule type="duplicateValues" dxfId="248" priority="65"/>
    <cfRule type="duplicateValues" dxfId="247" priority="66"/>
  </conditionalFormatting>
  <conditionalFormatting sqref="D3:D5">
    <cfRule type="duplicateValues" dxfId="246" priority="26"/>
    <cfRule type="duplicateValues" dxfId="245" priority="27"/>
    <cfRule type="duplicateValues" dxfId="244" priority="28"/>
  </conditionalFormatting>
  <conditionalFormatting sqref="D3:D80">
    <cfRule type="duplicateValues" dxfId="243" priority="80828"/>
  </conditionalFormatting>
  <conditionalFormatting sqref="D34">
    <cfRule type="duplicateValues" dxfId="242" priority="36"/>
    <cfRule type="duplicateValues" dxfId="241" priority="45"/>
    <cfRule type="duplicateValues" dxfId="240" priority="46"/>
    <cfRule type="duplicateValues" dxfId="239" priority="47"/>
    <cfRule type="duplicateValues" dxfId="238" priority="52"/>
    <cfRule type="duplicateValues" dxfId="237" priority="54"/>
  </conditionalFormatting>
  <conditionalFormatting sqref="D35:D80 D3:D33">
    <cfRule type="duplicateValues" dxfId="236" priority="80771"/>
  </conditionalFormatting>
  <conditionalFormatting sqref="D35:D80 D6:D33">
    <cfRule type="duplicateValues" dxfId="235" priority="80790"/>
    <cfRule type="duplicateValues" dxfId="234" priority="80791"/>
    <cfRule type="duplicateValues" dxfId="233" priority="80792"/>
  </conditionalFormatting>
  <conditionalFormatting sqref="D35:D80">
    <cfRule type="duplicateValues" dxfId="232" priority="80776"/>
  </conditionalFormatting>
  <conditionalFormatting sqref="D40:D80 D3:D33">
    <cfRule type="duplicateValues" dxfId="231" priority="80823"/>
  </conditionalFormatting>
  <conditionalFormatting sqref="E3:E5">
    <cfRule type="duplicateValues" dxfId="230" priority="31"/>
    <cfRule type="duplicateValues" dxfId="229" priority="32"/>
    <cfRule type="duplicateValues" dxfId="228" priority="33"/>
    <cfRule type="duplicateValues" dxfId="227" priority="91"/>
    <cfRule type="duplicateValues" dxfId="226" priority="96"/>
    <cfRule type="duplicateValues" dxfId="225" priority="97"/>
  </conditionalFormatting>
  <conditionalFormatting sqref="E6">
    <cfRule type="duplicateValues" dxfId="224" priority="83"/>
    <cfRule type="duplicateValues" dxfId="223" priority="88"/>
    <cfRule type="duplicateValues" dxfId="222" priority="89"/>
  </conditionalFormatting>
  <conditionalFormatting sqref="E34">
    <cfRule type="duplicateValues" dxfId="221" priority="37"/>
    <cfRule type="duplicateValues" dxfId="220" priority="42"/>
    <cfRule type="duplicateValues" dxfId="219" priority="43"/>
    <cfRule type="duplicateValues" dxfId="218" priority="48"/>
    <cfRule type="duplicateValues" dxfId="217" priority="49"/>
    <cfRule type="duplicateValues" dxfId="216" priority="50"/>
    <cfRule type="duplicateValues" dxfId="215" priority="56"/>
  </conditionalFormatting>
  <conditionalFormatting sqref="E35:E80 E3:E33">
    <cfRule type="duplicateValues" dxfId="214" priority="80765"/>
  </conditionalFormatting>
  <conditionalFormatting sqref="E35:E80 E6:E33">
    <cfRule type="duplicateValues" dxfId="213" priority="80781"/>
    <cfRule type="duplicateValues" dxfId="212" priority="80784"/>
    <cfRule type="duplicateValues" dxfId="211" priority="80785"/>
  </conditionalFormatting>
  <conditionalFormatting sqref="E35:E80 E7:E33">
    <cfRule type="duplicateValues" dxfId="210" priority="80802"/>
    <cfRule type="duplicateValues" dxfId="209" priority="80803"/>
    <cfRule type="duplicateValues" dxfId="208" priority="8082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46"/>
  <sheetViews>
    <sheetView view="pageBreakPreview" topLeftCell="A22" zoomScale="70" zoomScaleNormal="55" zoomScaleSheetLayoutView="70" workbookViewId="0">
      <selection activeCell="D37" sqref="D37:D39"/>
    </sheetView>
  </sheetViews>
  <sheetFormatPr defaultRowHeight="15"/>
  <cols>
    <col min="1" max="1" width="3.28515625" customWidth="1"/>
    <col min="2" max="2" width="57" customWidth="1"/>
    <col min="3" max="3" width="29.7109375" bestFit="1" customWidth="1"/>
    <col min="4" max="5" width="20.28515625" customWidth="1"/>
    <col min="6" max="6" width="21.85546875" bestFit="1" customWidth="1"/>
    <col min="7" max="7" width="20.28515625" customWidth="1"/>
    <col min="8" max="8" width="23.28515625" bestFit="1" customWidth="1"/>
    <col min="9" max="9" width="26.28515625" bestFit="1" customWidth="1"/>
    <col min="10" max="10" width="20.28515625" customWidth="1"/>
    <col min="11" max="11" width="3.5703125" hidden="1" customWidth="1"/>
    <col min="12" max="16" width="9.140625" hidden="1" customWidth="1"/>
    <col min="17" max="17" width="4" bestFit="1" customWidth="1"/>
    <col min="31" max="32" width="5.42578125" style="56" customWidth="1"/>
  </cols>
  <sheetData>
    <row r="1" spans="2:32" ht="39" customHeight="1" thickBot="1">
      <c r="B1" s="193" t="s">
        <v>1211</v>
      </c>
      <c r="C1" s="79"/>
      <c r="D1" s="79"/>
      <c r="I1" s="80">
        <f>+IPPODROM!I2</f>
        <v>46122</v>
      </c>
      <c r="J1" s="81" t="str">
        <f>+IPPODROM!I1</f>
        <v>Пятница</v>
      </c>
    </row>
    <row r="2" spans="2:32" ht="33.75" customHeight="1" thickBot="1">
      <c r="B2" s="82" t="s">
        <v>632</v>
      </c>
      <c r="C2" s="82" t="s">
        <v>633</v>
      </c>
      <c r="D2" s="83" t="s">
        <v>634</v>
      </c>
      <c r="E2" s="84" t="s">
        <v>635</v>
      </c>
      <c r="F2" s="83" t="s">
        <v>636</v>
      </c>
      <c r="G2" s="84" t="s">
        <v>637</v>
      </c>
      <c r="H2" s="83" t="s">
        <v>638</v>
      </c>
      <c r="I2" s="84" t="s">
        <v>639</v>
      </c>
      <c r="J2" s="85" t="s">
        <v>640</v>
      </c>
    </row>
    <row r="3" spans="2:32" ht="28.5" customHeight="1" thickBot="1">
      <c r="B3" s="86" t="s">
        <v>641</v>
      </c>
      <c r="C3" s="87" t="s">
        <v>642</v>
      </c>
      <c r="D3" s="88">
        <f>IPPODROM!A165</f>
        <v>19</v>
      </c>
      <c r="E3" s="89">
        <f>IPPODROM!K166</f>
        <v>14</v>
      </c>
      <c r="F3" s="89">
        <f>E3-G3</f>
        <v>13</v>
      </c>
      <c r="G3" s="89">
        <f>IPPODROM!L166</f>
        <v>1</v>
      </c>
      <c r="H3" s="89">
        <f>D3-E3</f>
        <v>5</v>
      </c>
      <c r="I3" s="89">
        <f>IPPODROM!J166</f>
        <v>4</v>
      </c>
      <c r="J3" s="90">
        <f>IPPODROM!M166</f>
        <v>1</v>
      </c>
      <c r="L3" s="91"/>
      <c r="S3" s="194"/>
    </row>
    <row r="4" spans="2:32" ht="28.5" customHeight="1" thickBot="1">
      <c r="B4" s="86" t="s">
        <v>643</v>
      </c>
      <c r="C4" s="87" t="s">
        <v>644</v>
      </c>
      <c r="D4" s="88">
        <f>IPPODROM!A381</f>
        <v>215</v>
      </c>
      <c r="E4" s="89">
        <f>IPPODROM!K382</f>
        <v>180</v>
      </c>
      <c r="F4" s="89">
        <f t="shared" ref="F4:F25" si="0">E4-G4</f>
        <v>158</v>
      </c>
      <c r="G4" s="89">
        <f>IPPODROM!L382</f>
        <v>22</v>
      </c>
      <c r="H4" s="89">
        <f t="shared" ref="H4:H25" si="1">D4-E4</f>
        <v>35</v>
      </c>
      <c r="I4" s="89">
        <f>IPPODROM!J382</f>
        <v>19</v>
      </c>
      <c r="J4" s="90">
        <f>IPPODROM!M382</f>
        <v>16</v>
      </c>
      <c r="L4" s="91"/>
      <c r="S4" s="194"/>
    </row>
    <row r="5" spans="2:32" ht="28.5" customHeight="1" thickBot="1">
      <c r="B5" s="92" t="s">
        <v>645</v>
      </c>
      <c r="C5" s="87" t="s">
        <v>646</v>
      </c>
      <c r="D5" s="88">
        <f>IPPODROM!A461</f>
        <v>79</v>
      </c>
      <c r="E5" s="89">
        <f>IPPODROM!K462</f>
        <v>70</v>
      </c>
      <c r="F5" s="89">
        <f t="shared" si="0"/>
        <v>68</v>
      </c>
      <c r="G5" s="89">
        <f>IPPODROM!L462</f>
        <v>2</v>
      </c>
      <c r="H5" s="89">
        <f t="shared" si="1"/>
        <v>9</v>
      </c>
      <c r="I5" s="93">
        <f>IPPODROM!J462</f>
        <v>5</v>
      </c>
      <c r="J5" s="90">
        <f>IPPODROM!M462</f>
        <v>4</v>
      </c>
      <c r="S5" s="194"/>
      <c r="AF5" s="230">
        <f>+E5+E6</f>
        <v>110</v>
      </c>
    </row>
    <row r="6" spans="2:32" ht="28.5" customHeight="1" thickBot="1">
      <c r="B6" s="92" t="s">
        <v>647</v>
      </c>
      <c r="C6" s="87" t="s">
        <v>646</v>
      </c>
      <c r="D6" s="88">
        <f>IPPODROM!A526</f>
        <v>64</v>
      </c>
      <c r="E6" s="89">
        <f>IPPODROM!K527</f>
        <v>40</v>
      </c>
      <c r="F6" s="89">
        <f t="shared" si="0"/>
        <v>37</v>
      </c>
      <c r="G6" s="89">
        <f>IPPODROM!L527</f>
        <v>3</v>
      </c>
      <c r="H6" s="89">
        <f t="shared" si="1"/>
        <v>24</v>
      </c>
      <c r="I6" s="93">
        <f>IPPODROM!J527</f>
        <v>4</v>
      </c>
      <c r="J6" s="90">
        <f>IPPODROM!M527</f>
        <v>20</v>
      </c>
      <c r="S6" s="194"/>
    </row>
    <row r="7" spans="2:32" ht="28.5" customHeight="1" thickBot="1">
      <c r="B7" s="86" t="s">
        <v>648</v>
      </c>
      <c r="C7" s="87" t="s">
        <v>649</v>
      </c>
      <c r="D7" s="88">
        <f>+IPPODROM!A651</f>
        <v>124</v>
      </c>
      <c r="E7" s="89">
        <f>IPPODROM!K652</f>
        <v>106</v>
      </c>
      <c r="F7" s="89">
        <f t="shared" si="0"/>
        <v>82</v>
      </c>
      <c r="G7" s="89">
        <f>IPPODROM!L652</f>
        <v>24</v>
      </c>
      <c r="H7" s="89">
        <f t="shared" si="1"/>
        <v>18</v>
      </c>
      <c r="I7" s="93">
        <f>IPPODROM!J652</f>
        <v>6</v>
      </c>
      <c r="J7" s="90">
        <f>IPPODROM!M652</f>
        <v>12</v>
      </c>
      <c r="S7" s="194"/>
      <c r="AE7" s="56" t="s">
        <v>1355</v>
      </c>
      <c r="AF7" s="230">
        <f>SUM(E7:E25)</f>
        <v>940</v>
      </c>
    </row>
    <row r="8" spans="2:32" ht="28.5" customHeight="1" thickBot="1">
      <c r="B8" s="86" t="s">
        <v>650</v>
      </c>
      <c r="C8" s="87" t="s">
        <v>651</v>
      </c>
      <c r="D8" s="88">
        <f>IPPODROM!A699</f>
        <v>47</v>
      </c>
      <c r="E8" s="89">
        <f>IPPODROM!K700</f>
        <v>21</v>
      </c>
      <c r="F8" s="89">
        <f t="shared" si="0"/>
        <v>20</v>
      </c>
      <c r="G8" s="89">
        <f>IPPODROM!L700</f>
        <v>1</v>
      </c>
      <c r="H8" s="89">
        <f t="shared" si="1"/>
        <v>26</v>
      </c>
      <c r="I8" s="93">
        <f>IPPODROM!J700</f>
        <v>5</v>
      </c>
      <c r="J8" s="90">
        <f>IPPODROM!M700</f>
        <v>21</v>
      </c>
      <c r="S8" s="194"/>
      <c r="AE8" s="56" t="s">
        <v>1356</v>
      </c>
      <c r="AF8" s="230">
        <f>SUM(I7:I25)</f>
        <v>69</v>
      </c>
    </row>
    <row r="9" spans="2:32" ht="28.5" customHeight="1" thickBot="1">
      <c r="B9" s="86" t="s">
        <v>652</v>
      </c>
      <c r="C9" s="87" t="s">
        <v>653</v>
      </c>
      <c r="D9" s="88">
        <f>IPPODROM!A707</f>
        <v>7</v>
      </c>
      <c r="E9" s="89">
        <f>IPPODROM!K708</f>
        <v>0</v>
      </c>
      <c r="F9" s="89">
        <f t="shared" si="0"/>
        <v>0</v>
      </c>
      <c r="G9" s="89">
        <f>+IPPODROM!L708</f>
        <v>0</v>
      </c>
      <c r="H9" s="89">
        <f t="shared" si="1"/>
        <v>7</v>
      </c>
      <c r="I9" s="93">
        <f>IPPODROM!J708</f>
        <v>0</v>
      </c>
      <c r="J9" s="90">
        <f>IPPODROM!M708</f>
        <v>7</v>
      </c>
      <c r="S9" s="194"/>
      <c r="AE9" s="56" t="s">
        <v>979</v>
      </c>
      <c r="AF9" s="230">
        <f>SUM(J7:J25)</f>
        <v>70</v>
      </c>
    </row>
    <row r="10" spans="2:32" ht="28.5" customHeight="1" thickBot="1">
      <c r="B10" s="86" t="s">
        <v>1680</v>
      </c>
      <c r="C10" s="87" t="s">
        <v>1678</v>
      </c>
      <c r="D10" s="88">
        <f>+IPPODROM!A758</f>
        <v>50</v>
      </c>
      <c r="E10" s="89">
        <f>+IPPODROM!K759</f>
        <v>43</v>
      </c>
      <c r="F10" s="89">
        <f t="shared" si="0"/>
        <v>42</v>
      </c>
      <c r="G10" s="89">
        <f>+IPPODROM!L759</f>
        <v>1</v>
      </c>
      <c r="H10" s="89">
        <f t="shared" si="1"/>
        <v>7</v>
      </c>
      <c r="I10" s="93">
        <f>+IPPODROM!J759</f>
        <v>7</v>
      </c>
      <c r="J10" s="90">
        <f>+IPPODROM!M759</f>
        <v>0</v>
      </c>
      <c r="S10" s="194"/>
    </row>
    <row r="11" spans="2:32" ht="28.5" customHeight="1" thickBot="1">
      <c r="B11" s="86" t="s">
        <v>654</v>
      </c>
      <c r="C11" s="87" t="s">
        <v>655</v>
      </c>
      <c r="D11" s="88">
        <f>IPPODROM!A879</f>
        <v>120</v>
      </c>
      <c r="E11" s="89">
        <f>IPPODROM!K880</f>
        <v>108</v>
      </c>
      <c r="F11" s="89">
        <f t="shared" si="0"/>
        <v>107</v>
      </c>
      <c r="G11" s="89">
        <f>IPPODROM!L880</f>
        <v>1</v>
      </c>
      <c r="H11" s="89">
        <f t="shared" si="1"/>
        <v>12</v>
      </c>
      <c r="I11" s="93">
        <f>IPPODROM!J880</f>
        <v>6</v>
      </c>
      <c r="J11" s="90">
        <f>IPPODROM!M880</f>
        <v>6</v>
      </c>
      <c r="S11" s="194"/>
    </row>
    <row r="12" spans="2:32" ht="28.5" customHeight="1" thickBot="1">
      <c r="B12" s="86" t="s">
        <v>453</v>
      </c>
      <c r="C12" s="87" t="s">
        <v>656</v>
      </c>
      <c r="D12" s="88">
        <f>IPPODROM!A910</f>
        <v>30</v>
      </c>
      <c r="E12" s="89">
        <f>IPPODROM!K911</f>
        <v>26</v>
      </c>
      <c r="F12" s="89">
        <f t="shared" si="0"/>
        <v>18</v>
      </c>
      <c r="G12" s="89">
        <f>IPPODROM!L911</f>
        <v>8</v>
      </c>
      <c r="H12" s="89">
        <f t="shared" si="1"/>
        <v>4</v>
      </c>
      <c r="I12" s="93">
        <f>IPPODROM!J911</f>
        <v>4</v>
      </c>
      <c r="J12" s="90">
        <f>IPPODROM!M911</f>
        <v>0</v>
      </c>
      <c r="S12" s="194"/>
    </row>
    <row r="13" spans="2:32" ht="28.5" customHeight="1" thickBot="1">
      <c r="B13" s="86" t="s">
        <v>455</v>
      </c>
      <c r="C13" s="87" t="s">
        <v>657</v>
      </c>
      <c r="D13" s="88">
        <f>IPPODROM!A992</f>
        <v>81</v>
      </c>
      <c r="E13" s="89">
        <f>IPPODROM!K993</f>
        <v>70</v>
      </c>
      <c r="F13" s="89">
        <f t="shared" si="0"/>
        <v>69</v>
      </c>
      <c r="G13" s="89">
        <f>IPPODROM!L993</f>
        <v>1</v>
      </c>
      <c r="H13" s="89">
        <f t="shared" si="1"/>
        <v>11</v>
      </c>
      <c r="I13" s="93">
        <f>IPPODROM!J993</f>
        <v>10</v>
      </c>
      <c r="J13" s="90">
        <f>IPPODROM!M993</f>
        <v>1</v>
      </c>
      <c r="S13" s="194"/>
    </row>
    <row r="14" spans="2:32" ht="28.5" customHeight="1" thickBot="1">
      <c r="B14" s="236" t="s">
        <v>3040</v>
      </c>
      <c r="C14" s="237" t="s">
        <v>3041</v>
      </c>
      <c r="D14" s="88">
        <f>IPPODROM!A1011</f>
        <v>18</v>
      </c>
      <c r="E14" s="89">
        <f>IPPODROM!K1012</f>
        <v>17</v>
      </c>
      <c r="F14" s="89">
        <f t="shared" ref="F14" si="2">E14-G14</f>
        <v>17</v>
      </c>
      <c r="G14" s="89">
        <f>IPPODROM!L1012</f>
        <v>0</v>
      </c>
      <c r="H14" s="89">
        <f t="shared" ref="H14" si="3">D14-E14</f>
        <v>1</v>
      </c>
      <c r="I14" s="93">
        <f>IPPODROM!J1012</f>
        <v>1</v>
      </c>
      <c r="J14" s="90">
        <f>IPPODROM!M1012</f>
        <v>0</v>
      </c>
      <c r="S14" s="194"/>
    </row>
    <row r="15" spans="2:32" ht="28.5" customHeight="1" thickBot="1">
      <c r="B15" s="86" t="s">
        <v>2274</v>
      </c>
      <c r="C15" s="87" t="s">
        <v>2275</v>
      </c>
      <c r="D15" s="88">
        <f>+IPPODROM!A1064</f>
        <v>52</v>
      </c>
      <c r="E15" s="89">
        <f>+IPPODROM!K1065</f>
        <v>45</v>
      </c>
      <c r="F15" s="89">
        <f t="shared" si="0"/>
        <v>45</v>
      </c>
      <c r="G15" s="89">
        <f>+IPPODROM!L1065</f>
        <v>0</v>
      </c>
      <c r="H15" s="89">
        <f t="shared" si="1"/>
        <v>7</v>
      </c>
      <c r="I15" s="93">
        <f>+IPPODROM!J1065</f>
        <v>7</v>
      </c>
      <c r="J15" s="90">
        <f>+IPPODROM!M1065</f>
        <v>0</v>
      </c>
      <c r="S15" s="194"/>
    </row>
    <row r="16" spans="2:32" ht="28.5" customHeight="1" thickBot="1">
      <c r="B16" s="236" t="s">
        <v>2425</v>
      </c>
      <c r="C16" s="237" t="s">
        <v>2424</v>
      </c>
      <c r="D16" s="88">
        <f>IPPODROM!A1075</f>
        <v>10</v>
      </c>
      <c r="E16" s="89">
        <f>IPPODROM!K1076</f>
        <v>10</v>
      </c>
      <c r="F16" s="89">
        <f t="shared" si="0"/>
        <v>10</v>
      </c>
      <c r="G16" s="89">
        <f>IPPODROM!L1076</f>
        <v>0</v>
      </c>
      <c r="H16" s="89">
        <f t="shared" si="1"/>
        <v>0</v>
      </c>
      <c r="I16" s="93">
        <f>IPPODROM!J1076</f>
        <v>0</v>
      </c>
      <c r="J16" s="90">
        <f>IPPODROM!M1076</f>
        <v>0</v>
      </c>
      <c r="S16" s="194"/>
    </row>
    <row r="17" spans="2:19" ht="28.5" customHeight="1" thickBot="1">
      <c r="B17" s="86" t="s">
        <v>1428</v>
      </c>
      <c r="C17" s="87" t="s">
        <v>1302</v>
      </c>
      <c r="D17" s="88">
        <f>+IPPODROM!A1243</f>
        <v>47</v>
      </c>
      <c r="E17" s="89">
        <f>+IPPODROM!K1244</f>
        <v>43</v>
      </c>
      <c r="F17" s="89">
        <f t="shared" si="0"/>
        <v>37</v>
      </c>
      <c r="G17" s="89">
        <f>+IPPODROM!L1244</f>
        <v>6</v>
      </c>
      <c r="H17" s="89">
        <f t="shared" si="1"/>
        <v>4</v>
      </c>
      <c r="I17" s="89">
        <f>+IPPODROM!J1244</f>
        <v>4</v>
      </c>
      <c r="J17" s="90">
        <f>+IPPODROM!M1244</f>
        <v>0</v>
      </c>
      <c r="S17" s="194"/>
    </row>
    <row r="18" spans="2:19" ht="28.5" customHeight="1" thickBot="1">
      <c r="B18" s="92" t="s">
        <v>658</v>
      </c>
      <c r="C18" s="87" t="s">
        <v>501</v>
      </c>
      <c r="D18" s="88">
        <f>IPPODROM!A1125</f>
        <v>49</v>
      </c>
      <c r="E18" s="89">
        <f>IPPODROM!K1126</f>
        <v>44</v>
      </c>
      <c r="F18" s="89">
        <f t="shared" si="0"/>
        <v>44</v>
      </c>
      <c r="G18" s="89">
        <f>IPPODROM!L1126</f>
        <v>0</v>
      </c>
      <c r="H18" s="89">
        <f t="shared" si="1"/>
        <v>5</v>
      </c>
      <c r="I18" s="93">
        <f>IPPODROM!J1126</f>
        <v>0</v>
      </c>
      <c r="J18" s="90">
        <f>IPPODROM!M1126</f>
        <v>5</v>
      </c>
      <c r="S18" s="194"/>
    </row>
    <row r="19" spans="2:19" ht="28.5" customHeight="1" thickBot="1">
      <c r="B19" s="86" t="s">
        <v>659</v>
      </c>
      <c r="C19" s="87" t="s">
        <v>660</v>
      </c>
      <c r="D19" s="88">
        <f>IPPODROM!A1168</f>
        <v>42</v>
      </c>
      <c r="E19" s="89">
        <f>IPPODROM!K1169</f>
        <v>42</v>
      </c>
      <c r="F19" s="89">
        <f t="shared" si="0"/>
        <v>26</v>
      </c>
      <c r="G19" s="89">
        <f>IPPODROM!L1169</f>
        <v>16</v>
      </c>
      <c r="H19" s="89">
        <f t="shared" si="1"/>
        <v>0</v>
      </c>
      <c r="I19" s="89">
        <f>IPPODROM!J1169</f>
        <v>0</v>
      </c>
      <c r="J19" s="90">
        <f>IPPODROM!M1169</f>
        <v>0</v>
      </c>
      <c r="S19" s="194"/>
    </row>
    <row r="20" spans="2:19" ht="28.5" customHeight="1" thickBot="1">
      <c r="B20" s="86" t="s">
        <v>661</v>
      </c>
      <c r="C20" s="87" t="s">
        <v>662</v>
      </c>
      <c r="D20" s="88">
        <f>IPPODROM!A1195</f>
        <v>26</v>
      </c>
      <c r="E20" s="89">
        <f>IPPODROM!K1196</f>
        <v>24</v>
      </c>
      <c r="F20" s="89">
        <f t="shared" si="0"/>
        <v>22</v>
      </c>
      <c r="G20" s="89">
        <f>IPPODROM!L1196</f>
        <v>2</v>
      </c>
      <c r="H20" s="89">
        <f t="shared" si="1"/>
        <v>2</v>
      </c>
      <c r="I20" s="89">
        <f>IPPODROM!J1196</f>
        <v>2</v>
      </c>
      <c r="J20" s="90">
        <f>IPPODROM!M1196</f>
        <v>0</v>
      </c>
      <c r="S20" s="194"/>
    </row>
    <row r="21" spans="2:19" ht="28.5" customHeight="1" thickBot="1">
      <c r="B21" s="86" t="s">
        <v>663</v>
      </c>
      <c r="C21" s="87" t="s">
        <v>664</v>
      </c>
      <c r="D21" s="88">
        <f>IPPODROM!A1288</f>
        <v>44</v>
      </c>
      <c r="E21" s="89">
        <f>IPPODROM!K1289</f>
        <v>43</v>
      </c>
      <c r="F21" s="89">
        <f t="shared" si="0"/>
        <v>35</v>
      </c>
      <c r="G21" s="89">
        <f>IPPODROM!L1289</f>
        <v>8</v>
      </c>
      <c r="H21" s="89">
        <f t="shared" si="1"/>
        <v>1</v>
      </c>
      <c r="I21" s="89">
        <f>IPPODROM!J1289</f>
        <v>1</v>
      </c>
      <c r="J21" s="90">
        <f>IPPODROM!M1289</f>
        <v>0</v>
      </c>
      <c r="S21" s="194"/>
    </row>
    <row r="22" spans="2:19" ht="28.5" customHeight="1" thickBot="1">
      <c r="B22" s="236" t="s">
        <v>2712</v>
      </c>
      <c r="C22" s="237" t="s">
        <v>2713</v>
      </c>
      <c r="D22" s="88">
        <f>IPPODROM!A1332</f>
        <v>43</v>
      </c>
      <c r="E22" s="89">
        <f>IPPODROM!K1333</f>
        <v>41</v>
      </c>
      <c r="F22" s="89">
        <f t="shared" ref="F22" si="4">E22-G22</f>
        <v>36</v>
      </c>
      <c r="G22" s="89">
        <f>IPPODROM!L1333</f>
        <v>5</v>
      </c>
      <c r="H22" s="89">
        <f t="shared" ref="H22" si="5">D22-E22</f>
        <v>2</v>
      </c>
      <c r="I22" s="89">
        <f>IPPODROM!J1333</f>
        <v>2</v>
      </c>
      <c r="J22" s="90">
        <f>IPPODROM!M1333</f>
        <v>0</v>
      </c>
      <c r="S22" s="194"/>
    </row>
    <row r="23" spans="2:19" ht="28.5" customHeight="1" thickBot="1">
      <c r="B23" s="86" t="s">
        <v>665</v>
      </c>
      <c r="C23" s="87" t="s">
        <v>666</v>
      </c>
      <c r="D23" s="88">
        <f>IPPODROM!A1361</f>
        <v>28</v>
      </c>
      <c r="E23" s="89">
        <f>IPPODROM!K1362</f>
        <v>27</v>
      </c>
      <c r="F23" s="89">
        <f t="shared" si="0"/>
        <v>18</v>
      </c>
      <c r="G23" s="89">
        <f>IPPODROM!L1362</f>
        <v>9</v>
      </c>
      <c r="H23" s="89">
        <f t="shared" si="1"/>
        <v>1</v>
      </c>
      <c r="I23" s="89">
        <f>IPPODROM!J1362</f>
        <v>1</v>
      </c>
      <c r="J23" s="90">
        <f>IPPODROM!M1362</f>
        <v>0</v>
      </c>
      <c r="S23" s="194"/>
    </row>
    <row r="24" spans="2:19" ht="28.5" customHeight="1" thickBot="1">
      <c r="B24" s="86" t="s">
        <v>667</v>
      </c>
      <c r="C24" s="94" t="s">
        <v>668</v>
      </c>
      <c r="D24" s="88">
        <f>IPPODROM!A1419</f>
        <v>57</v>
      </c>
      <c r="E24" s="89">
        <f>IPPODROM!K1420</f>
        <v>52</v>
      </c>
      <c r="F24" s="89">
        <f t="shared" si="0"/>
        <v>43</v>
      </c>
      <c r="G24" s="89">
        <f>IPPODROM!L1420</f>
        <v>9</v>
      </c>
      <c r="H24" s="89">
        <f t="shared" si="1"/>
        <v>5</v>
      </c>
      <c r="I24" s="89">
        <f>IPPODROM!J1420</f>
        <v>5</v>
      </c>
      <c r="J24" s="90">
        <f>IPPODROM!M1420</f>
        <v>0</v>
      </c>
      <c r="S24" s="194"/>
    </row>
    <row r="25" spans="2:19" ht="28.5" customHeight="1" thickBot="1">
      <c r="B25" s="86" t="s">
        <v>667</v>
      </c>
      <c r="C25" s="87" t="s">
        <v>669</v>
      </c>
      <c r="D25" s="88">
        <f>IPPODROM!A1624</f>
        <v>204</v>
      </c>
      <c r="E25" s="89">
        <f>+IPPODROM!K1625</f>
        <v>178</v>
      </c>
      <c r="F25" s="89">
        <f t="shared" si="0"/>
        <v>144</v>
      </c>
      <c r="G25" s="89">
        <f>IPPODROM!L1625</f>
        <v>34</v>
      </c>
      <c r="H25" s="89">
        <f t="shared" si="1"/>
        <v>26</v>
      </c>
      <c r="I25" s="89">
        <f>+IPPODROM!J1625</f>
        <v>8</v>
      </c>
      <c r="J25" s="90">
        <f>+IPPODROM!M1625</f>
        <v>18</v>
      </c>
      <c r="S25" s="194"/>
    </row>
    <row r="26" spans="2:19" ht="30" customHeight="1" thickBot="1">
      <c r="B26" s="95" t="s">
        <v>670</v>
      </c>
      <c r="C26" s="96"/>
      <c r="D26" s="97">
        <f t="shared" ref="D26:J26" si="6">SUM(D3:D25)</f>
        <v>1456</v>
      </c>
      <c r="E26" s="97">
        <f t="shared" si="6"/>
        <v>1244</v>
      </c>
      <c r="F26" s="97">
        <f t="shared" si="6"/>
        <v>1091</v>
      </c>
      <c r="G26" s="97">
        <f t="shared" si="6"/>
        <v>153</v>
      </c>
      <c r="H26" s="97">
        <f t="shared" si="6"/>
        <v>212</v>
      </c>
      <c r="I26" s="97">
        <f t="shared" si="6"/>
        <v>101</v>
      </c>
      <c r="J26" s="97">
        <f t="shared" si="6"/>
        <v>111</v>
      </c>
    </row>
    <row r="27" spans="2:19" ht="33.75" customHeight="1" thickBot="1">
      <c r="B27" s="271" t="s">
        <v>671</v>
      </c>
      <c r="C27" s="272"/>
      <c r="D27" s="272"/>
      <c r="E27" s="272"/>
      <c r="F27" s="272"/>
      <c r="G27" s="272"/>
      <c r="H27" s="272"/>
      <c r="I27" s="272"/>
      <c r="J27" s="273"/>
    </row>
    <row r="28" spans="2:19" ht="28.5" customHeight="1" thickBot="1">
      <c r="B28" s="92" t="s">
        <v>672</v>
      </c>
      <c r="C28" s="98"/>
      <c r="D28" s="88">
        <f>IPPODROM!N57</f>
        <v>54</v>
      </c>
      <c r="E28" s="89">
        <f>IPPODROM!K57</f>
        <v>44</v>
      </c>
      <c r="F28" s="89">
        <f t="shared" ref="F28:F33" si="7">E28-G28</f>
        <v>44</v>
      </c>
      <c r="G28" s="89">
        <f>IPPODROM!L57</f>
        <v>0</v>
      </c>
      <c r="H28" s="89">
        <f t="shared" ref="H28:H33" si="8">D28-E28</f>
        <v>10</v>
      </c>
      <c r="I28" s="93">
        <f>IPPODROM!J57</f>
        <v>0</v>
      </c>
      <c r="J28" s="90">
        <f>IPPODROM!M57</f>
        <v>10</v>
      </c>
    </row>
    <row r="29" spans="2:19" ht="28.5" customHeight="1" thickBot="1">
      <c r="B29" s="92" t="s">
        <v>139</v>
      </c>
      <c r="C29" s="98"/>
      <c r="D29" s="88">
        <f>IPPODROM!A145</f>
        <v>21</v>
      </c>
      <c r="E29" s="89">
        <f>IPPODROM!K146</f>
        <v>21</v>
      </c>
      <c r="F29" s="89">
        <f t="shared" si="7"/>
        <v>21</v>
      </c>
      <c r="G29" s="89">
        <f>IPPODROM!L146</f>
        <v>0</v>
      </c>
      <c r="H29" s="89">
        <f t="shared" si="8"/>
        <v>0</v>
      </c>
      <c r="I29" s="93">
        <f>IPPODROM!J146</f>
        <v>0</v>
      </c>
      <c r="J29" s="90">
        <f>IPPODROM!M146</f>
        <v>0</v>
      </c>
    </row>
    <row r="30" spans="2:19" ht="28.5" customHeight="1" thickBot="1">
      <c r="B30" s="92" t="s">
        <v>77</v>
      </c>
      <c r="C30" s="98"/>
      <c r="D30" s="88">
        <f>IPPODROM!A66</f>
        <v>9</v>
      </c>
      <c r="E30" s="89">
        <f>IPPODROM!K67</f>
        <v>6</v>
      </c>
      <c r="F30" s="89">
        <f t="shared" si="7"/>
        <v>6</v>
      </c>
      <c r="G30" s="89">
        <f>IPPODROM!L67</f>
        <v>0</v>
      </c>
      <c r="H30" s="89">
        <f>D30-E30</f>
        <v>3</v>
      </c>
      <c r="I30" s="93">
        <f>IPPODROM!J67</f>
        <v>0</v>
      </c>
      <c r="J30" s="90">
        <f>IPPODROM!M67</f>
        <v>3</v>
      </c>
    </row>
    <row r="31" spans="2:19" ht="28.5" customHeight="1" thickBot="1">
      <c r="B31" s="92" t="s">
        <v>96</v>
      </c>
      <c r="C31" s="98"/>
      <c r="D31" s="88">
        <f>IPPODROM!A91</f>
        <v>24</v>
      </c>
      <c r="E31" s="89">
        <f>IPPODROM!K92</f>
        <v>17</v>
      </c>
      <c r="F31" s="89">
        <f t="shared" si="7"/>
        <v>9</v>
      </c>
      <c r="G31" s="89">
        <f>IPPODROM!L92</f>
        <v>8</v>
      </c>
      <c r="H31" s="89">
        <f t="shared" si="8"/>
        <v>7</v>
      </c>
      <c r="I31" s="93">
        <f>IPPODROM!J92</f>
        <v>0</v>
      </c>
      <c r="J31" s="90">
        <f>IPPODROM!M92</f>
        <v>7</v>
      </c>
    </row>
    <row r="32" spans="2:19" ht="28.5" customHeight="1" thickBot="1">
      <c r="B32" s="92" t="s">
        <v>673</v>
      </c>
      <c r="C32" s="98"/>
      <c r="D32" s="88">
        <f>IPPODROM!A104</f>
        <v>12</v>
      </c>
      <c r="E32" s="89">
        <f>IPPODROM!K105</f>
        <v>11</v>
      </c>
      <c r="F32" s="89">
        <f t="shared" si="7"/>
        <v>10</v>
      </c>
      <c r="G32" s="89">
        <f>IPPODROM!L105</f>
        <v>1</v>
      </c>
      <c r="H32" s="89">
        <f t="shared" si="8"/>
        <v>1</v>
      </c>
      <c r="I32" s="93">
        <f>IPPODROM!J105</f>
        <v>0</v>
      </c>
      <c r="J32" s="90">
        <f>IPPODROM!M105</f>
        <v>1</v>
      </c>
    </row>
    <row r="33" spans="2:10" ht="28.5" customHeight="1" thickBot="1">
      <c r="B33" s="92" t="s">
        <v>126</v>
      </c>
      <c r="C33" s="98"/>
      <c r="D33" s="88">
        <f>IPPODROM!A123</f>
        <v>18</v>
      </c>
      <c r="E33" s="99">
        <f>IPPODROM!K124</f>
        <v>10</v>
      </c>
      <c r="F33" s="89">
        <f t="shared" si="7"/>
        <v>8</v>
      </c>
      <c r="G33" s="89">
        <f>IPPODROM!L124</f>
        <v>2</v>
      </c>
      <c r="H33" s="89">
        <f t="shared" si="8"/>
        <v>8</v>
      </c>
      <c r="I33" s="93">
        <f>IPPODROM!J124</f>
        <v>1</v>
      </c>
      <c r="J33" s="90">
        <f>IPPODROM!M124</f>
        <v>7</v>
      </c>
    </row>
    <row r="34" spans="2:10" ht="30" customHeight="1" thickBot="1">
      <c r="B34" s="95" t="s">
        <v>674</v>
      </c>
      <c r="C34" s="96"/>
      <c r="D34" s="100">
        <f>SUM(D28:D33)</f>
        <v>138</v>
      </c>
      <c r="E34" s="100">
        <f t="shared" ref="E34:J34" si="9">SUM(E28:E33)</f>
        <v>109</v>
      </c>
      <c r="F34" s="100">
        <f t="shared" si="9"/>
        <v>98</v>
      </c>
      <c r="G34" s="100">
        <f t="shared" si="9"/>
        <v>11</v>
      </c>
      <c r="H34" s="100">
        <f t="shared" si="9"/>
        <v>29</v>
      </c>
      <c r="I34" s="100">
        <f t="shared" si="9"/>
        <v>1</v>
      </c>
      <c r="J34" s="100">
        <f t="shared" si="9"/>
        <v>28</v>
      </c>
    </row>
    <row r="35" spans="2:10" ht="28.5" customHeight="1" thickBot="1">
      <c r="B35" s="101" t="s">
        <v>675</v>
      </c>
      <c r="C35" s="102"/>
      <c r="D35" s="103">
        <f>+D34+D26</f>
        <v>1594</v>
      </c>
      <c r="E35" s="103">
        <f t="shared" ref="E35:J35" si="10">+E34+E26</f>
        <v>1353</v>
      </c>
      <c r="F35" s="103">
        <f t="shared" si="10"/>
        <v>1189</v>
      </c>
      <c r="G35" s="103">
        <f t="shared" si="10"/>
        <v>164</v>
      </c>
      <c r="H35" s="103">
        <f t="shared" si="10"/>
        <v>241</v>
      </c>
      <c r="I35" s="103">
        <f t="shared" si="10"/>
        <v>102</v>
      </c>
      <c r="J35" s="103">
        <f t="shared" si="10"/>
        <v>139</v>
      </c>
    </row>
    <row r="36" spans="2:10" ht="15.75" hidden="1" thickBot="1">
      <c r="B36" s="104"/>
      <c r="C36" s="105"/>
      <c r="D36" s="106"/>
      <c r="E36" s="106"/>
      <c r="F36" s="106"/>
      <c r="G36" s="106"/>
      <c r="H36" s="106"/>
      <c r="I36" s="107"/>
      <c r="J36" s="108"/>
    </row>
    <row r="37" spans="2:10" ht="24" customHeight="1" thickBot="1">
      <c r="B37" s="109" t="s">
        <v>1215</v>
      </c>
      <c r="C37" s="244" t="s">
        <v>2733</v>
      </c>
      <c r="D37" s="195">
        <v>13</v>
      </c>
      <c r="E37" s="110">
        <f>D37</f>
        <v>13</v>
      </c>
      <c r="F37" s="111">
        <f>E37-G37</f>
        <v>13</v>
      </c>
      <c r="G37" s="110">
        <v>0</v>
      </c>
      <c r="H37" s="111">
        <f>D37-E37</f>
        <v>0</v>
      </c>
      <c r="I37" s="111"/>
      <c r="J37" s="112"/>
    </row>
    <row r="38" spans="2:10" ht="24" customHeight="1" thickBot="1">
      <c r="B38" s="109" t="s">
        <v>1216</v>
      </c>
      <c r="C38" s="244" t="s">
        <v>2732</v>
      </c>
      <c r="D38" s="195">
        <v>57</v>
      </c>
      <c r="E38" s="110">
        <f>D38</f>
        <v>57</v>
      </c>
      <c r="F38" s="111">
        <f>E38-G38</f>
        <v>57</v>
      </c>
      <c r="G38" s="110">
        <v>0</v>
      </c>
      <c r="H38" s="111">
        <f>D38-E38</f>
        <v>0</v>
      </c>
      <c r="I38" s="111"/>
      <c r="J38" s="112"/>
    </row>
    <row r="39" spans="2:10" ht="24" customHeight="1" thickBot="1">
      <c r="B39" s="109" t="s">
        <v>1124</v>
      </c>
      <c r="C39" s="244" t="s">
        <v>2731</v>
      </c>
      <c r="D39" s="195">
        <v>72</v>
      </c>
      <c r="E39" s="110">
        <f t="shared" ref="E39" si="11">D39</f>
        <v>72</v>
      </c>
      <c r="F39" s="110">
        <f t="shared" ref="F39" si="12">E39-G39</f>
        <v>72</v>
      </c>
      <c r="G39" s="110">
        <v>0</v>
      </c>
      <c r="H39" s="111">
        <f t="shared" ref="H39" si="13">D39-E39</f>
        <v>0</v>
      </c>
      <c r="I39" s="111"/>
      <c r="J39" s="112"/>
    </row>
    <row r="40" spans="2:10" ht="24" customHeight="1" thickBot="1">
      <c r="B40" s="95" t="s">
        <v>676</v>
      </c>
      <c r="C40" s="96"/>
      <c r="D40" s="100">
        <f>SUM(D37:D39)</f>
        <v>142</v>
      </c>
      <c r="E40" s="100">
        <f t="shared" ref="E40:J40" si="14">SUM(E37:E39)</f>
        <v>142</v>
      </c>
      <c r="F40" s="100">
        <f t="shared" si="14"/>
        <v>142</v>
      </c>
      <c r="G40" s="100">
        <f t="shared" si="14"/>
        <v>0</v>
      </c>
      <c r="H40" s="100">
        <f t="shared" si="14"/>
        <v>0</v>
      </c>
      <c r="I40" s="100">
        <f t="shared" si="14"/>
        <v>0</v>
      </c>
      <c r="J40" s="100">
        <f t="shared" si="14"/>
        <v>0</v>
      </c>
    </row>
    <row r="41" spans="2:10" ht="24" customHeight="1" thickBot="1">
      <c r="B41" s="113"/>
      <c r="C41" s="114"/>
      <c r="D41" s="115"/>
      <c r="E41" s="115"/>
      <c r="F41" s="115"/>
      <c r="G41" s="115"/>
      <c r="H41" s="115"/>
      <c r="I41" s="115"/>
      <c r="J41" s="115"/>
    </row>
    <row r="42" spans="2:10" ht="28.5" customHeight="1" thickBot="1">
      <c r="B42" s="101" t="s">
        <v>677</v>
      </c>
      <c r="C42" s="102"/>
      <c r="D42" s="103">
        <f t="shared" ref="D42:J42" si="15">+D40+D35</f>
        <v>1736</v>
      </c>
      <c r="E42" s="103">
        <f t="shared" si="15"/>
        <v>1495</v>
      </c>
      <c r="F42" s="103">
        <f t="shared" si="15"/>
        <v>1331</v>
      </c>
      <c r="G42" s="103">
        <f t="shared" si="15"/>
        <v>164</v>
      </c>
      <c r="H42" s="103">
        <f t="shared" si="15"/>
        <v>241</v>
      </c>
      <c r="I42" s="103">
        <f t="shared" si="15"/>
        <v>102</v>
      </c>
      <c r="J42" s="103">
        <f t="shared" si="15"/>
        <v>139</v>
      </c>
    </row>
    <row r="43" spans="2:10" ht="36.75" customHeight="1">
      <c r="B43" s="274"/>
      <c r="C43" s="274"/>
      <c r="D43" s="274"/>
      <c r="E43" s="274"/>
      <c r="F43" s="274"/>
      <c r="G43" s="274"/>
      <c r="H43" s="274"/>
      <c r="I43" s="274"/>
      <c r="J43" s="274"/>
    </row>
    <row r="44" spans="2:10" ht="43.5" customHeight="1">
      <c r="B44" s="275" t="s">
        <v>678</v>
      </c>
      <c r="C44" s="275"/>
      <c r="D44" s="275"/>
      <c r="E44" s="275"/>
      <c r="F44" s="275"/>
      <c r="G44" s="275"/>
      <c r="H44" s="275"/>
      <c r="I44" s="275"/>
      <c r="J44" s="275"/>
    </row>
    <row r="45" spans="2:10" ht="40.5" customHeight="1">
      <c r="B45" s="276" t="s">
        <v>14</v>
      </c>
      <c r="C45" s="276"/>
      <c r="D45" s="276"/>
      <c r="E45" s="276"/>
      <c r="F45" s="276"/>
      <c r="G45" s="276"/>
      <c r="H45" s="276"/>
      <c r="I45" s="276"/>
      <c r="J45" s="276"/>
    </row>
    <row r="46" spans="2:10" ht="58.5" customHeight="1">
      <c r="B46" s="276"/>
      <c r="C46" s="276"/>
      <c r="D46" s="276"/>
      <c r="E46" s="276"/>
      <c r="F46" s="276"/>
      <c r="G46" s="276"/>
      <c r="H46" s="276"/>
      <c r="I46" s="276"/>
      <c r="J46" s="276"/>
    </row>
  </sheetData>
  <mergeCells count="5">
    <mergeCell ref="B27:J27"/>
    <mergeCell ref="B43:J43"/>
    <mergeCell ref="B44:J44"/>
    <mergeCell ref="B45:J45"/>
    <mergeCell ref="B46:J46"/>
  </mergeCells>
  <conditionalFormatting sqref="B43">
    <cfRule type="duplicateValues" dxfId="207" priority="4"/>
    <cfRule type="duplicateValues" dxfId="206" priority="5"/>
    <cfRule type="duplicateValues" dxfId="205" priority="6"/>
  </conditionalFormatting>
  <conditionalFormatting sqref="B44">
    <cfRule type="duplicateValues" dxfId="204" priority="1"/>
    <cfRule type="duplicateValues" dxfId="203" priority="2"/>
    <cfRule type="duplicateValues" dxfId="202" priority="3"/>
  </conditionalFormatting>
  <conditionalFormatting sqref="B45">
    <cfRule type="duplicateValues" dxfId="201" priority="7"/>
    <cfRule type="duplicateValues" dxfId="200" priority="8"/>
    <cfRule type="duplicateValues" dxfId="199" priority="9"/>
  </conditionalFormatting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Meslek Sayi</vt:lpstr>
      <vt:lpstr>Cover page </vt:lpstr>
      <vt:lpstr>IPPODROM</vt:lpstr>
      <vt:lpstr>Лист1</vt:lpstr>
      <vt:lpstr>Лист2</vt:lpstr>
      <vt:lpstr>GUNLUK RAPOR</vt:lpstr>
      <vt:lpstr>'Cover page '!Область_печати</vt:lpstr>
      <vt:lpstr>'GUNLUK RAPOR'!Область_печати</vt:lpstr>
      <vt:lpstr>IPPODROM!Область_печати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2026-04-10T08:32:09Z</dcterms:modified>
</cp:coreProperties>
</file>