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/>
  <xr:revisionPtr revIDLastSave="0" documentId="13_ncr:1_{0CBA2B0F-CABB-458A-BFD1-63675C7F35B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eslek Sayi" sheetId="2" r:id="rId1"/>
    <sheet name="Cover page " sheetId="3" r:id="rId2"/>
    <sheet name="IPPODROM" sheetId="1" r:id="rId3"/>
    <sheet name="Лист2" sheetId="6" state="hidden" r:id="rId4"/>
    <sheet name="GUNLUK RAPOR" sheetId="4" r:id="rId5"/>
  </sheets>
  <definedNames>
    <definedName name="_xlnm._FilterDatabase" localSheetId="2" hidden="1">IPPODROM!$A$2:$O$49</definedName>
    <definedName name="_xlnm._FilterDatabase" localSheetId="3" hidden="1">Лист2!$C$6:$O$6</definedName>
    <definedName name="_xlnm.Print_Area" localSheetId="1">'Cover page '!$A$1:$H$44</definedName>
    <definedName name="_xlnm.Print_Area" localSheetId="4">'GUNLUK RAPOR'!$A$1:$K$30</definedName>
    <definedName name="_xlnm.Print_Area" localSheetId="2">IPPODROM!$A$1:$I$56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L44" i="1" l="1"/>
  <c r="M44" i="1"/>
  <c r="K44" i="1"/>
  <c r="N15" i="3"/>
  <c r="M15" i="3"/>
  <c r="L15" i="3"/>
  <c r="L16" i="3" l="1"/>
  <c r="M16" i="3"/>
  <c r="N16" i="3"/>
  <c r="L17" i="3" l="1"/>
  <c r="M17" i="3"/>
  <c r="N17" i="3"/>
  <c r="L22" i="3"/>
  <c r="M21" i="3"/>
  <c r="N21" i="3"/>
  <c r="N19" i="3" l="1"/>
  <c r="M19" i="3"/>
  <c r="L19" i="3"/>
  <c r="M22" i="3" l="1"/>
  <c r="N22" i="3"/>
  <c r="G4" i="4" l="1"/>
  <c r="I4" i="4"/>
  <c r="L21" i="3"/>
  <c r="N18" i="3"/>
  <c r="M18" i="3"/>
  <c r="L18" i="3"/>
  <c r="D4" i="4" l="1"/>
  <c r="D7" i="3" l="1"/>
  <c r="M46" i="1"/>
  <c r="J4" i="4" s="1"/>
  <c r="F7" i="3" s="1"/>
  <c r="L46" i="1"/>
  <c r="G9" i="4" s="1"/>
  <c r="J46" i="1"/>
  <c r="E7" i="3" s="1"/>
  <c r="K46" i="1"/>
  <c r="E4" i="4" s="1"/>
  <c r="F4" i="4" s="1"/>
  <c r="H4" i="4" l="1"/>
  <c r="G7" i="3"/>
  <c r="M39" i="1"/>
  <c r="L39" i="1"/>
  <c r="J39" i="1"/>
  <c r="K39" i="1"/>
  <c r="E9" i="4" l="1"/>
  <c r="D9" i="4"/>
  <c r="R47" i="1"/>
  <c r="M41" i="1"/>
  <c r="J9" i="4" s="1"/>
  <c r="F25" i="3" s="1"/>
  <c r="L41" i="1"/>
  <c r="J41" i="1"/>
  <c r="I9" i="4" s="1"/>
  <c r="E25" i="3" s="1"/>
  <c r="K41" i="1"/>
  <c r="D25" i="3" l="1"/>
  <c r="G25" i="3" s="1"/>
  <c r="H9" i="4"/>
  <c r="F9" i="4"/>
  <c r="C31" i="3" l="1"/>
  <c r="I1" i="4" l="1"/>
  <c r="D8" i="4" l="1"/>
  <c r="D3" i="4"/>
  <c r="D5" i="4" s="1"/>
  <c r="N14" i="3"/>
  <c r="M14" i="3"/>
  <c r="L14" i="3"/>
  <c r="N11" i="3"/>
  <c r="M11" i="3"/>
  <c r="L11" i="3"/>
  <c r="R48" i="1" l="1"/>
  <c r="L12" i="3"/>
  <c r="M12" i="3"/>
  <c r="N12" i="3"/>
  <c r="I79" i="6" l="1"/>
  <c r="I78" i="6"/>
  <c r="I77" i="6"/>
  <c r="I80" i="6"/>
  <c r="I29" i="6"/>
  <c r="I25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4" i="6"/>
  <c r="I23" i="6"/>
  <c r="I28" i="6"/>
  <c r="I27" i="6"/>
  <c r="I26" i="6"/>
  <c r="I22" i="6"/>
  <c r="I17" i="6"/>
  <c r="I16" i="6"/>
  <c r="I21" i="6"/>
  <c r="I15" i="6"/>
  <c r="I14" i="6"/>
  <c r="I13" i="6"/>
  <c r="I20" i="6"/>
  <c r="I12" i="6"/>
  <c r="I19" i="6"/>
  <c r="I18" i="6"/>
  <c r="I11" i="6"/>
  <c r="I10" i="6"/>
  <c r="I9" i="6"/>
  <c r="I8" i="6"/>
  <c r="I7" i="6"/>
  <c r="C29" i="3" l="1"/>
  <c r="C30" i="3"/>
  <c r="C32" i="3"/>
  <c r="C33" i="3"/>
  <c r="C34" i="3"/>
  <c r="C35" i="3"/>
  <c r="C36" i="3"/>
  <c r="C37" i="3"/>
  <c r="C38" i="3"/>
  <c r="C39" i="3"/>
  <c r="J44" i="1" l="1"/>
  <c r="E15" i="3" l="1"/>
  <c r="F15" i="3"/>
  <c r="D15" i="3"/>
  <c r="G15" i="3" l="1"/>
  <c r="K15" i="3" s="1"/>
  <c r="C79" i="2" l="1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80" i="2" l="1"/>
  <c r="E1" i="2" s="1"/>
  <c r="H3" i="3"/>
  <c r="F39" i="3"/>
  <c r="E39" i="3"/>
  <c r="D39" i="3"/>
  <c r="F38" i="3"/>
  <c r="E38" i="3"/>
  <c r="D38" i="3"/>
  <c r="F37" i="3"/>
  <c r="E37" i="3"/>
  <c r="D37" i="3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D23" i="3"/>
  <c r="F23" i="3"/>
  <c r="E23" i="3"/>
  <c r="D22" i="3"/>
  <c r="F22" i="3"/>
  <c r="E22" i="3"/>
  <c r="D21" i="3"/>
  <c r="F21" i="3"/>
  <c r="E21" i="3"/>
  <c r="D20" i="3"/>
  <c r="F20" i="3"/>
  <c r="E20" i="3"/>
  <c r="D19" i="3"/>
  <c r="F19" i="3"/>
  <c r="E19" i="3"/>
  <c r="D18" i="3"/>
  <c r="F18" i="3"/>
  <c r="E18" i="3"/>
  <c r="D17" i="3"/>
  <c r="F17" i="3"/>
  <c r="E17" i="3"/>
  <c r="D16" i="3"/>
  <c r="F16" i="3"/>
  <c r="E16" i="3"/>
  <c r="D14" i="3"/>
  <c r="F14" i="3"/>
  <c r="E14" i="3"/>
  <c r="E13" i="3"/>
  <c r="F13" i="3"/>
  <c r="D13" i="3"/>
  <c r="D12" i="3"/>
  <c r="F12" i="3"/>
  <c r="E12" i="3"/>
  <c r="E11" i="3"/>
  <c r="F11" i="3"/>
  <c r="D11" i="3"/>
  <c r="F10" i="3"/>
  <c r="E10" i="3"/>
  <c r="D40" i="3" l="1"/>
  <c r="G30" i="3"/>
  <c r="G31" i="3"/>
  <c r="G37" i="3"/>
  <c r="G39" i="3"/>
  <c r="G29" i="3"/>
  <c r="G32" i="3"/>
  <c r="E40" i="3"/>
  <c r="F40" i="3"/>
  <c r="G33" i="3"/>
  <c r="G35" i="3"/>
  <c r="G34" i="3"/>
  <c r="G36" i="3"/>
  <c r="G38" i="3"/>
  <c r="G22" i="3"/>
  <c r="K22" i="3" s="1"/>
  <c r="G18" i="3"/>
  <c r="K18" i="3" s="1"/>
  <c r="G19" i="3"/>
  <c r="K19" i="3" s="1"/>
  <c r="G23" i="3"/>
  <c r="K23" i="3" s="1"/>
  <c r="G14" i="3"/>
  <c r="N24" i="3"/>
  <c r="L24" i="3"/>
  <c r="G11" i="3"/>
  <c r="K11" i="3" s="1"/>
  <c r="D10" i="3"/>
  <c r="G10" i="3" s="1"/>
  <c r="G12" i="3"/>
  <c r="K12" i="3" s="1"/>
  <c r="G16" i="3"/>
  <c r="K16" i="3" s="1"/>
  <c r="G20" i="3"/>
  <c r="K20" i="3" s="1"/>
  <c r="G13" i="3"/>
  <c r="K13" i="3" s="1"/>
  <c r="G17" i="3"/>
  <c r="K17" i="3" s="1"/>
  <c r="G21" i="3"/>
  <c r="K21" i="3" s="1"/>
  <c r="M24" i="3"/>
  <c r="J24" i="4"/>
  <c r="I24" i="4"/>
  <c r="G24" i="4"/>
  <c r="D24" i="4"/>
  <c r="E23" i="4"/>
  <c r="H23" i="4" s="1"/>
  <c r="E22" i="4"/>
  <c r="H22" i="4" s="1"/>
  <c r="E21" i="4"/>
  <c r="H21" i="4" s="1"/>
  <c r="E20" i="4"/>
  <c r="H20" i="4" s="1"/>
  <c r="E19" i="4"/>
  <c r="H19" i="4" s="1"/>
  <c r="E18" i="4"/>
  <c r="H18" i="4" s="1"/>
  <c r="E17" i="4"/>
  <c r="H17" i="4" s="1"/>
  <c r="E16" i="4"/>
  <c r="H16" i="4" s="1"/>
  <c r="E15" i="4"/>
  <c r="H15" i="4" s="1"/>
  <c r="E14" i="4"/>
  <c r="F14" i="4" s="1"/>
  <c r="E13" i="4"/>
  <c r="F13" i="4" s="1"/>
  <c r="D6" i="3"/>
  <c r="D8" i="3" s="1"/>
  <c r="G3" i="4"/>
  <c r="G5" i="4" s="1"/>
  <c r="E3" i="4"/>
  <c r="E5" i="4" s="1"/>
  <c r="J8" i="4"/>
  <c r="G8" i="4"/>
  <c r="I8" i="4"/>
  <c r="E8" i="4"/>
  <c r="M37" i="1"/>
  <c r="J7" i="4" s="1"/>
  <c r="L37" i="1"/>
  <c r="G7" i="4" s="1"/>
  <c r="K37" i="1"/>
  <c r="E7" i="4" s="1"/>
  <c r="J37" i="1"/>
  <c r="I7" i="4" s="1"/>
  <c r="N37" i="1"/>
  <c r="D7" i="4" s="1"/>
  <c r="D10" i="4" s="1"/>
  <c r="I1" i="1"/>
  <c r="H2" i="3" s="1"/>
  <c r="E6" i="3" l="1"/>
  <c r="E8" i="3" s="1"/>
  <c r="I5" i="4"/>
  <c r="E10" i="4"/>
  <c r="K14" i="3"/>
  <c r="G10" i="4"/>
  <c r="F24" i="3"/>
  <c r="F26" i="3" s="1"/>
  <c r="J10" i="4"/>
  <c r="E24" i="3"/>
  <c r="E26" i="3" s="1"/>
  <c r="I10" i="4"/>
  <c r="J3" i="4"/>
  <c r="F7" i="4"/>
  <c r="H7" i="4"/>
  <c r="F15" i="4"/>
  <c r="F21" i="4"/>
  <c r="F23" i="4"/>
  <c r="E24" i="4"/>
  <c r="G40" i="3"/>
  <c r="F18" i="4"/>
  <c r="F20" i="4"/>
  <c r="F22" i="4"/>
  <c r="K10" i="3"/>
  <c r="H8" i="4"/>
  <c r="D24" i="3"/>
  <c r="D26" i="3" s="1"/>
  <c r="J1" i="4"/>
  <c r="F8" i="4"/>
  <c r="F17" i="4"/>
  <c r="F16" i="4"/>
  <c r="F19" i="4"/>
  <c r="H3" i="4"/>
  <c r="H5" i="4" s="1"/>
  <c r="F3" i="4"/>
  <c r="F5" i="4" s="1"/>
  <c r="K24" i="3" l="1"/>
  <c r="F6" i="3"/>
  <c r="J5" i="4"/>
  <c r="J11" i="4" s="1"/>
  <c r="J26" i="4" s="1"/>
  <c r="G24" i="3"/>
  <c r="G26" i="3" s="1"/>
  <c r="F10" i="4"/>
  <c r="H10" i="4"/>
  <c r="I11" i="4"/>
  <c r="I26" i="4" s="1"/>
  <c r="H24" i="4"/>
  <c r="F24" i="4"/>
  <c r="D27" i="3"/>
  <c r="D41" i="3" s="1"/>
  <c r="D11" i="4"/>
  <c r="D26" i="4" s="1"/>
  <c r="G11" i="4"/>
  <c r="G26" i="4" s="1"/>
  <c r="E11" i="4"/>
  <c r="E26" i="4" s="1"/>
  <c r="G6" i="3" l="1"/>
  <c r="G8" i="3" s="1"/>
  <c r="G27" i="3" s="1"/>
  <c r="G41" i="3" s="1"/>
  <c r="F8" i="3"/>
  <c r="F27" i="3" s="1"/>
  <c r="F41" i="3" s="1"/>
  <c r="E27" i="3"/>
  <c r="E41" i="3" s="1"/>
  <c r="F11" i="4"/>
  <c r="F26" i="4" s="1"/>
  <c r="H11" i="4"/>
  <c r="H26" i="4" s="1"/>
</calcChain>
</file>

<file path=xl/sharedStrings.xml><?xml version="1.0" encoding="utf-8"?>
<sst xmlns="http://schemas.openxmlformats.org/spreadsheetml/2006/main" count="686" uniqueCount="464">
  <si>
    <t>yok</t>
  </si>
  <si>
    <t>gunduz</t>
  </si>
  <si>
    <t>geca</t>
  </si>
  <si>
    <t>dis</t>
  </si>
  <si>
    <t>sayi</t>
  </si>
  <si>
    <t>NO</t>
  </si>
  <si>
    <t xml:space="preserve">КОД </t>
  </si>
  <si>
    <t>Ofis  Personel / Итр</t>
  </si>
  <si>
    <t>ФИО / isim soyad</t>
  </si>
  <si>
    <t xml:space="preserve">Професий / meslek </t>
  </si>
  <si>
    <t>NM</t>
  </si>
  <si>
    <t xml:space="preserve">FM </t>
  </si>
  <si>
    <t>Общий</t>
  </si>
  <si>
    <t>Селчук Самет</t>
  </si>
  <si>
    <t>PROJE MUDURU</t>
  </si>
  <si>
    <t>GENEL MUDUR DANISMANI</t>
  </si>
  <si>
    <t>Nikita Prikazchikov</t>
  </si>
  <si>
    <t>Приказчиков Никита Алексеевич</t>
  </si>
  <si>
    <t>PROJE MUDURU YARDIMCISI</t>
  </si>
  <si>
    <t>Мухутдинов Алмаз Ильясович</t>
  </si>
  <si>
    <t>TEKNIK OFIS SEFI</t>
  </si>
  <si>
    <t>TEKNIK OFIS MUHENDISI</t>
  </si>
  <si>
    <t>BAS MIMAR</t>
  </si>
  <si>
    <t>Anastasia Shkola</t>
  </si>
  <si>
    <t>Школа Анастасия Андреевна</t>
  </si>
  <si>
    <t>Подмарева Наталья Викторовна</t>
  </si>
  <si>
    <t>Valentina Miroshkina</t>
  </si>
  <si>
    <t>SANTIYE SEFI</t>
  </si>
  <si>
    <t>Берников Илья Сергеевич</t>
  </si>
  <si>
    <t>Irina Portnova</t>
  </si>
  <si>
    <t>Портнова Ирина Владимировна</t>
  </si>
  <si>
    <t>SMETA MUHENDISI</t>
  </si>
  <si>
    <t>INSAAT TEKNIKERI (SAHA SEFI)</t>
  </si>
  <si>
    <t>BAS MUHENDIS</t>
  </si>
  <si>
    <t>Vitaliy Juravlev</t>
  </si>
  <si>
    <t>Журавлев Виталий Сергеевич</t>
  </si>
  <si>
    <t>Nikita Samarin</t>
  </si>
  <si>
    <t>Самарин Никита Сергеевич</t>
  </si>
  <si>
    <t>Яковлев Дмитрий Николаевич</t>
  </si>
  <si>
    <t>SAHA MUHENDISI</t>
  </si>
  <si>
    <t>DIS GOREV ИнтерРАО</t>
  </si>
  <si>
    <t>Andrey Podmarev</t>
  </si>
  <si>
    <t>Подмарев Андрей Олегович</t>
  </si>
  <si>
    <t>INSAAT MUHENDISI</t>
  </si>
  <si>
    <t>Artyom Chvanov</t>
  </si>
  <si>
    <t>Чванов Артем Дмитриевич</t>
  </si>
  <si>
    <t>Maxim Sizov</t>
  </si>
  <si>
    <t>Сизов Максим Александрович</t>
  </si>
  <si>
    <t>Sergey Lejnev</t>
  </si>
  <si>
    <t>Лежнев Сергей Михайлович</t>
  </si>
  <si>
    <t>INSAAT DENETLEME</t>
  </si>
  <si>
    <t>Ilya Murjikneli</t>
  </si>
  <si>
    <t>Муржикнели Илья Евгеньевич</t>
  </si>
  <si>
    <t>KALITE MUHENDISI</t>
  </si>
  <si>
    <t>ELEKTRIK KISIM SEFI</t>
  </si>
  <si>
    <t>ELEKTRIK ZAYIF AKIM MUHENDISI</t>
  </si>
  <si>
    <t>Ekaterina Sharipova</t>
  </si>
  <si>
    <t>Шарипова Екатерина Зуфаровна</t>
  </si>
  <si>
    <t>ELEKTRIK  P.T.O MUHENDISI</t>
  </si>
  <si>
    <t>MEKANIK KISIM SEFI</t>
  </si>
  <si>
    <t>BAS MUHENDIS MEKANIK</t>
  </si>
  <si>
    <t>Mariya Belgin</t>
  </si>
  <si>
    <t>Белгин Мария Николаевна</t>
  </si>
  <si>
    <t>PTO (MEKANIK) MUHENDISI</t>
  </si>
  <si>
    <t xml:space="preserve">Ротмистрова Наталия Александровна </t>
  </si>
  <si>
    <t>PTO SEFI</t>
  </si>
  <si>
    <t>Малинина Людмила Петровна</t>
  </si>
  <si>
    <t>P.T.O MUHENDISI</t>
  </si>
  <si>
    <t xml:space="preserve">P.T.O STAJOR </t>
  </si>
  <si>
    <t>PERSONEL VE IDARI ISLER SEFI</t>
  </si>
  <si>
    <t>PERSONEL SEFI YARDIMCISI</t>
  </si>
  <si>
    <t>PERSONEL VE IDARI ISLER MEMURU</t>
  </si>
  <si>
    <t>PUANTOR</t>
  </si>
  <si>
    <t>DIS GOREV KATOK</t>
  </si>
  <si>
    <t>SATIN ALMA</t>
  </si>
  <si>
    <t>Anna Karostina</t>
  </si>
  <si>
    <t>Каростина Анна Васильевна</t>
  </si>
  <si>
    <t>BAS MUHASEBECI</t>
  </si>
  <si>
    <t>MUHASEBECI</t>
  </si>
  <si>
    <t>ILK YARDIM GOREVLISI</t>
  </si>
  <si>
    <t>SOFOR</t>
  </si>
  <si>
    <t>Х</t>
  </si>
  <si>
    <t>BEKCI SORUMLUSU</t>
  </si>
  <si>
    <t>BEKCI</t>
  </si>
  <si>
    <t>DIS GOREV PODUSKINA</t>
  </si>
  <si>
    <t>OFIS HIZMETLI</t>
  </si>
  <si>
    <t>HIZMETLI YEMEKHANE</t>
  </si>
  <si>
    <t>DIS GOREV IKB</t>
  </si>
  <si>
    <t>AMBAR SEFI</t>
  </si>
  <si>
    <t>AMBARCI</t>
  </si>
  <si>
    <t>GECE</t>
  </si>
  <si>
    <t>ГЕОДЕЗИСТ /TOPOGRAF TAHA TILEGI</t>
  </si>
  <si>
    <t>TOPOGRAF</t>
  </si>
  <si>
    <t>Мацейко Антон Юрьевич</t>
  </si>
  <si>
    <t>ALET OPERATORU</t>
  </si>
  <si>
    <t>NIVO OPERATORU</t>
  </si>
  <si>
    <t>SENOR</t>
  </si>
  <si>
    <t>IS GUVENLIK EKIBI / ТЕХНИКА БЕЗОПАСНОСТИ</t>
  </si>
  <si>
    <t>IS GUVENLIK MUHENDISI</t>
  </si>
  <si>
    <t>IS GUVENLIK YARDIMCISI</t>
  </si>
  <si>
    <t>IS GUVENLIK FORMENI</t>
  </si>
  <si>
    <t>IS GUVENLIK GOZETMENI</t>
  </si>
  <si>
    <t>KAYNAKCI</t>
  </si>
  <si>
    <t>DUZ ISCI</t>
  </si>
  <si>
    <t>ELEKTRIK EKIPBASI</t>
  </si>
  <si>
    <t>ELEKTRIKCI</t>
  </si>
  <si>
    <t>TESISATCI KALFASI</t>
  </si>
  <si>
    <t>TESISATCI EKIPBASI</t>
  </si>
  <si>
    <t>TESISATCI</t>
  </si>
  <si>
    <t>HAVALANDIRMACI</t>
  </si>
  <si>
    <t>INCE ISLER FORMENI</t>
  </si>
  <si>
    <t>SAHA</t>
  </si>
  <si>
    <t>INCE ISLER EKIPBASI</t>
  </si>
  <si>
    <t>ALCI BOYA USTASI</t>
  </si>
  <si>
    <t>ALCIPAN USTASI</t>
  </si>
  <si>
    <t>DUVAR USTASI</t>
  </si>
  <si>
    <t>IZOLASYONCU</t>
  </si>
  <si>
    <t>SERAMIK USTASI</t>
  </si>
  <si>
    <t>SIVACI</t>
  </si>
  <si>
    <t>SIVACI USTASI</t>
  </si>
  <si>
    <t>ALCIPANCI</t>
  </si>
  <si>
    <t>Asrorjon Ergashev</t>
  </si>
  <si>
    <t>Эргашев Асрорджон Ахматович</t>
  </si>
  <si>
    <t>Farkhod Kobilkhujaev</t>
  </si>
  <si>
    <t>Кобилхуджаев Фарход Рустамович</t>
  </si>
  <si>
    <t>Bunyod Dilmurotov</t>
  </si>
  <si>
    <t>Дилмуротов Бунёд Бобомурод Угли</t>
  </si>
  <si>
    <t>Mukhammadaziz Kodiraliev</t>
  </si>
  <si>
    <t>Кодиралиев Мухаммадазиз Сохибжон Угли</t>
  </si>
  <si>
    <t>Zokir Umarov</t>
  </si>
  <si>
    <t>Умаров Зокир Мамадиёрович</t>
  </si>
  <si>
    <t>Muso Muhabbatov</t>
  </si>
  <si>
    <t>Мухаббатов Мусо Саъдуллоевич</t>
  </si>
  <si>
    <t xml:space="preserve">Kholmirza Meyliev </t>
  </si>
  <si>
    <t>Мейлиев Холмирза Асадулло Угли</t>
  </si>
  <si>
    <t>Shukhrat Miraliev</t>
  </si>
  <si>
    <t>Миралиев Шухрат Шохназарович</t>
  </si>
  <si>
    <t>Oybek Shodiev</t>
  </si>
  <si>
    <t>Шодиев Ойбек Кулдош Угли</t>
  </si>
  <si>
    <t>Hakimjoni Girdakzoda</t>
  </si>
  <si>
    <t>Гирдакзода Хакимджони Лоик</t>
  </si>
  <si>
    <t>Sardor Norboev</t>
  </si>
  <si>
    <t>Норбоев Сардор Кулдош Угли</t>
  </si>
  <si>
    <t>Khalimjon Akhmedov</t>
  </si>
  <si>
    <t>Ахмедов Халимжон Расулджонович</t>
  </si>
  <si>
    <t>Fazliddin Yusupov</t>
  </si>
  <si>
    <t>Юсупов Фазлиддин Давронович</t>
  </si>
  <si>
    <t>Shodibegi Safarzoda</t>
  </si>
  <si>
    <t>Сафарзода Шодибеги Ризо</t>
  </si>
  <si>
    <t>Nurbek Chuponov</t>
  </si>
  <si>
    <t>Чупонов Нурбек Боходирович</t>
  </si>
  <si>
    <t>BOYACI</t>
  </si>
  <si>
    <t>DEMIRCI USTASI</t>
  </si>
  <si>
    <t>Mahmadshof Zoiri</t>
  </si>
  <si>
    <t>Зоири Махмадшох</t>
  </si>
  <si>
    <t>Hojisalmon Usmonshoev</t>
  </si>
  <si>
    <t>Усмоншоев Ходжисалмон Хошимджонович</t>
  </si>
  <si>
    <t>Shahzod Murodullaev</t>
  </si>
  <si>
    <t>Муродуллаев Шахзод Акмал Угли</t>
  </si>
  <si>
    <t>Nazliddin Muzaffarov</t>
  </si>
  <si>
    <t>Safarali Rahmonov</t>
  </si>
  <si>
    <t>Рахмонов Сафарали Махсудбекович</t>
  </si>
  <si>
    <t>Saidburhon Abdulloev</t>
  </si>
  <si>
    <t>Абдуллоев Саидбурхон Абдурахмонович</t>
  </si>
  <si>
    <t>Ismoil Abdulloev</t>
  </si>
  <si>
    <t>Абдуллоев Исмоил Абдулазизович</t>
  </si>
  <si>
    <t>Mustafo Rakhmonov</t>
  </si>
  <si>
    <t>Рахмонов Мустафо Сафаралиевич</t>
  </si>
  <si>
    <t>SAPCI</t>
  </si>
  <si>
    <t>Suhrob Kobilhujaev</t>
  </si>
  <si>
    <t>Кобилхуджаев Сухроб Рустамович</t>
  </si>
  <si>
    <t>Mukhiddin Ulashov</t>
  </si>
  <si>
    <t>Улашов Мухиддин Норпулатович</t>
  </si>
  <si>
    <t>Farhod Khochukov</t>
  </si>
  <si>
    <t>Хочуков Фарход Рухуллоевич</t>
  </si>
  <si>
    <t>Hojivali Badiev</t>
  </si>
  <si>
    <t>Бадиев Ходживали Давлатбекович</t>
  </si>
  <si>
    <t>Farkhod Allabergenov</t>
  </si>
  <si>
    <t>Аллабергенов Фархад Розибаевич</t>
  </si>
  <si>
    <t>Tolejon Sharipov</t>
  </si>
  <si>
    <t>Шарипов Толеъджон Неъматович</t>
  </si>
  <si>
    <t>Ibrokhimdjon Saiburkhonov</t>
  </si>
  <si>
    <t>Сайбурхонов Иброхимджон Солехович</t>
  </si>
  <si>
    <t>Kamal Ismailov</t>
  </si>
  <si>
    <t>Исмаилов Камал Атажанович</t>
  </si>
  <si>
    <t>Ummatali Mavlonov</t>
  </si>
  <si>
    <t>Мавлонов Умматали Рахманалиевич</t>
  </si>
  <si>
    <t>Fakhriddin Djuraev</t>
  </si>
  <si>
    <t>Джураев Фахриддин Алмуродович</t>
  </si>
  <si>
    <t>Shukurullo Tuychizoda</t>
  </si>
  <si>
    <t>Zafar Ashurov</t>
  </si>
  <si>
    <t>Ашуров Зафар Арслонович</t>
  </si>
  <si>
    <t>Elmurod Ortikov</t>
  </si>
  <si>
    <t>Ортиков Элмурод Камолбек Угли</t>
  </si>
  <si>
    <t>Azamat Kuziev</t>
  </si>
  <si>
    <t>Кузиев Азамат Валибоевич</t>
  </si>
  <si>
    <t>Musluhiddinhodjai Niyozzoda</t>
  </si>
  <si>
    <t>Ниёззода Муслухиддинходжаи Фармонходжа</t>
  </si>
  <si>
    <t>Samariddin Safarov</t>
  </si>
  <si>
    <t>Сафаров Самариддин Сафаралиевич</t>
  </si>
  <si>
    <t>Saydali Holboboev</t>
  </si>
  <si>
    <t>Холбобоев Сайдали Тайлонович</t>
  </si>
  <si>
    <t>Nekruz Holmadzoda</t>
  </si>
  <si>
    <t>Холмадзода Некруз Хасан</t>
  </si>
  <si>
    <t>Azizbek Nabijonov</t>
  </si>
  <si>
    <t>Набижонов Азизбек Хурсандали Угли</t>
  </si>
  <si>
    <t>Pardali Sherkhonov</t>
  </si>
  <si>
    <t>Шерхонов Пардали Давлатович</t>
  </si>
  <si>
    <t>Mahmadyor Saidburhonov</t>
  </si>
  <si>
    <t>Саидбурхонов Махмадёр Тоджиддинович</t>
  </si>
  <si>
    <t>Sino Mazhidov</t>
  </si>
  <si>
    <t>Мажидов Сино Салимджонович</t>
  </si>
  <si>
    <t>Emomali Sharifov</t>
  </si>
  <si>
    <t>Шарифов Эмомали Рахмонкулович</t>
  </si>
  <si>
    <t>Dilorsho Radjabov</t>
  </si>
  <si>
    <t>Раджабов Дилоршо Аюбович</t>
  </si>
  <si>
    <t>Sirojidin Gafurov</t>
  </si>
  <si>
    <t>Гафуров Сирожидин Гиёсидинович</t>
  </si>
  <si>
    <t>Avrosul Usmonshoev</t>
  </si>
  <si>
    <t>Усмоншоев Авросул Хошимович</t>
  </si>
  <si>
    <t>Abubakr Fayziddinov</t>
  </si>
  <si>
    <t>Файзиддинов Абубакр Садирович</t>
  </si>
  <si>
    <t>Shukhrat Shernaev</t>
  </si>
  <si>
    <t>Шернаев Шухрат Каххарович</t>
  </si>
  <si>
    <t>Ravshanbek Kuchkarov</t>
  </si>
  <si>
    <t>Кучкаров Равшанбек Салимбаевич</t>
  </si>
  <si>
    <t>Adilbek Khalmuratov</t>
  </si>
  <si>
    <t>Халмуратов Адилбек Аширбаевич</t>
  </si>
  <si>
    <t>Rakhimi Izzatzoda</t>
  </si>
  <si>
    <t>Иззатзода Рахими Ахмад</t>
  </si>
  <si>
    <t>Jaloliddin Khayrov</t>
  </si>
  <si>
    <t>Хайров Джалолиддин Тоджиддинович</t>
  </si>
  <si>
    <t>Abdulaziz Makhammadjonov</t>
  </si>
  <si>
    <t>Махаммаджонов Абдулазиз Азимжон Угли</t>
  </si>
  <si>
    <t>CEPHE USTASI</t>
  </si>
  <si>
    <t>GENEL SAHA FORMENI</t>
  </si>
  <si>
    <t>GENEL SAHA EKIPBASI</t>
  </si>
  <si>
    <t>KALIPCI USTASI</t>
  </si>
  <si>
    <t>SAHA FORMENI</t>
  </si>
  <si>
    <t>OPERATOR</t>
  </si>
  <si>
    <t>KALIPCI EKIPBASI</t>
  </si>
  <si>
    <t>DEMIRCI</t>
  </si>
  <si>
    <t>TAMIRCI</t>
  </si>
  <si>
    <t>KALIPCI FORMENI</t>
  </si>
  <si>
    <t>DEMIRCI  EKIPBASI</t>
  </si>
  <si>
    <t>DEMIRCI KALFASI</t>
  </si>
  <si>
    <t>BETONCU</t>
  </si>
  <si>
    <t>Toplam Sayi</t>
  </si>
  <si>
    <t xml:space="preserve">ELEKTRIK KISIM  SEFI  </t>
  </si>
  <si>
    <t>Harun Akdeniz</t>
  </si>
  <si>
    <t>SERDAR DEHA EROZBEK</t>
  </si>
  <si>
    <t>PERSONEL SEFI</t>
  </si>
  <si>
    <t xml:space="preserve">SANTIYE  SEFI  </t>
  </si>
  <si>
    <t>ISMAIL CELEN</t>
  </si>
  <si>
    <t>KEMAL ERBAS</t>
  </si>
  <si>
    <t xml:space="preserve"> Монарт Ипподром </t>
  </si>
  <si>
    <t>EKIP</t>
  </si>
  <si>
    <t>EKIP SORUMLUSU</t>
  </si>
  <si>
    <t>TOPLAM MAVCUT</t>
  </si>
  <si>
    <t>TOPLAM CALISAN</t>
  </si>
  <si>
    <t>GUNDUZ CALISAN</t>
  </si>
  <si>
    <t>GECE CALISAN</t>
  </si>
  <si>
    <t>TOPLAM GELMEYEN</t>
  </si>
  <si>
    <t>SANTIYEYE GELMEYEN</t>
  </si>
  <si>
    <t>DIS GOREV</t>
  </si>
  <si>
    <t>IS GUVENLIK EKIBI</t>
  </si>
  <si>
    <t>ALEKSEY ANTIPOV</t>
  </si>
  <si>
    <t>DIREK TOPLAM</t>
  </si>
  <si>
    <t>ENDIREK VE HIZMETLI</t>
  </si>
  <si>
    <t>TEKNIK IDARE</t>
  </si>
  <si>
    <t>ENDIREK TOPLAM</t>
  </si>
  <si>
    <t>ИП КУЗНЕЦОВА</t>
  </si>
  <si>
    <t>СПЕЦСТРОЙПРОЕКТ</t>
  </si>
  <si>
    <t>ПАМП ГРУПП</t>
  </si>
  <si>
    <t>ООО ВОЗРОЖДЕНИЕ</t>
  </si>
  <si>
    <t>ИП КАЙТУЕВ</t>
  </si>
  <si>
    <t>ООО"МЦПиС"</t>
  </si>
  <si>
    <t>ООО"СК ПЕГАС"</t>
  </si>
  <si>
    <t>ООО "ХУДОЖЕСТВЕННАЯ РЕСТАВРАЦИЯ"</t>
  </si>
  <si>
    <t>ИП ХЛЕБНИКОВА К.А.</t>
  </si>
  <si>
    <t>TASERON TOPLAM</t>
  </si>
  <si>
    <t xml:space="preserve"> GENEL TOPLAM</t>
  </si>
  <si>
    <t>Руководитель Проекта</t>
  </si>
  <si>
    <t>МОНАРТ  / ИППОДРОМ</t>
  </si>
  <si>
    <t>№</t>
  </si>
  <si>
    <t>Персонал / Personnel</t>
  </si>
  <si>
    <t>Общий Кадров</t>
  </si>
  <si>
    <t>НЕ ВЫШЛИ НА РАБОТУ</t>
  </si>
  <si>
    <t>Бальничный ОТПУСК / Командировка</t>
  </si>
  <si>
    <t>ОБЩЕЕ</t>
  </si>
  <si>
    <t>A</t>
  </si>
  <si>
    <t>РАБОЧИЕ  /  PRODUCTIVE PERSONEL LIST</t>
  </si>
  <si>
    <t>General Staff</t>
  </si>
  <si>
    <t>Out of Working Staff</t>
  </si>
  <si>
    <t>Leave / Holiday / Sick</t>
  </si>
  <si>
    <t>TOTAL</t>
  </si>
  <si>
    <t xml:space="preserve">ТЕХНИКА БЕЗОПАСНОСТИ / GUVENLIK </t>
  </si>
  <si>
    <t>PRODUCTIVE LABOUR</t>
  </si>
  <si>
    <t>Santiyede Calisan</t>
  </si>
  <si>
    <t>Yok ve Izin</t>
  </si>
  <si>
    <t>Dis Gorev</t>
  </si>
  <si>
    <t>Toplam</t>
  </si>
  <si>
    <t>B</t>
  </si>
  <si>
    <t>ИТР / UNPRODUCTIVE PERSONEL LIST</t>
  </si>
  <si>
    <t>РУКОВОДИТЕЛЬ ПРОЕКТА / PROJECT MANAGER</t>
  </si>
  <si>
    <t>ЗАМЕСТИТЕЛЬ РУКОВОДИТЕЛЯ ПРОЕКТА / ASS PROJECT MANAGER</t>
  </si>
  <si>
    <t>НАЧАЛЬНИК УЧАСТКА / SITE MANAGER</t>
  </si>
  <si>
    <t>НАЧАЛЬНИК ТЕХОФИСА  /TEKNIK OFIS</t>
  </si>
  <si>
    <t>АРХИТЕКТОР /  MIMAR</t>
  </si>
  <si>
    <t>ИНЖЕНЕР СТРОИТЕЛЬ / INSAAT TEKNIKERI</t>
  </si>
  <si>
    <t>СМЕТНЫЙ ОТДЕЛ</t>
  </si>
  <si>
    <t>ИНЖЕНЕР ЭЛЕКТРИК / ELECTRICAL CHIEF</t>
  </si>
  <si>
    <t>ИНЖЕНЕР МЕХАНИК / MECHANICAL CHIEF</t>
  </si>
  <si>
    <t>ИНЖЕНЕР ПТО / DESIGN TECH.ENGINEER</t>
  </si>
  <si>
    <t xml:space="preserve">ОТДЕЛ КАДРОВ / СЕКРЕТЕРЬ/  - PERSONNEL, SEKRETARY, </t>
  </si>
  <si>
    <t>ОТДЕЛ СНАБЖЕНИЯ</t>
  </si>
  <si>
    <t>БУХГАЛТЕР / ACCOUNTING</t>
  </si>
  <si>
    <t>ДОКТОР</t>
  </si>
  <si>
    <t>ГЕОДЕЗИСТ / TOPOGRAPHER+Asst</t>
  </si>
  <si>
    <t>UNPRODUCTIVE LABOUR</t>
  </si>
  <si>
    <t>TOTAL PERSONNEL</t>
  </si>
  <si>
    <t>SUBCONT. PRODUCTIVE PERSONNEL LIST</t>
  </si>
  <si>
    <t>TOTAL SUBCONTRACTOR</t>
  </si>
  <si>
    <t>GRAND TOTAL PERSONNEL</t>
  </si>
  <si>
    <t>Кол-во / sayi</t>
  </si>
  <si>
    <t>Total</t>
  </si>
  <si>
    <t>BOLUM BASKANI</t>
  </si>
  <si>
    <t>DUZ ISCI EKIPBASI</t>
  </si>
  <si>
    <t>ELEKTRIK FORMENI</t>
  </si>
  <si>
    <t>TOPLAM SAYI</t>
  </si>
  <si>
    <t>Asilbek Egamov</t>
  </si>
  <si>
    <t>Эгамов Асилбек Эгамберди Угли</t>
  </si>
  <si>
    <t>Zokhid Tojiboev</t>
  </si>
  <si>
    <t>Тожибоев Зохид Эркинович</t>
  </si>
  <si>
    <t>Azizjon Narzillaev</t>
  </si>
  <si>
    <t>Нарзиллаев Азизжон Лутфулла Угли</t>
  </si>
  <si>
    <t>Anvar Muminov</t>
  </si>
  <si>
    <t>Муминов Анвар Азимович</t>
  </si>
  <si>
    <t>Ilya Korshunov</t>
  </si>
  <si>
    <t>Коршунов Илья Рифатович</t>
  </si>
  <si>
    <t>TRIBUNA TAVAN SIVA IMALATI</t>
  </si>
  <si>
    <t>1 KAT SOKUL DUVAR IMALATI</t>
  </si>
  <si>
    <t>ARENA DUVAR SILIM VE BOYASI</t>
  </si>
  <si>
    <t>FASAD BETON VE DUVAR DEMONTAC</t>
  </si>
  <si>
    <t>ATAPLENI YERLAR SIVA IMALATI</t>
  </si>
  <si>
    <t>Сопин Василий Валерьевич</t>
  </si>
  <si>
    <t>Vasiliy Sopin</t>
  </si>
  <si>
    <t>Umedjon Davlatov</t>
  </si>
  <si>
    <t>Давлатов Умеджон Хусейнович</t>
  </si>
  <si>
    <t>SATINALMA</t>
  </si>
  <si>
    <t>Dustmurod Gadoev</t>
  </si>
  <si>
    <t>Гадоев Дустмурод Эмомджонович</t>
  </si>
  <si>
    <t>Kodirjon Isroilov</t>
  </si>
  <si>
    <t>Исроилов Кодиржон Кахрамонжон Угли</t>
  </si>
  <si>
    <t>Khursand Matyokubov</t>
  </si>
  <si>
    <t>Матёкубов Хурсанд Кодирович</t>
  </si>
  <si>
    <t>Murodbek Madrimov</t>
  </si>
  <si>
    <t>Мадримов Муродбек Комилжонович</t>
  </si>
  <si>
    <t>Dilshod Ismatulloev</t>
  </si>
  <si>
    <t>Исматуллоев Дилшод Сунхатович</t>
  </si>
  <si>
    <t>Музаффаров Назриддин Назюллоевич</t>
  </si>
  <si>
    <t>Ruzimbay Djumashev</t>
  </si>
  <si>
    <t>Amirbek Safarov</t>
  </si>
  <si>
    <t>Сафаров Амирбек Абдумуталибович</t>
  </si>
  <si>
    <t>Туйчизода Шукруллои Нурулло</t>
  </si>
  <si>
    <t>DG</t>
  </si>
  <si>
    <t>Sanjarbek Yakubov</t>
  </si>
  <si>
    <t>Jurabek Oblakulov</t>
  </si>
  <si>
    <t>Облакулов Журабек Вайдулла Угли</t>
  </si>
  <si>
    <t>Якубов Санжар Облакул Угли</t>
  </si>
  <si>
    <t>Idibek Shokirov</t>
  </si>
  <si>
    <t>Шокиров Идибек Музафарович</t>
  </si>
  <si>
    <t>Джумашев Рузимбай Султанович</t>
  </si>
  <si>
    <t>P.T.O SEFI</t>
  </si>
  <si>
    <t>Naimjon Kasirov</t>
  </si>
  <si>
    <t>Касиров Наимжон Носирович</t>
  </si>
  <si>
    <t>DIS GOREV ИнтерРАОDEN GELDI</t>
  </si>
  <si>
    <t>Sharifjon Qurbonov</t>
  </si>
  <si>
    <t>Курбонов Шарифджон Забихувлоевич</t>
  </si>
  <si>
    <t>Samariddin Bobobekov</t>
  </si>
  <si>
    <t>Бобобеков Самариддин Абилкосим Угли</t>
  </si>
  <si>
    <t>Арифжанов Аслиддин Дувланович</t>
  </si>
  <si>
    <t>Asliddin Arifjanov</t>
  </si>
  <si>
    <t>Jasur Murodov</t>
  </si>
  <si>
    <t>Муродов Жасур Ирискулович</t>
  </si>
  <si>
    <t>Ортиков Худайбекрди Абдишукурович</t>
  </si>
  <si>
    <t>Khudoyberdi Ortikov</t>
  </si>
  <si>
    <t>ISE CIKMADI</t>
  </si>
  <si>
    <t>Asadbek Karimov</t>
  </si>
  <si>
    <t>Каримов Асадбек Давлат Угли</t>
  </si>
  <si>
    <t>Natalya Rostmistrova</t>
  </si>
  <si>
    <t>Almaz Mukhundinov</t>
  </si>
  <si>
    <t>Natalya Podmareva</t>
  </si>
  <si>
    <t>Lyudmila Malinina</t>
  </si>
  <si>
    <t>Aleksandr Sevostyanov</t>
  </si>
  <si>
    <t>Севостьянов Александр Павлович</t>
  </si>
  <si>
    <t>Anton Matseyko</t>
  </si>
  <si>
    <t>Burulay Nurmatova</t>
  </si>
  <si>
    <t>Нурматова Бурулай Женишбековна</t>
  </si>
  <si>
    <t>Kirill Pesevenknikov</t>
  </si>
  <si>
    <t>Aydarbek Yuldasev</t>
  </si>
  <si>
    <t>Юлдашев Аидарбек Шухратбекович</t>
  </si>
  <si>
    <t>Бигеза Павел Петрович</t>
  </si>
  <si>
    <t xml:space="preserve">Pavel Bigeza </t>
  </si>
  <si>
    <t>Artom Kokin</t>
  </si>
  <si>
    <t>Кокин Артем Георгиевич</t>
  </si>
  <si>
    <t>Dimitriy Yakovlev</t>
  </si>
  <si>
    <t>Гурин Артем Викторович</t>
  </si>
  <si>
    <t>Artom Gurin</t>
  </si>
  <si>
    <t xml:space="preserve"> Монарт-Ипподром Монарт</t>
  </si>
  <si>
    <t xml:space="preserve"> Монарт Ипподром  TOPLAM</t>
  </si>
  <si>
    <t xml:space="preserve">DEPO/ КЛАДОВЩИК  </t>
  </si>
  <si>
    <t>Elyorjon Olamov</t>
  </si>
  <si>
    <t>Оламов Элёржон Эргашбоевич</t>
  </si>
  <si>
    <t>AMBAR OPERATORU</t>
  </si>
  <si>
    <t xml:space="preserve">КЛАДОВЩИК </t>
  </si>
  <si>
    <t>X</t>
  </si>
  <si>
    <t>UZAKTAN CALISIYOR</t>
  </si>
  <si>
    <t>DIS GOROV MERKEZ OFIS</t>
  </si>
  <si>
    <t>DIS GOREV SKOLKOVO</t>
  </si>
  <si>
    <t>ООО АДЕЛЬ ТЕХНОЛОДЖИ</t>
  </si>
  <si>
    <t>ИП"ЖЕЛУДЫ.А.А"</t>
  </si>
  <si>
    <t>INCE ISLER-AKBARALI</t>
  </si>
  <si>
    <t>Marat Farzutdinov</t>
  </si>
  <si>
    <t>Фарзутдинов Марат Камилевич</t>
  </si>
  <si>
    <t>DIS GOREV PROSPEKT VERNADSKAYA</t>
  </si>
  <si>
    <t>AKBARALI</t>
  </si>
  <si>
    <t>MARUF MELIBOEV</t>
  </si>
  <si>
    <t xml:space="preserve">Denis Steblevsky </t>
  </si>
  <si>
    <t>Стеблевский Денис Андреевич</t>
  </si>
  <si>
    <t>Мирошкина Валентина Петровна</t>
  </si>
  <si>
    <t>Denis Bezrukov</t>
  </si>
  <si>
    <t>Безруков Денис Алксандрович</t>
  </si>
  <si>
    <t>DIS GOREV SKOLKOVA</t>
  </si>
  <si>
    <t>Berkman Berkay Tas</t>
  </si>
  <si>
    <t>Таш Беркман Беркай</t>
  </si>
  <si>
    <t>SATINALMA SEFI</t>
  </si>
  <si>
    <t>Mehmet Fatih Guven</t>
  </si>
  <si>
    <t>Гювен Мехмет Фатих</t>
  </si>
  <si>
    <t>ELEKTRIK MUHENDISI</t>
  </si>
  <si>
    <t>Пшеничников Кирилл Александрович</t>
  </si>
  <si>
    <t>Egor Litvinov</t>
  </si>
  <si>
    <t>Литвинов Егор Витальевич</t>
  </si>
  <si>
    <t>MAKINA MUHENDISI</t>
  </si>
  <si>
    <t>Bernikov Ilya Sergeevic</t>
  </si>
  <si>
    <t>DIS GOREV NIZHNY NOVGOROD</t>
  </si>
  <si>
    <t>7909-518-58-36</t>
  </si>
  <si>
    <t>7919-772-74-80</t>
  </si>
  <si>
    <t>7926-787-97-57</t>
  </si>
  <si>
    <t>7925-847-15-57</t>
  </si>
  <si>
    <t>7989-727-22-68</t>
  </si>
  <si>
    <t>7926-527-13-88</t>
  </si>
  <si>
    <t>7925-224-60-50</t>
  </si>
  <si>
    <t>7903-643-84-94</t>
  </si>
  <si>
    <t>7963-769-24-15</t>
  </si>
  <si>
    <t>7985-813-85-91</t>
  </si>
  <si>
    <t>7968-532-60-93</t>
  </si>
  <si>
    <t>Kirill Cernikov</t>
  </si>
  <si>
    <t>Черников Кирилл Михайлович</t>
  </si>
  <si>
    <t>EYYUP CANKARA</t>
  </si>
  <si>
    <t>Murod Baiogliev</t>
  </si>
  <si>
    <t>Баиоглиев Мурод</t>
  </si>
  <si>
    <t>UCRETSIZ IZIN</t>
  </si>
  <si>
    <t>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</si>
</sst>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F800]dddd\,\ mmmm\ dd\,\ yyyy"/>
  </numFmts>
  <fonts count="70">
    <font>
      <sz val="11"/>
      <color theme="1"/>
      <name val="Calibri"/>
      <family val="2"/>
      <scheme val="minor"/>
    </font>
    <font>
      <b/>
      <sz val="36"/>
      <name val="Arial"/>
      <family val="2"/>
      <charset val="204"/>
    </font>
    <font>
      <sz val="18"/>
      <name val="Arial"/>
      <family val="2"/>
      <charset val="204"/>
    </font>
    <font>
      <sz val="18"/>
      <color theme="1"/>
      <name val="Calibri"/>
      <family val="2"/>
      <scheme val="minor"/>
    </font>
    <font>
      <sz val="18"/>
      <color rgb="FFFF0000"/>
      <name val="Arial"/>
      <family val="2"/>
      <charset val="204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24"/>
      <name val="Arial"/>
      <family val="2"/>
    </font>
    <font>
      <b/>
      <i/>
      <sz val="14"/>
      <color theme="1"/>
      <name val="Arial"/>
      <family val="2"/>
      <charset val="204"/>
    </font>
    <font>
      <b/>
      <sz val="14"/>
      <name val="Arial"/>
      <family val="2"/>
      <charset val="204"/>
    </font>
    <font>
      <b/>
      <i/>
      <sz val="18"/>
      <color rgb="FFFF0000"/>
      <name val="Arial"/>
      <family val="2"/>
      <charset val="204"/>
    </font>
    <font>
      <i/>
      <sz val="11"/>
      <color rgb="FFFF0000"/>
      <name val="Arial"/>
      <family val="2"/>
      <charset val="204"/>
    </font>
    <font>
      <sz val="10"/>
      <name val="Arial Cyr"/>
      <charset val="204"/>
    </font>
    <font>
      <b/>
      <sz val="18"/>
      <color rgb="FF00B0F0"/>
      <name val="Arial"/>
      <family val="2"/>
      <charset val="204"/>
    </font>
    <font>
      <sz val="17"/>
      <color theme="1"/>
      <name val="Arial"/>
      <family val="2"/>
      <charset val="204"/>
    </font>
    <font>
      <sz val="14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4"/>
      <color rgb="FFFF0000"/>
      <name val="Arial"/>
      <family val="2"/>
    </font>
    <font>
      <sz val="18"/>
      <color theme="1"/>
      <name val="Arial"/>
      <family val="2"/>
      <charset val="204"/>
    </font>
    <font>
      <sz val="13"/>
      <name val="Arial"/>
      <family val="2"/>
      <charset val="204"/>
    </font>
    <font>
      <b/>
      <sz val="16"/>
      <color theme="1"/>
      <name val="Arial"/>
      <family val="2"/>
      <charset val="204"/>
    </font>
    <font>
      <b/>
      <i/>
      <sz val="18"/>
      <name val="Arial"/>
      <family val="2"/>
      <charset val="204"/>
    </font>
    <font>
      <u/>
      <sz val="18"/>
      <color rgb="FFFF0000"/>
      <name val="Arial"/>
      <family val="2"/>
      <charset val="204"/>
    </font>
    <font>
      <b/>
      <i/>
      <sz val="14"/>
      <name val="Arial"/>
      <family val="2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4"/>
      <name val="Arial"/>
      <family val="2"/>
    </font>
    <font>
      <sz val="16"/>
      <color rgb="FFFF0000"/>
      <name val="Arial"/>
      <family val="2"/>
      <charset val="204"/>
    </font>
    <font>
      <sz val="24"/>
      <color rgb="FFFF0000"/>
      <name val="Arial"/>
      <family val="2"/>
      <charset val="204"/>
    </font>
    <font>
      <sz val="26"/>
      <color rgb="FFFF0000"/>
      <name val="Calibri"/>
      <family val="2"/>
      <scheme val="minor"/>
    </font>
    <font>
      <b/>
      <sz val="20"/>
      <name val="Arial"/>
      <family val="2"/>
      <charset val="204"/>
    </font>
    <font>
      <sz val="16"/>
      <name val="Arial"/>
      <family val="2"/>
      <charset val="204"/>
    </font>
    <font>
      <sz val="16"/>
      <color theme="1"/>
      <name val="Calibri"/>
      <family val="2"/>
      <scheme val="minor"/>
    </font>
    <font>
      <sz val="20"/>
      <name val="Arial"/>
      <family val="2"/>
      <charset val="204"/>
    </font>
    <font>
      <b/>
      <u/>
      <sz val="14"/>
      <name val="Arial"/>
      <family val="2"/>
      <charset val="204"/>
    </font>
    <font>
      <b/>
      <u/>
      <sz val="13"/>
      <name val="Arial"/>
      <family val="2"/>
      <charset val="204"/>
    </font>
    <font>
      <b/>
      <i/>
      <sz val="12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1"/>
      <name val="Arial"/>
      <family val="2"/>
      <charset val="204"/>
    </font>
    <font>
      <b/>
      <sz val="11"/>
      <name val="Arial"/>
      <family val="2"/>
      <charset val="204"/>
    </font>
    <font>
      <b/>
      <i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</font>
    <font>
      <sz val="26"/>
      <color rgb="FFFF0000"/>
      <name val="Arial"/>
      <family val="2"/>
      <charset val="204"/>
    </font>
    <font>
      <b/>
      <sz val="20"/>
      <name val="Arial"/>
      <family val="2"/>
      <charset val="162"/>
    </font>
    <font>
      <b/>
      <sz val="24"/>
      <name val="Arial"/>
      <family val="2"/>
      <charset val="204"/>
    </font>
    <font>
      <b/>
      <sz val="16"/>
      <name val="Arial"/>
      <family val="2"/>
      <charset val="204"/>
    </font>
    <font>
      <b/>
      <sz val="18"/>
      <name val="Arial"/>
      <family val="2"/>
      <charset val="162"/>
    </font>
    <font>
      <b/>
      <sz val="10"/>
      <name val="Arial"/>
      <family val="2"/>
      <charset val="162"/>
    </font>
    <font>
      <b/>
      <sz val="12"/>
      <name val="Arial"/>
      <family val="2"/>
      <charset val="162"/>
    </font>
    <font>
      <b/>
      <sz val="11"/>
      <name val="Arial"/>
      <family val="2"/>
      <charset val="162"/>
    </font>
    <font>
      <b/>
      <sz val="16"/>
      <name val="Arial"/>
      <family val="2"/>
      <charset val="162"/>
    </font>
    <font>
      <b/>
      <sz val="11"/>
      <name val="Arial Tur"/>
      <charset val="204"/>
    </font>
    <font>
      <b/>
      <sz val="16"/>
      <name val="Arial Tur"/>
      <charset val="204"/>
    </font>
    <font>
      <b/>
      <sz val="12"/>
      <name val="Arial Tur"/>
      <charset val="204"/>
    </font>
    <font>
      <sz val="12"/>
      <name val="Arial Tur"/>
      <charset val="162"/>
    </font>
    <font>
      <sz val="14"/>
      <color rgb="FFFF0000"/>
      <name val="Arial"/>
      <family val="2"/>
      <charset val="204"/>
    </font>
    <font>
      <b/>
      <sz val="9"/>
      <name val="Arial"/>
      <family val="2"/>
      <charset val="162"/>
    </font>
    <font>
      <b/>
      <sz val="12"/>
      <color theme="1"/>
      <name val="Arial"/>
      <family val="2"/>
      <charset val="204"/>
    </font>
    <font>
      <sz val="26"/>
      <name val="Arial"/>
      <family val="2"/>
      <charset val="204"/>
    </font>
    <font>
      <b/>
      <sz val="16"/>
      <color rgb="FF00B0F0"/>
      <name val="Arial Tur"/>
      <charset val="204"/>
    </font>
    <font>
      <b/>
      <sz val="10"/>
      <color theme="1"/>
      <name val="Arial Tur"/>
      <charset val="204"/>
    </font>
    <font>
      <sz val="25"/>
      <name val="Arial"/>
      <family val="2"/>
      <charset val="204"/>
    </font>
    <font>
      <b/>
      <i/>
      <sz val="11"/>
      <color rgb="FFFF0000"/>
      <name val="Arial"/>
      <family val="2"/>
      <charset val="204"/>
    </font>
    <font>
      <b/>
      <i/>
      <sz val="12"/>
      <color rgb="FFFF0000"/>
      <name val="Arial"/>
      <family val="2"/>
      <charset val="204"/>
    </font>
    <font>
      <b/>
      <i/>
      <sz val="13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auto="1"/>
      </bottom>
      <diagonal/>
    </border>
  </borders>
  <cellStyleXfs count="4">
    <xf numFmtId="0" fontId="0" fillId="0" borderId="0"/>
    <xf numFmtId="0" fontId="6" fillId="0" borderId="0"/>
    <xf numFmtId="0" fontId="12" fillId="0" borderId="0"/>
    <xf numFmtId="0" fontId="68" fillId="0" borderId="0"/>
  </cellStyleXfs>
  <cellXfs count="2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20" fillId="11" borderId="0" xfId="0" applyFont="1" applyFill="1" applyAlignment="1">
      <alignment vertical="center"/>
    </xf>
    <xf numFmtId="0" fontId="4" fillId="12" borderId="0" xfId="0" applyFont="1" applyFill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4" fillId="13" borderId="0" xfId="0" applyFont="1" applyFill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14" borderId="4" xfId="0" applyFont="1" applyFill="1" applyBorder="1" applyAlignment="1">
      <alignment vertical="center"/>
    </xf>
    <xf numFmtId="0" fontId="22" fillId="14" borderId="5" xfId="0" applyFont="1" applyFill="1" applyBorder="1" applyAlignment="1">
      <alignment vertical="center"/>
    </xf>
    <xf numFmtId="0" fontId="23" fillId="4" borderId="6" xfId="0" applyFont="1" applyFill="1" applyBorder="1" applyAlignment="1">
      <alignment horizontal="center" vertical="center"/>
    </xf>
    <xf numFmtId="0" fontId="0" fillId="4" borderId="0" xfId="0" applyFill="1"/>
    <xf numFmtId="0" fontId="22" fillId="14" borderId="3" xfId="0" applyFont="1" applyFill="1" applyBorder="1" applyAlignment="1">
      <alignment vertical="center"/>
    </xf>
    <xf numFmtId="20" fontId="24" fillId="15" borderId="1" xfId="0" applyNumberFormat="1" applyFont="1" applyFill="1" applyBorder="1" applyAlignment="1">
      <alignment horizontal="left" vertical="center"/>
    </xf>
    <xf numFmtId="20" fontId="24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20" fillId="0" borderId="0" xfId="0" applyFont="1"/>
    <xf numFmtId="0" fontId="25" fillId="4" borderId="0" xfId="0" applyFont="1" applyFill="1" applyAlignment="1">
      <alignment horizontal="center"/>
    </xf>
    <xf numFmtId="0" fontId="2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31" fillId="4" borderId="0" xfId="0" applyFont="1" applyFill="1" applyAlignment="1">
      <alignment vertical="center"/>
    </xf>
    <xf numFmtId="0" fontId="31" fillId="4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6" fillId="4" borderId="0" xfId="0" applyFont="1" applyFill="1" applyAlignment="1">
      <alignment horizontal="center" vertical="center"/>
    </xf>
    <xf numFmtId="0" fontId="35" fillId="4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wrapText="1"/>
    </xf>
    <xf numFmtId="0" fontId="0" fillId="4" borderId="0" xfId="0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4" fillId="0" borderId="7" xfId="0" applyFont="1" applyBorder="1" applyAlignment="1">
      <alignment vertical="center"/>
    </xf>
    <xf numFmtId="14" fontId="37" fillId="14" borderId="8" xfId="0" applyNumberFormat="1" applyFont="1" applyFill="1" applyBorder="1" applyAlignment="1">
      <alignment horizontal="center" vertical="center"/>
    </xf>
    <xf numFmtId="0" fontId="37" fillId="3" borderId="8" xfId="0" applyFont="1" applyFill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 wrapText="1"/>
    </xf>
    <xf numFmtId="0" fontId="38" fillId="2" borderId="10" xfId="0" applyFont="1" applyFill="1" applyBorder="1" applyAlignment="1">
      <alignment horizontal="center" vertical="center" wrapText="1"/>
    </xf>
    <xf numFmtId="0" fontId="38" fillId="2" borderId="8" xfId="0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left" vertical="center"/>
    </xf>
    <xf numFmtId="0" fontId="40" fillId="0" borderId="8" xfId="0" applyFont="1" applyBorder="1" applyAlignment="1">
      <alignment horizontal="center" vertical="center" wrapText="1"/>
    </xf>
    <xf numFmtId="41" fontId="9" fillId="4" borderId="12" xfId="0" applyNumberFormat="1" applyFont="1" applyFill="1" applyBorder="1" applyAlignment="1">
      <alignment horizontal="right" vertical="center"/>
    </xf>
    <xf numFmtId="41" fontId="9" fillId="0" borderId="13" xfId="0" applyNumberFormat="1" applyFont="1" applyBorder="1" applyAlignment="1">
      <alignment horizontal="right" vertical="center"/>
    </xf>
    <xf numFmtId="41" fontId="9" fillId="4" borderId="14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41" fillId="0" borderId="8" xfId="0" applyFont="1" applyBorder="1" applyAlignment="1">
      <alignment horizontal="left" vertical="center"/>
    </xf>
    <xf numFmtId="41" fontId="9" fillId="4" borderId="13" xfId="0" applyNumberFormat="1" applyFont="1" applyFill="1" applyBorder="1" applyAlignment="1">
      <alignment horizontal="right" vertical="center"/>
    </xf>
    <xf numFmtId="0" fontId="37" fillId="8" borderId="8" xfId="0" applyFont="1" applyFill="1" applyBorder="1" applyAlignment="1">
      <alignment horizontal="center" vertical="center"/>
    </xf>
    <xf numFmtId="0" fontId="42" fillId="8" borderId="6" xfId="0" applyFont="1" applyFill="1" applyBorder="1" applyAlignment="1">
      <alignment vertical="center" textRotation="255" wrapText="1"/>
    </xf>
    <xf numFmtId="41" fontId="5" fillId="8" borderId="8" xfId="0" applyNumberFormat="1" applyFont="1" applyFill="1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41" fontId="5" fillId="8" borderId="16" xfId="0" applyNumberFormat="1" applyFont="1" applyFill="1" applyBorder="1" applyAlignment="1">
      <alignment horizontal="right" vertical="center"/>
    </xf>
    <xf numFmtId="0" fontId="43" fillId="2" borderId="8" xfId="0" applyFont="1" applyFill="1" applyBorder="1" applyAlignment="1">
      <alignment horizontal="center" vertical="center"/>
    </xf>
    <xf numFmtId="0" fontId="44" fillId="2" borderId="17" xfId="0" applyFont="1" applyFill="1" applyBorder="1" applyAlignment="1">
      <alignment horizontal="center" vertical="center"/>
    </xf>
    <xf numFmtId="41" fontId="5" fillId="2" borderId="8" xfId="0" applyNumberFormat="1" applyFont="1" applyFill="1" applyBorder="1" applyAlignment="1">
      <alignment horizontal="righ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1" fontId="0" fillId="0" borderId="20" xfId="0" applyNumberFormat="1" applyBorder="1" applyAlignment="1">
      <alignment horizontal="center" vertical="center"/>
    </xf>
    <xf numFmtId="41" fontId="0" fillId="4" borderId="20" xfId="0" applyNumberFormat="1" applyFill="1" applyBorder="1" applyAlignment="1">
      <alignment horizontal="center" vertical="center"/>
    </xf>
    <xf numFmtId="41" fontId="0" fillId="4" borderId="21" xfId="0" applyNumberFormat="1" applyFill="1" applyBorder="1" applyAlignment="1">
      <alignment horizontal="center" vertical="center"/>
    </xf>
    <xf numFmtId="0" fontId="43" fillId="0" borderId="22" xfId="0" applyFont="1" applyBorder="1" applyAlignment="1">
      <alignment horizontal="left" vertical="center"/>
    </xf>
    <xf numFmtId="41" fontId="40" fillId="0" borderId="20" xfId="0" applyNumberFormat="1" applyFont="1" applyBorder="1" applyAlignment="1">
      <alignment horizontal="right" vertical="center"/>
    </xf>
    <xf numFmtId="41" fontId="40" fillId="0" borderId="13" xfId="0" applyNumberFormat="1" applyFont="1" applyBorder="1" applyAlignment="1">
      <alignment horizontal="right" vertical="center"/>
    </xf>
    <xf numFmtId="41" fontId="40" fillId="4" borderId="14" xfId="0" applyNumberFormat="1" applyFont="1" applyFill="1" applyBorder="1" applyAlignment="1">
      <alignment horizontal="right" vertical="center"/>
    </xf>
    <xf numFmtId="0" fontId="37" fillId="0" borderId="8" xfId="0" applyFont="1" applyBorder="1" applyAlignment="1">
      <alignment horizontal="center" vertical="center"/>
    </xf>
    <xf numFmtId="0" fontId="42" fillId="0" borderId="0" xfId="0" applyFont="1" applyAlignment="1">
      <alignment vertical="center" textRotation="255" wrapText="1"/>
    </xf>
    <xf numFmtId="41" fontId="2" fillId="0" borderId="15" xfId="0" applyNumberFormat="1" applyFont="1" applyBorder="1" applyAlignment="1">
      <alignment horizontal="right" vertical="center"/>
    </xf>
    <xf numFmtId="0" fontId="6" fillId="0" borderId="0" xfId="1" applyAlignment="1">
      <alignment vertical="center"/>
    </xf>
    <xf numFmtId="0" fontId="45" fillId="0" borderId="0" xfId="1" applyFont="1" applyAlignment="1">
      <alignment vertical="center"/>
    </xf>
    <xf numFmtId="0" fontId="45" fillId="0" borderId="0" xfId="1" applyFont="1" applyAlignment="1">
      <alignment horizontal="center" vertical="center"/>
    </xf>
    <xf numFmtId="0" fontId="47" fillId="3" borderId="25" xfId="1" applyFont="1" applyFill="1" applyBorder="1" applyAlignment="1">
      <alignment horizontal="center" vertical="center"/>
    </xf>
    <xf numFmtId="0" fontId="40" fillId="5" borderId="23" xfId="1" applyFont="1" applyFill="1" applyBorder="1" applyAlignment="1">
      <alignment vertical="center"/>
    </xf>
    <xf numFmtId="164" fontId="49" fillId="2" borderId="25" xfId="1" applyNumberFormat="1" applyFont="1" applyFill="1" applyBorder="1" applyAlignment="1">
      <alignment horizontal="center" vertical="center"/>
    </xf>
    <xf numFmtId="0" fontId="50" fillId="5" borderId="8" xfId="1" applyFont="1" applyFill="1" applyBorder="1" applyAlignment="1">
      <alignment horizontal="center" vertical="center" wrapText="1"/>
    </xf>
    <xf numFmtId="0" fontId="51" fillId="5" borderId="26" xfId="1" applyFont="1" applyFill="1" applyBorder="1" applyAlignment="1">
      <alignment horizontal="center" vertical="center"/>
    </xf>
    <xf numFmtId="0" fontId="52" fillId="5" borderId="27" xfId="1" applyFont="1" applyFill="1" applyBorder="1" applyAlignment="1">
      <alignment horizontal="center" vertical="center" wrapText="1"/>
    </xf>
    <xf numFmtId="0" fontId="50" fillId="5" borderId="28" xfId="1" applyFont="1" applyFill="1" applyBorder="1" applyAlignment="1">
      <alignment horizontal="center" vertical="center" wrapText="1"/>
    </xf>
    <xf numFmtId="0" fontId="50" fillId="5" borderId="29" xfId="1" applyFont="1" applyFill="1" applyBorder="1" applyAlignment="1">
      <alignment horizontal="center" vertical="center"/>
    </xf>
    <xf numFmtId="0" fontId="53" fillId="5" borderId="9" xfId="1" applyFont="1" applyFill="1" applyBorder="1" applyAlignment="1">
      <alignment vertical="center"/>
    </xf>
    <xf numFmtId="0" fontId="50" fillId="5" borderId="30" xfId="1" applyFont="1" applyFill="1" applyBorder="1" applyAlignment="1">
      <alignment horizontal="left" vertical="center" wrapText="1"/>
    </xf>
    <xf numFmtId="0" fontId="52" fillId="5" borderId="31" xfId="1" applyFont="1" applyFill="1" applyBorder="1" applyAlignment="1">
      <alignment horizontal="center" vertical="center" wrapText="1"/>
    </xf>
    <xf numFmtId="0" fontId="52" fillId="5" borderId="32" xfId="1" applyFont="1" applyFill="1" applyBorder="1" applyAlignment="1">
      <alignment horizontal="center" vertical="center" wrapText="1"/>
    </xf>
    <xf numFmtId="0" fontId="52" fillId="5" borderId="33" xfId="1" applyFont="1" applyFill="1" applyBorder="1" applyAlignment="1">
      <alignment horizontal="center" vertical="center" wrapText="1"/>
    </xf>
    <xf numFmtId="0" fontId="53" fillId="5" borderId="22" xfId="1" applyFont="1" applyFill="1" applyBorder="1" applyAlignment="1">
      <alignment vertical="center"/>
    </xf>
    <xf numFmtId="0" fontId="54" fillId="0" borderId="34" xfId="1" applyFont="1" applyBorder="1" applyAlignment="1">
      <alignment horizontal="center" vertical="center"/>
    </xf>
    <xf numFmtId="0" fontId="51" fillId="4" borderId="35" xfId="1" applyFont="1" applyFill="1" applyBorder="1" applyAlignment="1">
      <alignment horizontal="left" vertical="center"/>
    </xf>
    <xf numFmtId="41" fontId="55" fillId="0" borderId="34" xfId="1" applyNumberFormat="1" applyFont="1" applyBorder="1" applyAlignment="1">
      <alignment horizontal="right" vertical="center"/>
    </xf>
    <xf numFmtId="41" fontId="55" fillId="4" borderId="34" xfId="1" applyNumberFormat="1" applyFont="1" applyFill="1" applyBorder="1" applyAlignment="1">
      <alignment horizontal="right" vertical="center"/>
    </xf>
    <xf numFmtId="41" fontId="55" fillId="4" borderId="36" xfId="1" applyNumberFormat="1" applyFont="1" applyFill="1" applyBorder="1" applyAlignment="1">
      <alignment horizontal="right" vertical="center"/>
    </xf>
    <xf numFmtId="0" fontId="56" fillId="0" borderId="37" xfId="1" applyFont="1" applyBorder="1" applyAlignment="1">
      <alignment horizontal="left"/>
    </xf>
    <xf numFmtId="0" fontId="56" fillId="0" borderId="36" xfId="1" applyFont="1" applyBorder="1" applyAlignment="1">
      <alignment horizontal="left"/>
    </xf>
    <xf numFmtId="0" fontId="54" fillId="5" borderId="8" xfId="1" applyFont="1" applyFill="1" applyBorder="1" applyAlignment="1">
      <alignment horizontal="center" vertical="center"/>
    </xf>
    <xf numFmtId="0" fontId="26" fillId="5" borderId="8" xfId="1" applyFont="1" applyFill="1" applyBorder="1" applyAlignment="1">
      <alignment horizontal="left" vertical="center" wrapText="1"/>
    </xf>
    <xf numFmtId="41" fontId="55" fillId="5" borderId="8" xfId="1" applyNumberFormat="1" applyFont="1" applyFill="1" applyBorder="1" applyAlignment="1">
      <alignment horizontal="right" vertical="center"/>
    </xf>
    <xf numFmtId="0" fontId="57" fillId="5" borderId="8" xfId="1" applyFont="1" applyFill="1" applyBorder="1" applyAlignment="1">
      <alignment vertical="center"/>
    </xf>
    <xf numFmtId="0" fontId="59" fillId="5" borderId="31" xfId="1" applyFont="1" applyFill="1" applyBorder="1" applyAlignment="1">
      <alignment horizontal="center" vertical="center" wrapText="1"/>
    </xf>
    <xf numFmtId="0" fontId="59" fillId="5" borderId="32" xfId="1" applyFont="1" applyFill="1" applyBorder="1" applyAlignment="1">
      <alignment horizontal="center" vertical="center" wrapText="1"/>
    </xf>
    <xf numFmtId="0" fontId="59" fillId="5" borderId="33" xfId="1" applyFont="1" applyFill="1" applyBorder="1" applyAlignment="1">
      <alignment horizontal="center" vertical="center" wrapText="1"/>
    </xf>
    <xf numFmtId="0" fontId="51" fillId="0" borderId="38" xfId="1" applyFont="1" applyBorder="1" applyAlignment="1">
      <alignment vertical="center"/>
    </xf>
    <xf numFmtId="0" fontId="55" fillId="4" borderId="34" xfId="1" applyFont="1" applyFill="1" applyBorder="1" applyAlignment="1">
      <alignment horizontal="right" vertical="center"/>
    </xf>
    <xf numFmtId="41" fontId="55" fillId="5" borderId="39" xfId="1" applyNumberFormat="1" applyFont="1" applyFill="1" applyBorder="1" applyAlignment="1">
      <alignment horizontal="right" vertical="center"/>
    </xf>
    <xf numFmtId="0" fontId="26" fillId="0" borderId="38" xfId="1" applyFont="1" applyBorder="1" applyAlignment="1">
      <alignment horizontal="left"/>
    </xf>
    <xf numFmtId="41" fontId="45" fillId="14" borderId="1" xfId="1" applyNumberFormat="1" applyFont="1" applyFill="1" applyBorder="1" applyAlignment="1">
      <alignment vertical="center"/>
    </xf>
    <xf numFmtId="0" fontId="45" fillId="0" borderId="1" xfId="1" applyFont="1" applyBorder="1" applyAlignment="1">
      <alignment horizontal="center" vertical="center"/>
    </xf>
    <xf numFmtId="0" fontId="51" fillId="0" borderId="37" xfId="1" applyFont="1" applyBorder="1" applyAlignment="1">
      <alignment vertical="center"/>
    </xf>
    <xf numFmtId="0" fontId="26" fillId="0" borderId="37" xfId="1" applyFont="1" applyBorder="1" applyAlignment="1">
      <alignment horizontal="left"/>
    </xf>
    <xf numFmtId="0" fontId="51" fillId="0" borderId="34" xfId="1" applyFont="1" applyBorder="1" applyAlignment="1">
      <alignment vertical="center"/>
    </xf>
    <xf numFmtId="0" fontId="26" fillId="0" borderId="34" xfId="1" applyFont="1" applyBorder="1" applyAlignment="1">
      <alignment horizontal="left"/>
    </xf>
    <xf numFmtId="0" fontId="51" fillId="0" borderId="34" xfId="1" applyFont="1" applyBorder="1" applyAlignment="1">
      <alignment horizontal="left" vertical="center" wrapText="1"/>
    </xf>
    <xf numFmtId="0" fontId="60" fillId="4" borderId="40" xfId="0" applyFont="1" applyFill="1" applyBorder="1" applyAlignment="1">
      <alignment horizontal="left" wrapText="1"/>
    </xf>
    <xf numFmtId="0" fontId="51" fillId="0" borderId="34" xfId="0" applyFont="1" applyBorder="1" applyAlignment="1">
      <alignment horizontal="left" vertical="center" wrapText="1"/>
    </xf>
    <xf numFmtId="41" fontId="45" fillId="0" borderId="1" xfId="1" applyNumberFormat="1" applyFont="1" applyBorder="1" applyAlignment="1">
      <alignment horizontal="center" vertical="center"/>
    </xf>
    <xf numFmtId="0" fontId="26" fillId="5" borderId="22" xfId="1" applyFont="1" applyFill="1" applyBorder="1" applyAlignment="1">
      <alignment horizontal="left" vertical="center" wrapText="1"/>
    </xf>
    <xf numFmtId="0" fontId="61" fillId="0" borderId="0" xfId="1" applyFont="1" applyAlignment="1">
      <alignment vertical="center"/>
    </xf>
    <xf numFmtId="0" fontId="61" fillId="0" borderId="0" xfId="1" applyFont="1" applyAlignment="1">
      <alignment horizontal="center" vertical="center"/>
    </xf>
    <xf numFmtId="0" fontId="6" fillId="6" borderId="22" xfId="1" applyFill="1" applyBorder="1" applyAlignment="1">
      <alignment vertical="center"/>
    </xf>
    <xf numFmtId="0" fontId="52" fillId="6" borderId="8" xfId="1" applyFont="1" applyFill="1" applyBorder="1" applyAlignment="1">
      <alignment vertical="center"/>
    </xf>
    <xf numFmtId="41" fontId="62" fillId="6" borderId="8" xfId="1" applyNumberFormat="1" applyFont="1" applyFill="1" applyBorder="1" applyAlignment="1">
      <alignment vertical="center"/>
    </xf>
    <xf numFmtId="0" fontId="6" fillId="6" borderId="8" xfId="1" applyFill="1" applyBorder="1" applyAlignment="1">
      <alignment vertical="center"/>
    </xf>
    <xf numFmtId="0" fontId="51" fillId="4" borderId="37" xfId="1" applyFont="1" applyFill="1" applyBorder="1" applyAlignment="1">
      <alignment horizontal="center" vertical="center" wrapText="1"/>
    </xf>
    <xf numFmtId="41" fontId="55" fillId="4" borderId="34" xfId="1" applyNumberFormat="1" applyFont="1" applyFill="1" applyBorder="1" applyAlignment="1">
      <alignment vertical="center"/>
    </xf>
    <xf numFmtId="41" fontId="63" fillId="4" borderId="34" xfId="1" applyNumberFormat="1" applyFont="1" applyFill="1" applyBorder="1" applyAlignment="1">
      <alignment vertical="center"/>
    </xf>
    <xf numFmtId="41" fontId="53" fillId="5" borderId="34" xfId="1" applyNumberFormat="1" applyFont="1" applyFill="1" applyBorder="1" applyAlignment="1">
      <alignment horizontal="right" vertical="center" wrapText="1"/>
    </xf>
    <xf numFmtId="14" fontId="6" fillId="0" borderId="0" xfId="1" applyNumberFormat="1" applyAlignment="1">
      <alignment vertical="center"/>
    </xf>
    <xf numFmtId="0" fontId="45" fillId="0" borderId="1" xfId="1" quotePrefix="1" applyFont="1" applyBorder="1" applyAlignment="1">
      <alignment horizontal="center" vertical="center"/>
    </xf>
    <xf numFmtId="0" fontId="65" fillId="2" borderId="1" xfId="0" applyFont="1" applyFill="1" applyBorder="1" applyAlignment="1">
      <alignment horizontal="center" vertical="center"/>
    </xf>
    <xf numFmtId="0" fontId="66" fillId="2" borderId="1" xfId="0" applyFont="1" applyFill="1" applyBorder="1" applyAlignment="1">
      <alignment horizontal="center" vertical="center"/>
    </xf>
    <xf numFmtId="0" fontId="66" fillId="2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31" fillId="4" borderId="0" xfId="0" applyFont="1" applyFill="1" applyAlignment="1">
      <alignment vertical="center" wrapText="1"/>
    </xf>
    <xf numFmtId="0" fontId="34" fillId="4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 wrapText="1"/>
    </xf>
    <xf numFmtId="20" fontId="67" fillId="8" borderId="1" xfId="0" applyNumberFormat="1" applyFont="1" applyFill="1" applyBorder="1" applyAlignment="1">
      <alignment horizontal="left" vertical="center"/>
    </xf>
    <xf numFmtId="0" fontId="31" fillId="0" borderId="7" xfId="0" applyFont="1" applyBorder="1" applyAlignment="1">
      <alignment vertical="center"/>
    </xf>
    <xf numFmtId="41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4" borderId="1" xfId="0" applyFont="1" applyFill="1" applyBorder="1" applyAlignment="1">
      <alignment vertical="center"/>
    </xf>
    <xf numFmtId="0" fontId="0" fillId="0" borderId="1" xfId="0" applyBorder="1"/>
    <xf numFmtId="0" fontId="19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1" fillId="4" borderId="4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/>
    </xf>
    <xf numFmtId="20" fontId="18" fillId="8" borderId="1" xfId="0" applyNumberFormat="1" applyFont="1" applyFill="1" applyBorder="1" applyAlignment="1">
      <alignment horizontal="left" vertical="center"/>
    </xf>
    <xf numFmtId="0" fontId="19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16" fontId="20" fillId="0" borderId="0" xfId="0" applyNumberFormat="1" applyFont="1" applyAlignment="1">
      <alignment vertical="center"/>
    </xf>
    <xf numFmtId="0" fontId="55" fillId="0" borderId="34" xfId="1" applyFont="1" applyBorder="1" applyAlignment="1">
      <alignment horizontal="right" vertical="center"/>
    </xf>
    <xf numFmtId="0" fontId="69" fillId="0" borderId="2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1" fontId="40" fillId="4" borderId="20" xfId="0" applyNumberFormat="1" applyFont="1" applyFill="1" applyBorder="1" applyAlignment="1">
      <alignment horizontal="right" vertical="center"/>
    </xf>
    <xf numFmtId="0" fontId="19" fillId="9" borderId="0" xfId="0" applyFont="1" applyFill="1" applyAlignment="1">
      <alignment horizontal="center" vertical="center"/>
    </xf>
    <xf numFmtId="41" fontId="40" fillId="4" borderId="12" xfId="0" applyNumberFormat="1" applyFont="1" applyFill="1" applyBorder="1" applyAlignment="1">
      <alignment horizontal="right" vertical="center"/>
    </xf>
    <xf numFmtId="0" fontId="0" fillId="14" borderId="1" xfId="0" applyFill="1" applyBorder="1" applyAlignment="1">
      <alignment horizontal="center" vertical="center"/>
    </xf>
    <xf numFmtId="0" fontId="58" fillId="0" borderId="1" xfId="1" applyFont="1" applyBorder="1" applyAlignment="1">
      <alignment horizontal="center" vertical="center" wrapText="1"/>
    </xf>
    <xf numFmtId="0" fontId="64" fillId="0" borderId="0" xfId="1" applyFont="1" applyAlignment="1">
      <alignment horizontal="center" vertical="center"/>
    </xf>
    <xf numFmtId="0" fontId="31" fillId="0" borderId="0" xfId="1" applyFont="1" applyAlignment="1">
      <alignment horizontal="center" vertical="center"/>
    </xf>
    <xf numFmtId="0" fontId="46" fillId="5" borderId="23" xfId="1" applyFont="1" applyFill="1" applyBorder="1" applyAlignment="1">
      <alignment horizontal="center" vertical="center"/>
    </xf>
    <xf numFmtId="0" fontId="46" fillId="5" borderId="24" xfId="1" applyFont="1" applyFill="1" applyBorder="1" applyAlignment="1">
      <alignment horizontal="center" vertical="center"/>
    </xf>
    <xf numFmtId="0" fontId="26" fillId="5" borderId="23" xfId="1" applyFont="1" applyFill="1" applyBorder="1" applyAlignment="1">
      <alignment horizontal="center" vertical="center"/>
    </xf>
    <xf numFmtId="0" fontId="26" fillId="5" borderId="17" xfId="1" applyFont="1" applyFill="1" applyBorder="1" applyAlignment="1">
      <alignment horizontal="center" vertical="center"/>
    </xf>
    <xf numFmtId="0" fontId="26" fillId="5" borderId="24" xfId="1" applyFont="1" applyFill="1" applyBorder="1" applyAlignment="1">
      <alignment horizontal="center" vertical="center"/>
    </xf>
    <xf numFmtId="0" fontId="48" fillId="5" borderId="15" xfId="1" applyFont="1" applyFill="1" applyBorder="1" applyAlignment="1">
      <alignment horizontal="center" vertical="center"/>
    </xf>
    <xf numFmtId="0" fontId="48" fillId="5" borderId="17" xfId="1" applyFont="1" applyFill="1" applyBorder="1" applyAlignment="1">
      <alignment horizontal="center" vertical="center"/>
    </xf>
    <xf numFmtId="0" fontId="48" fillId="5" borderId="24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textRotation="90"/>
    </xf>
    <xf numFmtId="0" fontId="22" fillId="14" borderId="3" xfId="0" applyFont="1" applyFill="1" applyBorder="1" applyAlignment="1">
      <alignment horizontal="right" vertical="center"/>
    </xf>
    <xf numFmtId="0" fontId="22" fillId="14" borderId="4" xfId="0" applyFont="1" applyFill="1" applyBorder="1" applyAlignment="1">
      <alignment horizontal="right" vertical="center"/>
    </xf>
    <xf numFmtId="0" fontId="22" fillId="14" borderId="5" xfId="0" applyFont="1" applyFill="1" applyBorder="1" applyAlignment="1">
      <alignment horizontal="right" vertical="center"/>
    </xf>
    <xf numFmtId="0" fontId="8" fillId="0" borderId="2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8" fillId="2" borderId="15" xfId="0" applyFont="1" applyFill="1" applyBorder="1" applyAlignment="1">
      <alignment horizontal="center" vertical="center" wrapText="1"/>
    </xf>
    <xf numFmtId="0" fontId="38" fillId="2" borderId="10" xfId="0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</cellXfs>
  <cellStyles count="4">
    <cellStyle name="Îáû÷íûé_Ëèñò1 (2)_0597BRD" xfId="2" xr:uid="{00000000-0005-0000-0000-000000000000}"/>
    <cellStyle name="Normal 2" xfId="1" xr:uid="{00000000-0005-0000-0000-000001000000}"/>
    <cellStyle name="Обычный" xfId="0" builtinId="0"/>
    <cellStyle name="Обычный 2" xfId="3" xr:uid="{00000000-0005-0000-0000-000003000000}"/>
  </cellStyles>
  <dxfs count="3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opLeftCell="A7" workbookViewId="0">
      <selection activeCell="C75" sqref="C75"/>
    </sheetView>
  </sheetViews>
  <sheetFormatPr defaultRowHeight="15"/>
  <cols>
    <col min="1" max="1" width="6.140625" customWidth="1"/>
    <col min="2" max="2" width="32.28515625" bestFit="1" customWidth="1"/>
    <col min="3" max="3" width="11.28515625" customWidth="1"/>
  </cols>
  <sheetData>
    <row r="1" spans="1:5" ht="30">
      <c r="A1" s="161" t="s">
        <v>284</v>
      </c>
      <c r="B1" s="162" t="s">
        <v>9</v>
      </c>
      <c r="C1" s="163" t="s">
        <v>324</v>
      </c>
      <c r="D1" s="163" t="s">
        <v>325</v>
      </c>
      <c r="E1" s="164">
        <f>+C80</f>
        <v>25</v>
      </c>
    </row>
    <row r="2" spans="1:5">
      <c r="A2" s="165">
        <v>1</v>
      </c>
      <c r="B2" s="166" t="s">
        <v>113</v>
      </c>
      <c r="C2" s="165">
        <f>COUNTIF(IPPODROM!E:E,'Meslek Sayi'!B:B)</f>
        <v>0</v>
      </c>
    </row>
    <row r="3" spans="1:5">
      <c r="A3" s="165">
        <v>2</v>
      </c>
      <c r="B3" s="166" t="s">
        <v>114</v>
      </c>
      <c r="C3" s="165">
        <f>COUNTIF(IPPODROM!E:E,'Meslek Sayi'!B:B)</f>
        <v>0</v>
      </c>
    </row>
    <row r="4" spans="1:5">
      <c r="A4" s="165">
        <v>3</v>
      </c>
      <c r="B4" s="166" t="s">
        <v>94</v>
      </c>
      <c r="C4" s="165">
        <f>COUNTIF(IPPODROM!E:E,'Meslek Sayi'!B:B)</f>
        <v>0</v>
      </c>
    </row>
    <row r="5" spans="1:5">
      <c r="A5" s="165">
        <v>4</v>
      </c>
      <c r="B5" s="166" t="s">
        <v>88</v>
      </c>
      <c r="C5" s="165">
        <f>COUNTIF(IPPODROM!E:E,'Meslek Sayi'!B:B)</f>
        <v>0</v>
      </c>
    </row>
    <row r="6" spans="1:5">
      <c r="A6" s="165">
        <v>5</v>
      </c>
      <c r="B6" s="166" t="s">
        <v>89</v>
      </c>
      <c r="C6" s="165">
        <f>COUNTIF(IPPODROM!E:E,'Meslek Sayi'!B:B)</f>
        <v>0</v>
      </c>
    </row>
    <row r="7" spans="1:5">
      <c r="A7" s="165">
        <v>6</v>
      </c>
      <c r="B7" s="166" t="s">
        <v>22</v>
      </c>
      <c r="C7" s="165">
        <f>COUNTIF(IPPODROM!E:E,'Meslek Sayi'!B:B)</f>
        <v>3</v>
      </c>
    </row>
    <row r="8" spans="1:5">
      <c r="A8" s="165">
        <v>7</v>
      </c>
      <c r="B8" s="166" t="s">
        <v>77</v>
      </c>
      <c r="C8" s="165">
        <f>COUNTIF(IPPODROM!E:E,'Meslek Sayi'!B:B)</f>
        <v>0</v>
      </c>
    </row>
    <row r="9" spans="1:5">
      <c r="A9" s="165">
        <v>8</v>
      </c>
      <c r="B9" s="166" t="s">
        <v>60</v>
      </c>
      <c r="C9" s="165">
        <f>COUNTIF(IPPODROM!E:E,'Meslek Sayi'!B:B)</f>
        <v>0</v>
      </c>
    </row>
    <row r="10" spans="1:5">
      <c r="A10" s="165">
        <v>9</v>
      </c>
      <c r="B10" s="166" t="s">
        <v>83</v>
      </c>
      <c r="C10" s="165">
        <f>COUNTIF(IPPODROM!E:E,'Meslek Sayi'!B:B)</f>
        <v>0</v>
      </c>
    </row>
    <row r="11" spans="1:5">
      <c r="A11" s="165">
        <v>10</v>
      </c>
      <c r="B11" s="166" t="s">
        <v>82</v>
      </c>
      <c r="C11" s="165">
        <f>COUNTIF(IPPODROM!E:E,'Meslek Sayi'!B:B)</f>
        <v>0</v>
      </c>
    </row>
    <row r="12" spans="1:5">
      <c r="A12" s="165">
        <v>11</v>
      </c>
      <c r="B12" s="166" t="s">
        <v>246</v>
      </c>
      <c r="C12" s="165">
        <f>COUNTIF(IPPODROM!E:E,'Meslek Sayi'!B:B)</f>
        <v>0</v>
      </c>
    </row>
    <row r="13" spans="1:5">
      <c r="A13" s="165">
        <v>12</v>
      </c>
      <c r="B13" s="166" t="s">
        <v>326</v>
      </c>
      <c r="C13" s="165">
        <f>COUNTIF(IPPODROM!E:E,'Meslek Sayi'!B:B)</f>
        <v>0</v>
      </c>
    </row>
    <row r="14" spans="1:5">
      <c r="A14" s="165">
        <v>13</v>
      </c>
      <c r="B14" s="166" t="s">
        <v>151</v>
      </c>
      <c r="C14" s="165">
        <f>COUNTIF(IPPODROM!E:E,'Meslek Sayi'!B:B)</f>
        <v>0</v>
      </c>
    </row>
    <row r="15" spans="1:5">
      <c r="A15" s="165">
        <v>14</v>
      </c>
      <c r="B15" s="166" t="s">
        <v>234</v>
      </c>
      <c r="C15" s="165">
        <f>COUNTIF(IPPODROM!E:E,'Meslek Sayi'!B:B)</f>
        <v>0</v>
      </c>
    </row>
    <row r="16" spans="1:5">
      <c r="A16" s="165">
        <v>15</v>
      </c>
      <c r="B16" s="166" t="s">
        <v>241</v>
      </c>
      <c r="C16" s="165">
        <f>COUNTIF(IPPODROM!E:E,'Meslek Sayi'!B:B)</f>
        <v>0</v>
      </c>
    </row>
    <row r="17" spans="1:3">
      <c r="A17" s="165">
        <v>16</v>
      </c>
      <c r="B17" s="166" t="s">
        <v>244</v>
      </c>
      <c r="C17" s="165">
        <f>COUNTIF(IPPODROM!E:E,'Meslek Sayi'!B:B)</f>
        <v>0</v>
      </c>
    </row>
    <row r="18" spans="1:3">
      <c r="A18" s="165">
        <v>17</v>
      </c>
      <c r="B18" s="166" t="s">
        <v>245</v>
      </c>
      <c r="C18" s="165">
        <f>COUNTIF(IPPODROM!E:E,'Meslek Sayi'!B:B)</f>
        <v>0</v>
      </c>
    </row>
    <row r="19" spans="1:3">
      <c r="A19" s="165">
        <v>18</v>
      </c>
      <c r="B19" s="166" t="s">
        <v>152</v>
      </c>
      <c r="C19" s="165">
        <f>COUNTIF(IPPODROM!E:E,'Meslek Sayi'!B:B)</f>
        <v>0</v>
      </c>
    </row>
    <row r="20" spans="1:3">
      <c r="A20" s="165">
        <v>19</v>
      </c>
      <c r="B20" s="166" t="s">
        <v>115</v>
      </c>
      <c r="C20" s="165">
        <f>COUNTIF(IPPODROM!E:E,'Meslek Sayi'!B:B)</f>
        <v>0</v>
      </c>
    </row>
    <row r="21" spans="1:3">
      <c r="A21" s="165">
        <v>20</v>
      </c>
      <c r="B21" s="166" t="s">
        <v>103</v>
      </c>
      <c r="C21" s="165">
        <f>COUNTIF(IPPODROM!E:E,'Meslek Sayi'!B:B)</f>
        <v>0</v>
      </c>
    </row>
    <row r="22" spans="1:3">
      <c r="A22" s="165">
        <v>21</v>
      </c>
      <c r="B22" s="166" t="s">
        <v>327</v>
      </c>
      <c r="C22" s="165">
        <f>COUNTIF(IPPODROM!E:E,'Meslek Sayi'!B:B)</f>
        <v>0</v>
      </c>
    </row>
    <row r="23" spans="1:3">
      <c r="A23" s="165">
        <v>22</v>
      </c>
      <c r="B23" s="166" t="s">
        <v>58</v>
      </c>
      <c r="C23" s="165">
        <f>COUNTIF(IPPODROM!E:E,'Meslek Sayi'!B:B)</f>
        <v>2</v>
      </c>
    </row>
    <row r="24" spans="1:3">
      <c r="A24" s="165">
        <v>23</v>
      </c>
      <c r="B24" s="166" t="s">
        <v>104</v>
      </c>
      <c r="C24" s="165">
        <f>COUNTIF(IPPODROM!E:E,'Meslek Sayi'!B:B)</f>
        <v>0</v>
      </c>
    </row>
    <row r="25" spans="1:3">
      <c r="A25" s="165">
        <v>24</v>
      </c>
      <c r="B25" s="166" t="s">
        <v>328</v>
      </c>
      <c r="C25" s="165">
        <f>COUNTIF(IPPODROM!E:E,'Meslek Sayi'!B:B)</f>
        <v>0</v>
      </c>
    </row>
    <row r="26" spans="1:3">
      <c r="A26" s="165">
        <v>25</v>
      </c>
      <c r="B26" s="166" t="s">
        <v>54</v>
      </c>
      <c r="C26" s="165">
        <f>COUNTIF(IPPODROM!E:E,'Meslek Sayi'!B:B)</f>
        <v>0</v>
      </c>
    </row>
    <row r="27" spans="1:3">
      <c r="A27" s="165">
        <v>26</v>
      </c>
      <c r="B27" s="166" t="s">
        <v>55</v>
      </c>
      <c r="C27" s="165">
        <f>COUNTIF(IPPODROM!E:E,'Meslek Sayi'!B:B)</f>
        <v>0</v>
      </c>
    </row>
    <row r="28" spans="1:3">
      <c r="A28" s="165">
        <v>27</v>
      </c>
      <c r="B28" s="166" t="s">
        <v>105</v>
      </c>
      <c r="C28" s="165">
        <f>COUNTIF(IPPODROM!E:E,'Meslek Sayi'!B:B)</f>
        <v>0</v>
      </c>
    </row>
    <row r="29" spans="1:3">
      <c r="A29" s="165">
        <v>28</v>
      </c>
      <c r="B29" s="166" t="s">
        <v>15</v>
      </c>
      <c r="C29" s="165">
        <f>COUNTIF(IPPODROM!E:E,'Meslek Sayi'!B:B)</f>
        <v>0</v>
      </c>
    </row>
    <row r="30" spans="1:3">
      <c r="A30" s="165">
        <v>29</v>
      </c>
      <c r="B30" s="166" t="s">
        <v>236</v>
      </c>
      <c r="C30" s="165">
        <f>COUNTIF(IPPODROM!E:E,'Meslek Sayi'!B:B)</f>
        <v>0</v>
      </c>
    </row>
    <row r="31" spans="1:3">
      <c r="A31" s="165">
        <v>30</v>
      </c>
      <c r="B31" s="166" t="s">
        <v>235</v>
      </c>
      <c r="C31" s="165">
        <f>COUNTIF(IPPODROM!E:E,'Meslek Sayi'!B:B)</f>
        <v>0</v>
      </c>
    </row>
    <row r="32" spans="1:3">
      <c r="A32" s="165">
        <v>31</v>
      </c>
      <c r="B32" s="166" t="s">
        <v>109</v>
      </c>
      <c r="C32" s="165">
        <f>COUNTIF(IPPODROM!E:E,'Meslek Sayi'!B:B)</f>
        <v>0</v>
      </c>
    </row>
    <row r="33" spans="1:3">
      <c r="A33" s="165">
        <v>32</v>
      </c>
      <c r="B33" s="166" t="s">
        <v>86</v>
      </c>
      <c r="C33" s="165">
        <f>COUNTIF(IPPODROM!E:E,'Meslek Sayi'!B:B)</f>
        <v>0</v>
      </c>
    </row>
    <row r="34" spans="1:3">
      <c r="A34" s="165">
        <v>33</v>
      </c>
      <c r="B34" s="166" t="s">
        <v>79</v>
      </c>
      <c r="C34" s="165">
        <f>COUNTIF(IPPODROM!E:E,'Meslek Sayi'!B:B)</f>
        <v>0</v>
      </c>
    </row>
    <row r="35" spans="1:3">
      <c r="A35" s="165">
        <v>34</v>
      </c>
      <c r="B35" s="166" t="s">
        <v>112</v>
      </c>
      <c r="C35" s="165">
        <f>COUNTIF(IPPODROM!E:E,'Meslek Sayi'!B:B)</f>
        <v>0</v>
      </c>
    </row>
    <row r="36" spans="1:3">
      <c r="A36" s="165">
        <v>35</v>
      </c>
      <c r="B36" s="166" t="s">
        <v>110</v>
      </c>
      <c r="C36" s="165">
        <f>COUNTIF(IPPODROM!E:E,'Meslek Sayi'!B:B)</f>
        <v>1</v>
      </c>
    </row>
    <row r="37" spans="1:3">
      <c r="A37" s="165">
        <v>36</v>
      </c>
      <c r="B37" s="166" t="s">
        <v>43</v>
      </c>
      <c r="C37" s="165">
        <f>COUNTIF(IPPODROM!E:E,'Meslek Sayi'!B:B)</f>
        <v>4</v>
      </c>
    </row>
    <row r="38" spans="1:3">
      <c r="A38" s="165">
        <v>37</v>
      </c>
      <c r="B38" s="166" t="s">
        <v>32</v>
      </c>
      <c r="C38" s="165">
        <f>COUNTIF(IPPODROM!E:E,'Meslek Sayi'!B:B)</f>
        <v>0</v>
      </c>
    </row>
    <row r="39" spans="1:3">
      <c r="A39" s="165">
        <v>38</v>
      </c>
      <c r="B39" s="166" t="s">
        <v>100</v>
      </c>
      <c r="C39" s="165">
        <f>COUNTIF(IPPODROM!E:E,'Meslek Sayi'!B:B)</f>
        <v>1</v>
      </c>
    </row>
    <row r="40" spans="1:3">
      <c r="A40" s="165">
        <v>39</v>
      </c>
      <c r="B40" s="166" t="s">
        <v>101</v>
      </c>
      <c r="C40" s="165">
        <f>COUNTIF(IPPODROM!E:E,'Meslek Sayi'!B:B)</f>
        <v>0</v>
      </c>
    </row>
    <row r="41" spans="1:3">
      <c r="A41" s="165">
        <v>40</v>
      </c>
      <c r="B41" s="166" t="s">
        <v>98</v>
      </c>
      <c r="C41" s="165">
        <f>COUNTIF(IPPODROM!E:E,'Meslek Sayi'!B:B)</f>
        <v>0</v>
      </c>
    </row>
    <row r="42" spans="1:3">
      <c r="A42" s="165">
        <v>41</v>
      </c>
      <c r="B42" s="166" t="s">
        <v>99</v>
      </c>
      <c r="C42" s="165">
        <f>COUNTIF(IPPODROM!E:E,'Meslek Sayi'!B:B)</f>
        <v>1</v>
      </c>
    </row>
    <row r="43" spans="1:3">
      <c r="A43" s="165">
        <v>42</v>
      </c>
      <c r="B43" s="166" t="s">
        <v>116</v>
      </c>
      <c r="C43" s="165">
        <f>COUNTIF(IPPODROM!E:E,'Meslek Sayi'!B:B)</f>
        <v>0</v>
      </c>
    </row>
    <row r="44" spans="1:3">
      <c r="A44" s="165">
        <v>43</v>
      </c>
      <c r="B44" s="166" t="s">
        <v>240</v>
      </c>
      <c r="C44" s="165">
        <f>COUNTIF(IPPODROM!E:E,'Meslek Sayi'!B:B)</f>
        <v>0</v>
      </c>
    </row>
    <row r="45" spans="1:3">
      <c r="A45" s="165">
        <v>44</v>
      </c>
      <c r="B45" s="166" t="s">
        <v>243</v>
      </c>
      <c r="C45" s="165">
        <f>COUNTIF(IPPODROM!E:E,'Meslek Sayi'!B:B)</f>
        <v>0</v>
      </c>
    </row>
    <row r="46" spans="1:3">
      <c r="A46" s="165">
        <v>45</v>
      </c>
      <c r="B46" s="166" t="s">
        <v>237</v>
      </c>
      <c r="C46" s="165">
        <f>COUNTIF(IPPODROM!E:E,'Meslek Sayi'!B:B)</f>
        <v>0</v>
      </c>
    </row>
    <row r="47" spans="1:3">
      <c r="A47" s="165">
        <v>46</v>
      </c>
      <c r="B47" s="166" t="s">
        <v>102</v>
      </c>
      <c r="C47" s="165">
        <f>COUNTIF(IPPODROM!E:E,'Meslek Sayi'!B:B)</f>
        <v>0</v>
      </c>
    </row>
    <row r="48" spans="1:3">
      <c r="A48" s="165">
        <v>47</v>
      </c>
      <c r="B48" s="166" t="s">
        <v>59</v>
      </c>
      <c r="C48" s="165">
        <f>COUNTIF(IPPODROM!E:E,'Meslek Sayi'!B:B)</f>
        <v>0</v>
      </c>
    </row>
    <row r="49" spans="1:3">
      <c r="A49" s="165">
        <v>48</v>
      </c>
      <c r="B49" s="166" t="s">
        <v>78</v>
      </c>
      <c r="C49" s="165">
        <f>COUNTIF(IPPODROM!E:E,'Meslek Sayi'!B:B)</f>
        <v>1</v>
      </c>
    </row>
    <row r="50" spans="1:3">
      <c r="A50" s="165">
        <v>49</v>
      </c>
      <c r="B50" s="166" t="s">
        <v>95</v>
      </c>
      <c r="C50" s="165">
        <f>COUNTIF(IPPODROM!E:E,'Meslek Sayi'!B:B)</f>
        <v>0</v>
      </c>
    </row>
    <row r="51" spans="1:3">
      <c r="A51" s="165">
        <v>50</v>
      </c>
      <c r="B51" s="166" t="s">
        <v>85</v>
      </c>
      <c r="C51" s="165">
        <f>COUNTIF(IPPODROM!E:E,'Meslek Sayi'!B:B)</f>
        <v>0</v>
      </c>
    </row>
    <row r="52" spans="1:3">
      <c r="A52" s="165">
        <v>51</v>
      </c>
      <c r="B52" s="166" t="s">
        <v>239</v>
      </c>
      <c r="C52" s="165">
        <f>COUNTIF(IPPODROM!E:E,'Meslek Sayi'!B:B)</f>
        <v>0</v>
      </c>
    </row>
    <row r="53" spans="1:3">
      <c r="A53" s="165">
        <v>52</v>
      </c>
      <c r="B53" s="166" t="s">
        <v>67</v>
      </c>
      <c r="C53" s="165">
        <f>COUNTIF(IPPODROM!E:E,'Meslek Sayi'!B:B)</f>
        <v>1</v>
      </c>
    </row>
    <row r="54" spans="1:3">
      <c r="A54" s="165">
        <v>53</v>
      </c>
      <c r="B54" s="166" t="s">
        <v>68</v>
      </c>
      <c r="C54" s="165">
        <f>COUNTIF(IPPODROM!E:E,'Meslek Sayi'!B:B)</f>
        <v>3</v>
      </c>
    </row>
    <row r="55" spans="1:3">
      <c r="A55" s="165">
        <v>54</v>
      </c>
      <c r="B55" s="166" t="s">
        <v>70</v>
      </c>
      <c r="C55" s="165">
        <f>COUNTIF(IPPODROM!E:E,'Meslek Sayi'!B:B)</f>
        <v>0</v>
      </c>
    </row>
    <row r="56" spans="1:3">
      <c r="A56" s="165">
        <v>55</v>
      </c>
      <c r="B56" s="166" t="s">
        <v>71</v>
      </c>
      <c r="C56" s="165">
        <f>COUNTIF(IPPODROM!E:E,'Meslek Sayi'!B:B)</f>
        <v>0</v>
      </c>
    </row>
    <row r="57" spans="1:3">
      <c r="A57" s="165">
        <v>56</v>
      </c>
      <c r="B57" s="166" t="s">
        <v>69</v>
      </c>
      <c r="C57" s="165">
        <f>COUNTIF(IPPODROM!E:E,'Meslek Sayi'!B:B)</f>
        <v>0</v>
      </c>
    </row>
    <row r="58" spans="1:3">
      <c r="A58" s="165">
        <v>57</v>
      </c>
      <c r="B58" s="166" t="s">
        <v>14</v>
      </c>
      <c r="C58" s="165">
        <f>COUNTIF(IPPODROM!E:E,'Meslek Sayi'!B:B)</f>
        <v>0</v>
      </c>
    </row>
    <row r="59" spans="1:3">
      <c r="A59" s="165">
        <v>58</v>
      </c>
      <c r="B59" s="166" t="s">
        <v>18</v>
      </c>
      <c r="C59" s="165">
        <f>COUNTIF(IPPODROM!E:E,'Meslek Sayi'!B:B)</f>
        <v>2</v>
      </c>
    </row>
    <row r="60" spans="1:3">
      <c r="A60" s="165">
        <v>59</v>
      </c>
      <c r="B60" s="166" t="s">
        <v>63</v>
      </c>
      <c r="C60" s="165">
        <f>COUNTIF(IPPODROM!E:E,'Meslek Sayi'!B:B)</f>
        <v>1</v>
      </c>
    </row>
    <row r="61" spans="1:3">
      <c r="A61" s="165">
        <v>60</v>
      </c>
      <c r="B61" s="166" t="s">
        <v>65</v>
      </c>
      <c r="C61" s="165">
        <f>COUNTIF(IPPODROM!E:E,'Meslek Sayi'!B:B)</f>
        <v>0</v>
      </c>
    </row>
    <row r="62" spans="1:3">
      <c r="A62" s="165">
        <v>61</v>
      </c>
      <c r="B62" s="166" t="s">
        <v>72</v>
      </c>
      <c r="C62" s="165">
        <f>COUNTIF(IPPODROM!E:E,'Meslek Sayi'!B:B)</f>
        <v>0</v>
      </c>
    </row>
    <row r="63" spans="1:3">
      <c r="A63" s="165">
        <v>62</v>
      </c>
      <c r="B63" s="166" t="s">
        <v>238</v>
      </c>
      <c r="C63" s="165">
        <f>COUNTIF(IPPODROM!E:E,'Meslek Sayi'!B:B)</f>
        <v>0</v>
      </c>
    </row>
    <row r="64" spans="1:3">
      <c r="A64" s="165">
        <v>63</v>
      </c>
      <c r="B64" s="166" t="s">
        <v>39</v>
      </c>
      <c r="C64" s="165">
        <f>COUNTIF(IPPODROM!E:E,'Meslek Sayi'!B:B)</f>
        <v>1</v>
      </c>
    </row>
    <row r="65" spans="1:3">
      <c r="A65" s="165">
        <v>64</v>
      </c>
      <c r="B65" s="166" t="s">
        <v>27</v>
      </c>
      <c r="C65" s="165">
        <f>COUNTIF(IPPODROM!E:E,'Meslek Sayi'!B:B)</f>
        <v>2</v>
      </c>
    </row>
    <row r="66" spans="1:3">
      <c r="A66" s="165">
        <v>65</v>
      </c>
      <c r="B66" s="166" t="s">
        <v>74</v>
      </c>
      <c r="C66" s="165">
        <f>COUNTIF(IPPODROM!E:E,'Meslek Sayi'!B:B)</f>
        <v>0</v>
      </c>
    </row>
    <row r="67" spans="1:3">
      <c r="A67" s="165">
        <v>66</v>
      </c>
      <c r="B67" s="166" t="s">
        <v>96</v>
      </c>
      <c r="C67" s="165">
        <f>COUNTIF(IPPODROM!E:E,'Meslek Sayi'!B:B)</f>
        <v>0</v>
      </c>
    </row>
    <row r="68" spans="1:3">
      <c r="A68" s="165">
        <v>67</v>
      </c>
      <c r="B68" s="166" t="s">
        <v>117</v>
      </c>
      <c r="C68" s="165">
        <f>COUNTIF(IPPODROM!E:E,'Meslek Sayi'!B:B)</f>
        <v>0</v>
      </c>
    </row>
    <row r="69" spans="1:3">
      <c r="A69" s="165">
        <v>68</v>
      </c>
      <c r="B69" s="166" t="s">
        <v>119</v>
      </c>
      <c r="C69" s="165">
        <f>COUNTIF(IPPODROM!E:E,'Meslek Sayi'!B:B)</f>
        <v>0</v>
      </c>
    </row>
    <row r="70" spans="1:3">
      <c r="A70" s="165">
        <v>69</v>
      </c>
      <c r="B70" s="166" t="s">
        <v>31</v>
      </c>
      <c r="C70" s="165">
        <f>COUNTIF(IPPODROM!E:E,'Meslek Sayi'!B:B)</f>
        <v>1</v>
      </c>
    </row>
    <row r="71" spans="1:3">
      <c r="A71" s="165">
        <v>70</v>
      </c>
      <c r="B71" s="166" t="s">
        <v>80</v>
      </c>
      <c r="C71" s="165">
        <f>COUNTIF(IPPODROM!E:E,'Meslek Sayi'!B:B)</f>
        <v>0</v>
      </c>
    </row>
    <row r="72" spans="1:3">
      <c r="A72" s="165">
        <v>71</v>
      </c>
      <c r="B72" s="166" t="s">
        <v>242</v>
      </c>
      <c r="C72" s="165">
        <f>COUNTIF(IPPODROM!E:E,'Meslek Sayi'!B:B)</f>
        <v>0</v>
      </c>
    </row>
    <row r="73" spans="1:3">
      <c r="A73" s="165">
        <v>72</v>
      </c>
      <c r="B73" s="166" t="s">
        <v>21</v>
      </c>
      <c r="C73" s="165">
        <f>COUNTIF(IPPODROM!E:E,'Meslek Sayi'!B:B)</f>
        <v>0</v>
      </c>
    </row>
    <row r="74" spans="1:3">
      <c r="A74" s="165">
        <v>73</v>
      </c>
      <c r="B74" s="166" t="s">
        <v>20</v>
      </c>
      <c r="C74" s="165">
        <f>COUNTIF(IPPODROM!E:E,'Meslek Sayi'!B:B)</f>
        <v>0</v>
      </c>
    </row>
    <row r="75" spans="1:3">
      <c r="A75" s="165">
        <v>74</v>
      </c>
      <c r="B75" s="166" t="s">
        <v>108</v>
      </c>
      <c r="C75" s="165">
        <f>COUNTIF(IPPODROM!E:E,'Meslek Sayi'!B:B)</f>
        <v>0</v>
      </c>
    </row>
    <row r="76" spans="1:3">
      <c r="A76" s="165">
        <v>75</v>
      </c>
      <c r="B76" s="166" t="s">
        <v>107</v>
      </c>
      <c r="C76" s="165">
        <f>COUNTIF(IPPODROM!E:E,'Meslek Sayi'!B:B)</f>
        <v>0</v>
      </c>
    </row>
    <row r="77" spans="1:3">
      <c r="A77" s="165">
        <v>76</v>
      </c>
      <c r="B77" s="166" t="s">
        <v>106</v>
      </c>
      <c r="C77" s="165">
        <f>COUNTIF(IPPODROM!E:E,'Meslek Sayi'!B:B)</f>
        <v>0</v>
      </c>
    </row>
    <row r="78" spans="1:3">
      <c r="A78" s="165">
        <v>77</v>
      </c>
      <c r="B78" s="166" t="s">
        <v>92</v>
      </c>
      <c r="C78" s="165">
        <f>COUNTIF(IPPODROM!E:E,'Meslek Sayi'!B:B)</f>
        <v>1</v>
      </c>
    </row>
    <row r="79" spans="1:3">
      <c r="A79" s="165">
        <v>78</v>
      </c>
      <c r="B79" s="166" t="s">
        <v>168</v>
      </c>
      <c r="C79" s="165">
        <f>COUNTIF(IPPODROM!E:E,'Meslek Sayi'!B:B)</f>
        <v>0</v>
      </c>
    </row>
    <row r="80" spans="1:3">
      <c r="A80" s="198" t="s">
        <v>329</v>
      </c>
      <c r="B80" s="198"/>
      <c r="C80" s="167">
        <f>SUM(C2:C79)</f>
        <v>25</v>
      </c>
    </row>
  </sheetData>
  <mergeCells count="1">
    <mergeCell ref="A80:B80"/>
  </mergeCells>
  <conditionalFormatting sqref="B81:B1048576 B2:B53 B55:B77 B79">
    <cfRule type="duplicateValues" dxfId="300" priority="13"/>
    <cfRule type="duplicateValues" dxfId="299" priority="14"/>
  </conditionalFormatting>
  <conditionalFormatting sqref="B54">
    <cfRule type="duplicateValues" dxfId="298" priority="11"/>
    <cfRule type="duplicateValues" dxfId="297" priority="12"/>
  </conditionalFormatting>
  <conditionalFormatting sqref="B81:B1048576 B2:B77 B79">
    <cfRule type="duplicateValues" dxfId="296" priority="10"/>
  </conditionalFormatting>
  <conditionalFormatting sqref="A1">
    <cfRule type="duplicateValues" dxfId="295" priority="6"/>
    <cfRule type="duplicateValues" dxfId="294" priority="7"/>
  </conditionalFormatting>
  <conditionalFormatting sqref="B1">
    <cfRule type="duplicateValues" dxfId="293" priority="8"/>
    <cfRule type="duplicateValues" dxfId="292" priority="9"/>
  </conditionalFormatting>
  <conditionalFormatting sqref="C1:D1">
    <cfRule type="duplicateValues" dxfId="291" priority="4"/>
    <cfRule type="duplicateValues" dxfId="290" priority="5"/>
  </conditionalFormatting>
  <conditionalFormatting sqref="B78">
    <cfRule type="duplicateValues" dxfId="289" priority="2"/>
    <cfRule type="duplicateValues" dxfId="288" priority="3"/>
  </conditionalFormatting>
  <conditionalFormatting sqref="B78">
    <cfRule type="duplicateValues" dxfId="28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N52"/>
  <sheetViews>
    <sheetView view="pageBreakPreview" topLeftCell="A16" zoomScale="55" zoomScaleNormal="55" zoomScaleSheetLayoutView="55" workbookViewId="0">
      <selection activeCell="E11" sqref="E11"/>
    </sheetView>
  </sheetViews>
  <sheetFormatPr defaultColWidth="9.140625" defaultRowHeight="33"/>
  <cols>
    <col min="1" max="1" width="2.85546875" style="103" customWidth="1"/>
    <col min="2" max="2" width="8.42578125" style="103" customWidth="1"/>
    <col min="3" max="3" width="91.28515625" style="103" bestFit="1" customWidth="1"/>
    <col min="4" max="4" width="24.140625" style="103" customWidth="1"/>
    <col min="5" max="5" width="19.140625" style="103" customWidth="1"/>
    <col min="6" max="6" width="19.85546875" style="103" customWidth="1"/>
    <col min="7" max="7" width="26.140625" style="103" customWidth="1"/>
    <col min="8" max="8" width="57" style="103" customWidth="1"/>
    <col min="9" max="9" width="8" style="103" customWidth="1"/>
    <col min="10" max="10" width="9.140625" style="103" customWidth="1"/>
    <col min="11" max="11" width="12.7109375" style="149" customWidth="1"/>
    <col min="12" max="14" width="12.7109375" style="150" customWidth="1"/>
    <col min="15" max="20" width="9.140625" style="103" customWidth="1"/>
    <col min="21" max="21" width="10.7109375" style="103" bestFit="1" customWidth="1"/>
    <col min="22" max="16384" width="9.140625" style="103"/>
  </cols>
  <sheetData>
    <row r="1" spans="2:14" ht="30" customHeight="1" thickBot="1">
      <c r="K1" s="104"/>
      <c r="L1" s="105"/>
      <c r="M1" s="105"/>
      <c r="N1" s="105"/>
    </row>
    <row r="2" spans="2:14" ht="30" customHeight="1" thickBot="1">
      <c r="B2" s="202" t="s">
        <v>283</v>
      </c>
      <c r="C2" s="203"/>
      <c r="D2" s="204"/>
      <c r="E2" s="205"/>
      <c r="F2" s="205"/>
      <c r="G2" s="206"/>
      <c r="H2" s="106" t="str">
        <f>+IPPODROM!I1</f>
        <v>Суббота</v>
      </c>
      <c r="K2" s="104"/>
      <c r="L2" s="105"/>
      <c r="M2" s="105"/>
      <c r="N2" s="105"/>
    </row>
    <row r="3" spans="2:14" ht="30" customHeight="1" thickBot="1">
      <c r="B3" s="107"/>
      <c r="C3" s="207"/>
      <c r="D3" s="208"/>
      <c r="E3" s="208"/>
      <c r="F3" s="208"/>
      <c r="G3" s="209"/>
      <c r="H3" s="108">
        <f>+IPPODROM!I2</f>
        <v>46123</v>
      </c>
      <c r="K3" s="104"/>
      <c r="L3" s="105"/>
      <c r="M3" s="105"/>
      <c r="N3" s="105"/>
    </row>
    <row r="4" spans="2:14" ht="47.25" customHeight="1" thickBot="1">
      <c r="B4" s="109" t="s">
        <v>284</v>
      </c>
      <c r="C4" s="110" t="s">
        <v>285</v>
      </c>
      <c r="D4" s="111" t="s">
        <v>286</v>
      </c>
      <c r="E4" s="112" t="s">
        <v>287</v>
      </c>
      <c r="F4" s="112" t="s">
        <v>288</v>
      </c>
      <c r="G4" s="113" t="s">
        <v>289</v>
      </c>
      <c r="H4" s="114"/>
      <c r="K4" s="104"/>
      <c r="L4" s="105"/>
      <c r="M4" s="105"/>
      <c r="N4" s="105"/>
    </row>
    <row r="5" spans="2:14" ht="43.5" customHeight="1" thickBot="1">
      <c r="B5" s="109" t="s">
        <v>290</v>
      </c>
      <c r="C5" s="115" t="s">
        <v>291</v>
      </c>
      <c r="D5" s="116" t="s">
        <v>292</v>
      </c>
      <c r="E5" s="117" t="s">
        <v>293</v>
      </c>
      <c r="F5" s="117" t="s">
        <v>294</v>
      </c>
      <c r="G5" s="118" t="s">
        <v>295</v>
      </c>
      <c r="H5" s="119"/>
      <c r="K5" s="104"/>
      <c r="L5" s="105"/>
      <c r="M5" s="105"/>
      <c r="N5" s="105"/>
    </row>
    <row r="6" spans="2:14" ht="30" customHeight="1">
      <c r="B6" s="120">
        <v>1</v>
      </c>
      <c r="C6" s="121" t="s">
        <v>296</v>
      </c>
      <c r="D6" s="122">
        <f>'GUNLUK RAPOR'!D3</f>
        <v>2</v>
      </c>
      <c r="E6" s="123">
        <f>'GUNLUK RAPOR'!I3</f>
        <v>1</v>
      </c>
      <c r="F6" s="124">
        <f>'GUNLUK RAPOR'!J3</f>
        <v>0</v>
      </c>
      <c r="G6" s="124">
        <f t="shared" ref="G6" si="0">D6-E6-F6</f>
        <v>1</v>
      </c>
      <c r="H6" s="125"/>
      <c r="K6" s="104"/>
      <c r="L6" s="105"/>
      <c r="M6" s="105"/>
      <c r="N6" s="105"/>
    </row>
    <row r="7" spans="2:14" ht="30" customHeight="1" thickBot="1">
      <c r="B7" s="120">
        <v>1</v>
      </c>
      <c r="C7" s="121" t="s">
        <v>422</v>
      </c>
      <c r="D7" s="122">
        <f>'GUNLUK RAPOR'!D4</f>
        <v>1</v>
      </c>
      <c r="E7" s="123">
        <f>'GUNLUK RAPOR'!I4</f>
        <v>0</v>
      </c>
      <c r="F7" s="124">
        <f>'GUNLUK RAPOR'!J4</f>
        <v>1</v>
      </c>
      <c r="G7" s="124">
        <f t="shared" ref="G7" si="1">D7-E7-F7</f>
        <v>0</v>
      </c>
      <c r="H7" s="125"/>
      <c r="K7" s="104"/>
      <c r="L7" s="105"/>
      <c r="M7" s="105"/>
      <c r="N7" s="105"/>
    </row>
    <row r="8" spans="2:14" ht="30" customHeight="1" thickBot="1">
      <c r="B8" s="127"/>
      <c r="C8" s="128" t="s">
        <v>297</v>
      </c>
      <c r="D8" s="129">
        <f>SUM(D6:D7)</f>
        <v>3</v>
      </c>
      <c r="E8" s="129">
        <f t="shared" ref="E8:G8" si="2">SUM(E6:E7)</f>
        <v>1</v>
      </c>
      <c r="F8" s="129">
        <f t="shared" si="2"/>
        <v>1</v>
      </c>
      <c r="G8" s="129">
        <f t="shared" si="2"/>
        <v>1</v>
      </c>
      <c r="H8" s="130"/>
      <c r="K8" s="199" t="s">
        <v>298</v>
      </c>
      <c r="L8" s="199" t="s">
        <v>299</v>
      </c>
      <c r="M8" s="199" t="s">
        <v>300</v>
      </c>
      <c r="N8" s="199" t="s">
        <v>301</v>
      </c>
    </row>
    <row r="9" spans="2:14" ht="30" customHeight="1" thickBot="1">
      <c r="B9" s="109" t="s">
        <v>302</v>
      </c>
      <c r="C9" s="115" t="s">
        <v>303</v>
      </c>
      <c r="D9" s="131" t="s">
        <v>292</v>
      </c>
      <c r="E9" s="132" t="s">
        <v>293</v>
      </c>
      <c r="F9" s="132" t="s">
        <v>294</v>
      </c>
      <c r="G9" s="133" t="s">
        <v>295</v>
      </c>
      <c r="H9" s="119"/>
      <c r="K9" s="199"/>
      <c r="L9" s="199"/>
      <c r="M9" s="199"/>
      <c r="N9" s="199"/>
    </row>
    <row r="10" spans="2:14" ht="30" customHeight="1">
      <c r="B10" s="120">
        <v>1</v>
      </c>
      <c r="C10" s="134" t="s">
        <v>304</v>
      </c>
      <c r="D10" s="135">
        <f t="shared" ref="D10:D23" si="3">+N10</f>
        <v>0</v>
      </c>
      <c r="E10" s="122">
        <f>L10</f>
        <v>0</v>
      </c>
      <c r="F10" s="122">
        <f>M10</f>
        <v>0</v>
      </c>
      <c r="G10" s="136">
        <f t="shared" ref="G10:G18" si="4">D10-E10-F10</f>
        <v>0</v>
      </c>
      <c r="H10" s="137"/>
      <c r="K10" s="138">
        <f>+G10</f>
        <v>0</v>
      </c>
      <c r="L10" s="139"/>
      <c r="M10" s="139"/>
      <c r="N10" s="139"/>
    </row>
    <row r="11" spans="2:14" ht="30" customHeight="1">
      <c r="B11" s="120">
        <v>2</v>
      </c>
      <c r="C11" s="140" t="s">
        <v>305</v>
      </c>
      <c r="D11" s="191">
        <f t="shared" si="3"/>
        <v>2</v>
      </c>
      <c r="E11" s="122">
        <f t="shared" ref="E11:F23" si="5">L11</f>
        <v>0</v>
      </c>
      <c r="F11" s="122">
        <f t="shared" si="5"/>
        <v>0</v>
      </c>
      <c r="G11" s="136">
        <f t="shared" si="4"/>
        <v>2</v>
      </c>
      <c r="H11" s="141"/>
      <c r="K11" s="138">
        <f t="shared" ref="K11:K23" si="6">+G11</f>
        <v>2</v>
      </c>
      <c r="L11" s="139">
        <f>+IPPODROM!J3+IPPODROM!J4</f>
        <v>0</v>
      </c>
      <c r="M11" s="139">
        <f>+IPPODROM!M3+IPPODROM!M4</f>
        <v>0</v>
      </c>
      <c r="N11" s="139">
        <f>+IPPODROM!N3+IPPODROM!N4</f>
        <v>2</v>
      </c>
    </row>
    <row r="12" spans="2:14" ht="30" customHeight="1">
      <c r="B12" s="120">
        <v>3</v>
      </c>
      <c r="C12" s="142" t="s">
        <v>306</v>
      </c>
      <c r="D12" s="191">
        <f t="shared" si="3"/>
        <v>2</v>
      </c>
      <c r="E12" s="122">
        <f t="shared" si="5"/>
        <v>0</v>
      </c>
      <c r="F12" s="122">
        <f t="shared" si="5"/>
        <v>1</v>
      </c>
      <c r="G12" s="136">
        <f>D12-E12-F12</f>
        <v>1</v>
      </c>
      <c r="H12" s="143"/>
      <c r="K12" s="138">
        <f t="shared" si="6"/>
        <v>1</v>
      </c>
      <c r="L12" s="139">
        <f>IPPODROM!J8+IPPODROM!J9</f>
        <v>0</v>
      </c>
      <c r="M12" s="139">
        <f>IPPODROM!M8+IPPODROM!M9</f>
        <v>1</v>
      </c>
      <c r="N12" s="139">
        <f>IPPODROM!N8+IPPODROM!N9</f>
        <v>2</v>
      </c>
    </row>
    <row r="13" spans="2:14" ht="30" customHeight="1">
      <c r="B13" s="120">
        <v>4</v>
      </c>
      <c r="C13" s="144" t="s">
        <v>307</v>
      </c>
      <c r="D13" s="191">
        <f t="shared" si="3"/>
        <v>0</v>
      </c>
      <c r="E13" s="122">
        <f t="shared" si="5"/>
        <v>0</v>
      </c>
      <c r="F13" s="122">
        <f t="shared" si="5"/>
        <v>0</v>
      </c>
      <c r="G13" s="136">
        <f>D13-E13-F13</f>
        <v>0</v>
      </c>
      <c r="H13" s="143"/>
      <c r="K13" s="138">
        <f>+G13</f>
        <v>0</v>
      </c>
      <c r="L13" s="139"/>
      <c r="M13" s="139"/>
      <c r="N13" s="139"/>
    </row>
    <row r="14" spans="2:14" ht="30" customHeight="1">
      <c r="B14" s="120">
        <v>5</v>
      </c>
      <c r="C14" s="142" t="s">
        <v>308</v>
      </c>
      <c r="D14" s="191">
        <f t="shared" si="3"/>
        <v>3</v>
      </c>
      <c r="E14" s="122">
        <f t="shared" si="5"/>
        <v>0</v>
      </c>
      <c r="F14" s="122">
        <f t="shared" si="5"/>
        <v>0</v>
      </c>
      <c r="G14" s="136">
        <f t="shared" si="4"/>
        <v>3</v>
      </c>
      <c r="H14" s="145"/>
      <c r="K14" s="138">
        <f t="shared" si="6"/>
        <v>3</v>
      </c>
      <c r="L14" s="139">
        <f>+IPPODROM!J5+IPPODROM!J6+IPPODROM!J7</f>
        <v>0</v>
      </c>
      <c r="M14" s="139">
        <f>+IPPODROM!M5+IPPODROM!M6+IPPODROM!M7</f>
        <v>0</v>
      </c>
      <c r="N14" s="139">
        <f>+IPPODROM!N5+IPPODROM!N6+IPPODROM!N7</f>
        <v>3</v>
      </c>
    </row>
    <row r="15" spans="2:14" ht="30" customHeight="1">
      <c r="B15" s="120">
        <v>6</v>
      </c>
      <c r="C15" s="142" t="s">
        <v>309</v>
      </c>
      <c r="D15" s="135">
        <f>+N15</f>
        <v>13</v>
      </c>
      <c r="E15" s="122">
        <f>L15</f>
        <v>0</v>
      </c>
      <c r="F15" s="122">
        <f>M15</f>
        <v>10</v>
      </c>
      <c r="G15" s="136">
        <f>D15-E15-F15</f>
        <v>3</v>
      </c>
      <c r="H15" s="143"/>
      <c r="K15" s="138">
        <f>+G15</f>
        <v>3</v>
      </c>
      <c r="L15" s="160">
        <f>+IPPODROM!J11+IPPODROM!J12+IPPODROM!J13+IPPODROM!J14+IPPODROM!J15+IPPODROM!J16+IPPODROM!J17+IPPODROM!J18+IPPODROM!J19+IPPODROM!J22+IPPODROM!J23+IPPODROM!J20+IPPODROM!J21</f>
        <v>0</v>
      </c>
      <c r="M15" s="139">
        <f>+IPPODROM!M11+IPPODROM!M12+IPPODROM!M13+IPPODROM!M14+IPPODROM!M15+IPPODROM!M16+IPPODROM!M17+IPPODROM!M18+IPPODROM!M19+IPPODROM!M22+IPPODROM!M23+IPPODROM!M20+IPPODROM!M21</f>
        <v>10</v>
      </c>
      <c r="N15" s="139">
        <f>+IPPODROM!N11+IPPODROM!N12+IPPODROM!N13+IPPODROM!N14+IPPODROM!N15+IPPODROM!N16+IPPODROM!N17+IPPODROM!N18+IPPODROM!N19+IPPODROM!N22+IPPODROM!N23+IPPODROM!N20+IPPODROM!N21</f>
        <v>13</v>
      </c>
    </row>
    <row r="16" spans="2:14" ht="30" customHeight="1">
      <c r="B16" s="120">
        <v>7</v>
      </c>
      <c r="C16" s="142" t="s">
        <v>310</v>
      </c>
      <c r="D16" s="135">
        <f t="shared" si="3"/>
        <v>1</v>
      </c>
      <c r="E16" s="122">
        <f t="shared" si="5"/>
        <v>0</v>
      </c>
      <c r="F16" s="122">
        <f t="shared" si="5"/>
        <v>1</v>
      </c>
      <c r="G16" s="136">
        <f t="shared" si="4"/>
        <v>0</v>
      </c>
      <c r="H16" s="143"/>
      <c r="K16" s="138">
        <f t="shared" si="6"/>
        <v>0</v>
      </c>
      <c r="L16" s="139">
        <f>IPPODROM!J10</f>
        <v>0</v>
      </c>
      <c r="M16" s="139">
        <f>IPPODROM!M10</f>
        <v>1</v>
      </c>
      <c r="N16" s="139">
        <f>IPPODROM!N10</f>
        <v>1</v>
      </c>
    </row>
    <row r="17" spans="2:14" ht="30" customHeight="1">
      <c r="B17" s="120">
        <v>8</v>
      </c>
      <c r="C17" s="142" t="s">
        <v>311</v>
      </c>
      <c r="D17" s="135">
        <f t="shared" si="3"/>
        <v>4</v>
      </c>
      <c r="E17" s="122">
        <f t="shared" si="5"/>
        <v>0</v>
      </c>
      <c r="F17" s="122">
        <f t="shared" si="5"/>
        <v>1</v>
      </c>
      <c r="G17" s="136">
        <f t="shared" si="4"/>
        <v>3</v>
      </c>
      <c r="H17" s="143"/>
      <c r="K17" s="138">
        <f>+G17</f>
        <v>3</v>
      </c>
      <c r="L17" s="139">
        <f>+IPPODROM!J24+IPPODROM!J25+IPPODROM!J26+IPPODROM!J27</f>
        <v>0</v>
      </c>
      <c r="M17" s="139">
        <f>+IPPODROM!M24+IPPODROM!M25+IPPODROM!M26+IPPODROM!M27</f>
        <v>1</v>
      </c>
      <c r="N17" s="139">
        <f>+IPPODROM!N24+IPPODROM!N25+IPPODROM!N26+IPPODROM!N27</f>
        <v>4</v>
      </c>
    </row>
    <row r="18" spans="2:14" ht="30" customHeight="1">
      <c r="B18" s="120">
        <v>9</v>
      </c>
      <c r="C18" s="142" t="s">
        <v>312</v>
      </c>
      <c r="D18" s="135">
        <f t="shared" si="3"/>
        <v>1</v>
      </c>
      <c r="E18" s="122">
        <f t="shared" si="5"/>
        <v>0</v>
      </c>
      <c r="F18" s="122">
        <f t="shared" si="5"/>
        <v>0</v>
      </c>
      <c r="G18" s="136">
        <f t="shared" si="4"/>
        <v>1</v>
      </c>
      <c r="H18" s="143"/>
      <c r="K18" s="138">
        <f t="shared" si="6"/>
        <v>1</v>
      </c>
      <c r="L18" s="139">
        <f>+IPPODROM!J28</f>
        <v>0</v>
      </c>
      <c r="M18" s="139">
        <f>+IPPODROM!M28</f>
        <v>0</v>
      </c>
      <c r="N18" s="139">
        <f>+IPPODROM!N28</f>
        <v>1</v>
      </c>
    </row>
    <row r="19" spans="2:14" ht="30" customHeight="1">
      <c r="B19" s="120">
        <v>10</v>
      </c>
      <c r="C19" s="142" t="s">
        <v>313</v>
      </c>
      <c r="D19" s="135">
        <f>+N19</f>
        <v>5</v>
      </c>
      <c r="E19" s="122">
        <f>L19</f>
        <v>1</v>
      </c>
      <c r="F19" s="122">
        <f>M19</f>
        <v>0</v>
      </c>
      <c r="G19" s="136">
        <f>D19-E19-F19</f>
        <v>4</v>
      </c>
      <c r="H19" s="143"/>
      <c r="K19" s="138">
        <f>+G19</f>
        <v>4</v>
      </c>
      <c r="L19" s="139">
        <f>IPPODROM!J29+IPPODROM!J30+IPPODROM!J31+IPPODROM!J32+IPPODROM!J33</f>
        <v>1</v>
      </c>
      <c r="M19" s="139">
        <f>IPPODROM!M29+IPPODROM!M30+IPPODROM!M31+IPPODROM!M32+IPPODROM!M33</f>
        <v>0</v>
      </c>
      <c r="N19" s="139">
        <f>IPPODROM!N29+IPPODROM!N30+IPPODROM!N31+IPPODROM!N32+IPPODROM!N33</f>
        <v>5</v>
      </c>
    </row>
    <row r="20" spans="2:14" ht="30" customHeight="1">
      <c r="B20" s="120">
        <v>11</v>
      </c>
      <c r="C20" s="144" t="s">
        <v>314</v>
      </c>
      <c r="D20" s="135">
        <f t="shared" si="3"/>
        <v>0</v>
      </c>
      <c r="E20" s="122">
        <f t="shared" si="5"/>
        <v>0</v>
      </c>
      <c r="F20" s="122">
        <f t="shared" si="5"/>
        <v>0</v>
      </c>
      <c r="G20" s="136">
        <f t="shared" ref="G20:G24" si="7">D20-E20-F20</f>
        <v>0</v>
      </c>
      <c r="H20" s="143"/>
      <c r="K20" s="138">
        <f t="shared" si="6"/>
        <v>0</v>
      </c>
      <c r="L20" s="139"/>
      <c r="M20" s="139"/>
      <c r="N20" s="139"/>
    </row>
    <row r="21" spans="2:14" ht="30" customHeight="1">
      <c r="B21" s="120">
        <v>12</v>
      </c>
      <c r="C21" s="142" t="s">
        <v>315</v>
      </c>
      <c r="D21" s="135">
        <f t="shared" si="3"/>
        <v>2</v>
      </c>
      <c r="E21" s="122">
        <f t="shared" si="5"/>
        <v>0</v>
      </c>
      <c r="F21" s="122">
        <f t="shared" si="5"/>
        <v>0</v>
      </c>
      <c r="G21" s="136">
        <f t="shared" si="7"/>
        <v>2</v>
      </c>
      <c r="H21" s="143"/>
      <c r="K21" s="138">
        <f t="shared" si="6"/>
        <v>2</v>
      </c>
      <c r="L21" s="139">
        <f>+IPPODROM!J36</f>
        <v>0</v>
      </c>
      <c r="M21" s="139">
        <f>+IPPODROM!M36+IPPODROM!M35</f>
        <v>0</v>
      </c>
      <c r="N21" s="139">
        <f>+IPPODROM!N36+IPPODROM!N35</f>
        <v>2</v>
      </c>
    </row>
    <row r="22" spans="2:14" ht="30" customHeight="1">
      <c r="B22" s="120">
        <v>13</v>
      </c>
      <c r="C22" s="144" t="s">
        <v>316</v>
      </c>
      <c r="D22" s="135">
        <f t="shared" si="3"/>
        <v>1</v>
      </c>
      <c r="E22" s="122">
        <f t="shared" si="5"/>
        <v>0</v>
      </c>
      <c r="F22" s="122">
        <f t="shared" si="5"/>
        <v>0</v>
      </c>
      <c r="G22" s="136">
        <f t="shared" si="7"/>
        <v>1</v>
      </c>
      <c r="H22" s="143"/>
      <c r="K22" s="138">
        <f t="shared" si="6"/>
        <v>1</v>
      </c>
      <c r="L22" s="139">
        <f>+IPPODROM!J34+IPPODROM!J35</f>
        <v>0</v>
      </c>
      <c r="M22" s="139">
        <f>+IPPODROM!M34</f>
        <v>0</v>
      </c>
      <c r="N22" s="139">
        <f>+IPPODROM!N34</f>
        <v>1</v>
      </c>
    </row>
    <row r="23" spans="2:14" ht="30" customHeight="1">
      <c r="B23" s="120">
        <v>14</v>
      </c>
      <c r="C23" s="146" t="s">
        <v>317</v>
      </c>
      <c r="D23" s="135">
        <f t="shared" si="3"/>
        <v>0</v>
      </c>
      <c r="E23" s="122">
        <f t="shared" si="5"/>
        <v>0</v>
      </c>
      <c r="F23" s="122">
        <f t="shared" si="5"/>
        <v>0</v>
      </c>
      <c r="G23" s="136">
        <f t="shared" si="7"/>
        <v>0</v>
      </c>
      <c r="H23" s="143"/>
      <c r="K23" s="138">
        <f t="shared" si="6"/>
        <v>0</v>
      </c>
      <c r="L23" s="139"/>
      <c r="M23" s="139"/>
      <c r="N23" s="139"/>
    </row>
    <row r="24" spans="2:14" ht="30" customHeight="1">
      <c r="B24" s="120">
        <v>15</v>
      </c>
      <c r="C24" s="144" t="s">
        <v>318</v>
      </c>
      <c r="D24" s="123">
        <f>'GUNLUK RAPOR'!D8</f>
        <v>1</v>
      </c>
      <c r="E24" s="122">
        <f>'GUNLUK RAPOR'!I8</f>
        <v>0</v>
      </c>
      <c r="F24" s="122">
        <f>'GUNLUK RAPOR'!J8</f>
        <v>0</v>
      </c>
      <c r="G24" s="136">
        <f t="shared" si="7"/>
        <v>1</v>
      </c>
      <c r="H24" s="126"/>
      <c r="K24" s="147">
        <f>SUM(K10:K23)</f>
        <v>20</v>
      </c>
      <c r="L24" s="139">
        <f>SUM(L10:L23)</f>
        <v>1</v>
      </c>
      <c r="M24" s="139">
        <f>SUM(M10:M23)</f>
        <v>13</v>
      </c>
      <c r="N24" s="139">
        <f>SUM(N10:N23)</f>
        <v>34</v>
      </c>
    </row>
    <row r="25" spans="2:14" ht="30" customHeight="1" thickBot="1">
      <c r="B25" s="120">
        <v>16</v>
      </c>
      <c r="C25" s="182" t="s">
        <v>415</v>
      </c>
      <c r="D25" s="123">
        <f>+'GUNLUK RAPOR'!D9</f>
        <v>1</v>
      </c>
      <c r="E25" s="122">
        <f>'GUNLUK RAPOR'!I9</f>
        <v>0</v>
      </c>
      <c r="F25" s="122">
        <f>'GUNLUK RAPOR'!J9</f>
        <v>0</v>
      </c>
      <c r="G25" s="136">
        <f t="shared" ref="G25" si="8">D25-E25-F25</f>
        <v>1</v>
      </c>
      <c r="H25" s="126"/>
      <c r="K25" s="104"/>
      <c r="L25" s="105"/>
      <c r="M25" s="105"/>
      <c r="N25" s="105"/>
    </row>
    <row r="26" spans="2:14" ht="30" customHeight="1" thickBot="1">
      <c r="B26" s="127"/>
      <c r="C26" s="148" t="s">
        <v>319</v>
      </c>
      <c r="D26" s="129">
        <f>SUM(D10:D25)</f>
        <v>36</v>
      </c>
      <c r="E26" s="129">
        <f>SUM(E10:E25)</f>
        <v>1</v>
      </c>
      <c r="F26" s="129">
        <f>SUM(F10:F25)</f>
        <v>13</v>
      </c>
      <c r="G26" s="129">
        <f>SUM(G10:G25)</f>
        <v>22</v>
      </c>
      <c r="H26" s="130"/>
    </row>
    <row r="27" spans="2:14" ht="30" customHeight="1" thickBot="1">
      <c r="B27" s="151"/>
      <c r="C27" s="152" t="s">
        <v>320</v>
      </c>
      <c r="D27" s="153">
        <f>+D8+D26</f>
        <v>39</v>
      </c>
      <c r="E27" s="153">
        <f>+E8+E26</f>
        <v>2</v>
      </c>
      <c r="F27" s="153">
        <f>+F8+F26</f>
        <v>14</v>
      </c>
      <c r="G27" s="153">
        <f>+G8+G26</f>
        <v>23</v>
      </c>
      <c r="H27" s="154"/>
    </row>
    <row r="28" spans="2:14" ht="30" customHeight="1" thickBot="1">
      <c r="B28" s="109"/>
      <c r="C28" s="115" t="s">
        <v>321</v>
      </c>
      <c r="D28" s="131" t="s">
        <v>292</v>
      </c>
      <c r="E28" s="132" t="s">
        <v>293</v>
      </c>
      <c r="F28" s="132" t="s">
        <v>294</v>
      </c>
      <c r="G28" s="133" t="s">
        <v>295</v>
      </c>
      <c r="H28" s="119"/>
    </row>
    <row r="29" spans="2:14" ht="30" customHeight="1">
      <c r="B29" s="155">
        <v>1</v>
      </c>
      <c r="C29" s="144" t="str">
        <f>+'GUNLUK RAPOR'!B13</f>
        <v>ИП КУЗНЕЦОВА</v>
      </c>
      <c r="D29" s="156">
        <f>'GUNLUK RAPOR'!D13</f>
        <v>9</v>
      </c>
      <c r="E29" s="156">
        <f>'GUNLUK RAPOR'!I13</f>
        <v>0</v>
      </c>
      <c r="F29" s="157">
        <f>'GUNLUK RAPOR'!J13</f>
        <v>0</v>
      </c>
      <c r="G29" s="158">
        <f t="shared" ref="G29:G37" si="9">+D29-E29</f>
        <v>9</v>
      </c>
      <c r="H29" s="143"/>
    </row>
    <row r="30" spans="2:14" ht="30" customHeight="1">
      <c r="B30" s="155">
        <v>2</v>
      </c>
      <c r="C30" s="144" t="str">
        <f>+'GUNLUK RAPOR'!B14</f>
        <v>ИП"ЖЕЛУДЫ.А.А"</v>
      </c>
      <c r="D30" s="156">
        <f>'GUNLUK RAPOR'!D14</f>
        <v>13</v>
      </c>
      <c r="E30" s="156">
        <f>'GUNLUK RAPOR'!I14</f>
        <v>0</v>
      </c>
      <c r="F30" s="157">
        <f>'GUNLUK RAPOR'!J14</f>
        <v>0</v>
      </c>
      <c r="G30" s="158">
        <f t="shared" si="9"/>
        <v>13</v>
      </c>
      <c r="H30" s="143"/>
    </row>
    <row r="31" spans="2:14" ht="30" customHeight="1">
      <c r="B31" s="155">
        <v>3</v>
      </c>
      <c r="C31" s="144" t="str">
        <f>+'GUNLUK RAPOR'!B15</f>
        <v>СПЕЦСТРОЙПРОЕКТ</v>
      </c>
      <c r="D31" s="156">
        <f>'GUNLUK RAPOR'!D15</f>
        <v>46</v>
      </c>
      <c r="E31" s="156">
        <f>'GUNLUK RAPOR'!I15</f>
        <v>0</v>
      </c>
      <c r="F31" s="157">
        <f>'GUNLUK RAPOR'!J15</f>
        <v>0</v>
      </c>
      <c r="G31" s="158">
        <f t="shared" si="9"/>
        <v>46</v>
      </c>
      <c r="H31" s="143"/>
    </row>
    <row r="32" spans="2:14" ht="30" customHeight="1">
      <c r="B32" s="155">
        <v>4</v>
      </c>
      <c r="C32" s="144" t="str">
        <f>+'GUNLUK RAPOR'!B16</f>
        <v>ПАМП ГРУПП</v>
      </c>
      <c r="D32" s="156">
        <f>'GUNLUK RAPOR'!D16</f>
        <v>40</v>
      </c>
      <c r="E32" s="156">
        <f>'GUNLUK RAPOR'!I16</f>
        <v>0</v>
      </c>
      <c r="F32" s="157">
        <f>'GUNLUK RAPOR'!J16</f>
        <v>0</v>
      </c>
      <c r="G32" s="158">
        <f t="shared" si="9"/>
        <v>40</v>
      </c>
      <c r="H32" s="143"/>
    </row>
    <row r="33" spans="2:8" ht="30" customHeight="1">
      <c r="B33" s="155">
        <v>5</v>
      </c>
      <c r="C33" s="144" t="str">
        <f>+'GUNLUK RAPOR'!B17</f>
        <v>ООО ВОЗРОЖДЕНИЕ</v>
      </c>
      <c r="D33" s="156">
        <f>'GUNLUK RAPOR'!D17</f>
        <v>22</v>
      </c>
      <c r="E33" s="156">
        <f>'GUNLUK RAPOR'!I17</f>
        <v>0</v>
      </c>
      <c r="F33" s="157">
        <f>'GUNLUK RAPOR'!J17</f>
        <v>0</v>
      </c>
      <c r="G33" s="158">
        <f t="shared" si="9"/>
        <v>22</v>
      </c>
      <c r="H33" s="143"/>
    </row>
    <row r="34" spans="2:8" ht="30" customHeight="1">
      <c r="B34" s="155">
        <v>6</v>
      </c>
      <c r="C34" s="144" t="str">
        <f>+'GUNLUK RAPOR'!B18</f>
        <v>ООО АДЕЛЬ ТЕХНОЛОДЖИ</v>
      </c>
      <c r="D34" s="156">
        <f>'GUNLUK RAPOR'!D18</f>
        <v>2</v>
      </c>
      <c r="E34" s="156">
        <f>'GUNLUK RAPOR'!I18</f>
        <v>0</v>
      </c>
      <c r="F34" s="157">
        <f>'GUNLUK RAPOR'!J18</f>
        <v>0</v>
      </c>
      <c r="G34" s="158">
        <f t="shared" si="9"/>
        <v>2</v>
      </c>
      <c r="H34" s="143"/>
    </row>
    <row r="35" spans="2:8" ht="30" customHeight="1">
      <c r="B35" s="155">
        <v>8</v>
      </c>
      <c r="C35" s="144" t="str">
        <f>+'GUNLUK RAPOR'!B19</f>
        <v>ИП КАЙТУЕВ</v>
      </c>
      <c r="D35" s="156">
        <f>'GUNLUK RAPOR'!D19</f>
        <v>13</v>
      </c>
      <c r="E35" s="156">
        <f>'GUNLUK RAPOR'!I19</f>
        <v>0</v>
      </c>
      <c r="F35" s="157">
        <f>'GUNLUK RAPOR'!J19</f>
        <v>0</v>
      </c>
      <c r="G35" s="158">
        <f t="shared" si="9"/>
        <v>13</v>
      </c>
      <c r="H35" s="143"/>
    </row>
    <row r="36" spans="2:8" ht="30" customHeight="1">
      <c r="B36" s="155">
        <v>9</v>
      </c>
      <c r="C36" s="144" t="str">
        <f>+'GUNLUK RAPOR'!B20</f>
        <v>ООО"МЦПиС"</v>
      </c>
      <c r="D36" s="156">
        <f>'GUNLUK RAPOR'!D20</f>
        <v>68</v>
      </c>
      <c r="E36" s="156">
        <f>'GUNLUK RAPOR'!I20</f>
        <v>0</v>
      </c>
      <c r="F36" s="157">
        <f>'GUNLUK RAPOR'!J20</f>
        <v>0</v>
      </c>
      <c r="G36" s="158">
        <f t="shared" si="9"/>
        <v>68</v>
      </c>
      <c r="H36" s="143"/>
    </row>
    <row r="37" spans="2:8" ht="30" customHeight="1">
      <c r="B37" s="155">
        <v>10</v>
      </c>
      <c r="C37" s="144" t="str">
        <f>+'GUNLUK RAPOR'!B21</f>
        <v>ООО"СК ПЕГАС"</v>
      </c>
      <c r="D37" s="156">
        <f>'GUNLUK RAPOR'!D21</f>
        <v>7</v>
      </c>
      <c r="E37" s="156">
        <f>'GUNLUK RAPOR'!I21</f>
        <v>0</v>
      </c>
      <c r="F37" s="157">
        <f>'GUNLUK RAPOR'!J21</f>
        <v>0</v>
      </c>
      <c r="G37" s="158">
        <f t="shared" si="9"/>
        <v>7</v>
      </c>
      <c r="H37" s="143"/>
    </row>
    <row r="38" spans="2:8" ht="30" customHeight="1">
      <c r="B38" s="155">
        <v>11</v>
      </c>
      <c r="C38" s="144" t="str">
        <f>+'GUNLUK RAPOR'!B22</f>
        <v>ООО "ХУДОЖЕСТВЕННАЯ РЕСТАВРАЦИЯ"</v>
      </c>
      <c r="D38" s="156">
        <f>'GUNLUK RAPOR'!D22</f>
        <v>26</v>
      </c>
      <c r="E38" s="156">
        <f>'GUNLUK RAPOR'!I22</f>
        <v>0</v>
      </c>
      <c r="F38" s="157">
        <f>'GUNLUK RAPOR'!J22</f>
        <v>0</v>
      </c>
      <c r="G38" s="158">
        <f>+D38-E38</f>
        <v>26</v>
      </c>
      <c r="H38" s="143"/>
    </row>
    <row r="39" spans="2:8" ht="30" customHeight="1" thickBot="1">
      <c r="B39" s="155">
        <v>12</v>
      </c>
      <c r="C39" s="144" t="str">
        <f>+'GUNLUK RAPOR'!B23</f>
        <v>ИП ХЛЕБНИКОВА К.А.</v>
      </c>
      <c r="D39" s="156">
        <f>'GUNLUK RAPOR'!D23</f>
        <v>12</v>
      </c>
      <c r="E39" s="156">
        <f>'GUNLUK RAPOR'!I23</f>
        <v>0</v>
      </c>
      <c r="F39" s="157">
        <f>'GUNLUK RAPOR'!J23</f>
        <v>0</v>
      </c>
      <c r="G39" s="158">
        <f>+D39-E39</f>
        <v>12</v>
      </c>
      <c r="H39" s="143"/>
    </row>
    <row r="40" spans="2:8" ht="30" customHeight="1" thickBot="1">
      <c r="B40" s="127"/>
      <c r="C40" s="128" t="s">
        <v>322</v>
      </c>
      <c r="D40" s="129">
        <f>SUM(D29:D39)</f>
        <v>258</v>
      </c>
      <c r="E40" s="129">
        <f>SUM(E29:E39)</f>
        <v>0</v>
      </c>
      <c r="F40" s="129">
        <f>SUM(F29:F39)</f>
        <v>0</v>
      </c>
      <c r="G40" s="129">
        <f>SUM(G29:G39)</f>
        <v>258</v>
      </c>
      <c r="H40" s="130"/>
    </row>
    <row r="41" spans="2:8" ht="30" customHeight="1" thickBot="1">
      <c r="B41" s="151"/>
      <c r="C41" s="152" t="s">
        <v>323</v>
      </c>
      <c r="D41" s="153">
        <f>D40+D27</f>
        <v>297</v>
      </c>
      <c r="E41" s="153">
        <f>E40+E27</f>
        <v>2</v>
      </c>
      <c r="F41" s="153">
        <f>F40+F27</f>
        <v>14</v>
      </c>
      <c r="G41" s="153">
        <f>G40+G27</f>
        <v>281</v>
      </c>
      <c r="H41" s="154"/>
    </row>
    <row r="42" spans="2:8" ht="30" customHeight="1"/>
    <row r="43" spans="2:8" ht="30" customHeight="1">
      <c r="D43" s="200" t="s">
        <v>282</v>
      </c>
      <c r="E43" s="200"/>
      <c r="F43" s="200"/>
    </row>
    <row r="44" spans="2:8" ht="30" customHeight="1">
      <c r="D44" s="201" t="s">
        <v>13</v>
      </c>
      <c r="E44" s="201"/>
      <c r="F44" s="201"/>
    </row>
    <row r="52" spans="4:4" ht="30" customHeight="1">
      <c r="D52" s="159"/>
    </row>
  </sheetData>
  <mergeCells count="9">
    <mergeCell ref="N8:N9"/>
    <mergeCell ref="D43:F43"/>
    <mergeCell ref="D44:F44"/>
    <mergeCell ref="B2:C2"/>
    <mergeCell ref="D2:G2"/>
    <mergeCell ref="C3:G3"/>
    <mergeCell ref="K8:K9"/>
    <mergeCell ref="L8:L9"/>
    <mergeCell ref="M8:M9"/>
  </mergeCells>
  <conditionalFormatting sqref="C26:C1048576 C1:C6 C8:C24">
    <cfRule type="duplicateValues" dxfId="286" priority="3"/>
  </conditionalFormatting>
  <conditionalFormatting sqref="C25">
    <cfRule type="duplicateValues" dxfId="285" priority="2"/>
  </conditionalFormatting>
  <conditionalFormatting sqref="C7">
    <cfRule type="duplicateValues" dxfId="284" priority="1"/>
  </conditionalFormatting>
  <pageMargins left="0.7" right="0.7" top="0.75" bottom="0.75" header="0.3" footer="0.3"/>
  <pageSetup paperSize="9" scale="34" orientation="portrait" r:id="rId1"/>
  <colBreaks count="1" manualBreakCount="1">
    <brk id="8" max="7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7"/>
  <sheetViews>
    <sheetView tabSelected="1" view="pageBreakPreview" zoomScale="55" zoomScaleNormal="55" zoomScaleSheetLayoutView="55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I2" sqref="I2"/>
    </sheetView>
  </sheetViews>
  <sheetFormatPr defaultRowHeight="21"/>
  <cols>
    <col min="1" max="1" width="10.7109375" style="44" customWidth="1"/>
    <col min="2" max="2" width="13.5703125" style="66" customWidth="1"/>
    <col min="3" max="3" width="55.42578125" style="46" bestFit="1" customWidth="1"/>
    <col min="4" max="4" width="73.140625" style="46" bestFit="1" customWidth="1"/>
    <col min="5" max="5" width="46" style="67" customWidth="1"/>
    <col min="6" max="7" width="10.42578125" style="44" customWidth="1"/>
    <col min="8" max="8" width="14.28515625" style="44" customWidth="1"/>
    <col min="9" max="9" width="77" style="50" bestFit="1" customWidth="1"/>
    <col min="10" max="10" width="5.7109375" style="56" customWidth="1"/>
    <col min="11" max="11" width="8.140625" style="57" bestFit="1" customWidth="1"/>
    <col min="12" max="12" width="5.7109375" style="57" customWidth="1"/>
    <col min="13" max="13" width="7.7109375" style="57" bestFit="1" customWidth="1"/>
    <col min="14" max="14" width="5.7109375" style="58" customWidth="1"/>
    <col min="15" max="15" width="24.28515625" bestFit="1" customWidth="1"/>
    <col min="17" max="17" width="16" customWidth="1"/>
    <col min="18" max="18" width="24.28515625" bestFit="1" customWidth="1"/>
    <col min="19" max="19" width="14.28515625" customWidth="1"/>
    <col min="20" max="20" width="30.5703125" customWidth="1"/>
    <col min="21" max="21" width="24.5703125" bestFit="1" customWidth="1"/>
  </cols>
  <sheetData>
    <row r="1" spans="1:14" ht="39.950000000000003" customHeight="1">
      <c r="A1" s="216" t="s">
        <v>409</v>
      </c>
      <c r="B1" s="217"/>
      <c r="C1" s="217"/>
      <c r="D1" s="218"/>
      <c r="E1" s="1"/>
      <c r="F1" s="1"/>
      <c r="G1" s="2"/>
      <c r="H1" s="3"/>
      <c r="I1" s="4" t="str">
        <f>+CHOOSE(WEEKDAY(I2,2),"Понедельник","Вторник","Среда","Четверг","Пятница","Суббота","Воскресенье.")</f>
        <v>Суббота</v>
      </c>
      <c r="J1" s="214" t="s">
        <v>0</v>
      </c>
      <c r="K1" s="215" t="s">
        <v>1</v>
      </c>
      <c r="L1" s="215" t="s">
        <v>2</v>
      </c>
      <c r="M1" s="210" t="s">
        <v>3</v>
      </c>
      <c r="N1" s="210" t="s">
        <v>4</v>
      </c>
    </row>
    <row r="2" spans="1:14" s="8" customFormat="1" ht="39.950000000000003" customHeight="1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7">
        <v>46123</v>
      </c>
      <c r="J2" s="214"/>
      <c r="K2" s="215"/>
      <c r="L2" s="215"/>
      <c r="M2" s="210"/>
      <c r="N2" s="210"/>
    </row>
    <row r="3" spans="1:14" s="21" customFormat="1" ht="39.950000000000003" customHeight="1">
      <c r="A3" s="9">
        <v>1</v>
      </c>
      <c r="B3" s="10">
        <v>9001</v>
      </c>
      <c r="C3" s="32" t="s">
        <v>16</v>
      </c>
      <c r="D3" s="32" t="s">
        <v>17</v>
      </c>
      <c r="E3" s="12" t="s">
        <v>18</v>
      </c>
      <c r="F3" s="13" t="s">
        <v>416</v>
      </c>
      <c r="G3" s="14"/>
      <c r="H3" s="15"/>
      <c r="I3" s="16"/>
      <c r="J3" s="17"/>
      <c r="K3" s="18">
        <v>1</v>
      </c>
      <c r="L3" s="19"/>
      <c r="M3" s="20"/>
      <c r="N3" s="17">
        <v>1</v>
      </c>
    </row>
    <row r="4" spans="1:14" s="21" customFormat="1" ht="39.950000000000003" customHeight="1">
      <c r="A4" s="9">
        <v>2</v>
      </c>
      <c r="B4" s="10">
        <v>9003</v>
      </c>
      <c r="C4" s="32" t="s">
        <v>391</v>
      </c>
      <c r="D4" s="32" t="s">
        <v>19</v>
      </c>
      <c r="E4" s="12" t="s">
        <v>18</v>
      </c>
      <c r="F4" s="13" t="s">
        <v>416</v>
      </c>
      <c r="G4" s="14"/>
      <c r="H4" s="15"/>
      <c r="I4" s="16"/>
      <c r="J4" s="17"/>
      <c r="K4" s="18">
        <v>1</v>
      </c>
      <c r="L4" s="19"/>
      <c r="M4" s="20"/>
      <c r="N4" s="17">
        <v>1</v>
      </c>
    </row>
    <row r="5" spans="1:14" s="21" customFormat="1" ht="39.950000000000003" customHeight="1">
      <c r="A5" s="9">
        <v>3</v>
      </c>
      <c r="B5" s="10">
        <v>9011</v>
      </c>
      <c r="C5" s="32" t="s">
        <v>23</v>
      </c>
      <c r="D5" s="32" t="s">
        <v>24</v>
      </c>
      <c r="E5" s="12" t="s">
        <v>22</v>
      </c>
      <c r="F5" s="13" t="s">
        <v>416</v>
      </c>
      <c r="G5" s="14"/>
      <c r="H5" s="15"/>
      <c r="I5" s="16"/>
      <c r="J5" s="17"/>
      <c r="K5" s="18">
        <v>1</v>
      </c>
      <c r="L5" s="19"/>
      <c r="M5" s="20"/>
      <c r="N5" s="23">
        <v>1</v>
      </c>
    </row>
    <row r="6" spans="1:14" s="21" customFormat="1" ht="39.950000000000003" customHeight="1">
      <c r="A6" s="9">
        <v>4</v>
      </c>
      <c r="B6" s="10">
        <v>9004</v>
      </c>
      <c r="C6" s="32" t="s">
        <v>392</v>
      </c>
      <c r="D6" s="32" t="s">
        <v>25</v>
      </c>
      <c r="E6" s="12" t="s">
        <v>22</v>
      </c>
      <c r="F6" s="13" t="s">
        <v>416</v>
      </c>
      <c r="G6" s="14"/>
      <c r="H6" s="15"/>
      <c r="I6" s="16"/>
      <c r="J6" s="17"/>
      <c r="K6" s="18">
        <v>1</v>
      </c>
      <c r="L6" s="19"/>
      <c r="M6" s="20"/>
      <c r="N6" s="23">
        <v>1</v>
      </c>
    </row>
    <row r="7" spans="1:14" s="21" customFormat="1" ht="39.950000000000003" customHeight="1">
      <c r="A7" s="9">
        <v>5</v>
      </c>
      <c r="B7" s="10">
        <v>9015</v>
      </c>
      <c r="C7" s="32" t="s">
        <v>26</v>
      </c>
      <c r="D7" s="32" t="s">
        <v>430</v>
      </c>
      <c r="E7" s="12" t="s">
        <v>22</v>
      </c>
      <c r="F7" s="13" t="s">
        <v>416</v>
      </c>
      <c r="G7" s="14"/>
      <c r="H7" s="15"/>
      <c r="I7" s="16"/>
      <c r="J7" s="17"/>
      <c r="K7" s="18">
        <v>1</v>
      </c>
      <c r="L7" s="19"/>
      <c r="M7" s="20"/>
      <c r="N7" s="23">
        <v>1</v>
      </c>
    </row>
    <row r="8" spans="1:14" s="21" customFormat="1" ht="39.950000000000003" customHeight="1">
      <c r="A8" s="9">
        <v>6</v>
      </c>
      <c r="B8" s="10">
        <v>9002</v>
      </c>
      <c r="C8" s="32" t="s">
        <v>444</v>
      </c>
      <c r="D8" s="32" t="s">
        <v>28</v>
      </c>
      <c r="E8" s="12" t="s">
        <v>27</v>
      </c>
      <c r="F8" s="13" t="s">
        <v>416</v>
      </c>
      <c r="G8" s="14"/>
      <c r="H8" s="15"/>
      <c r="I8" s="16"/>
      <c r="J8" s="17"/>
      <c r="K8" s="18">
        <v>1</v>
      </c>
      <c r="L8" s="19"/>
      <c r="M8" s="183"/>
      <c r="N8" s="24">
        <v>1</v>
      </c>
    </row>
    <row r="9" spans="1:14" s="21" customFormat="1" ht="39.950000000000003" customHeight="1">
      <c r="A9" s="9">
        <v>7</v>
      </c>
      <c r="B9" s="10">
        <v>9010</v>
      </c>
      <c r="C9" s="32" t="s">
        <v>408</v>
      </c>
      <c r="D9" s="32" t="s">
        <v>407</v>
      </c>
      <c r="E9" s="12" t="s">
        <v>27</v>
      </c>
      <c r="F9" s="13">
        <v>0</v>
      </c>
      <c r="G9" s="25"/>
      <c r="H9" s="25"/>
      <c r="I9" s="184" t="s">
        <v>445</v>
      </c>
      <c r="J9" s="26"/>
      <c r="K9" s="27">
        <v>0</v>
      </c>
      <c r="L9" s="27"/>
      <c r="M9" s="28">
        <v>1</v>
      </c>
      <c r="N9" s="24">
        <v>1</v>
      </c>
    </row>
    <row r="10" spans="1:14" s="21" customFormat="1" ht="39.950000000000003" customHeight="1">
      <c r="A10" s="9">
        <v>8</v>
      </c>
      <c r="B10" s="10">
        <v>9020</v>
      </c>
      <c r="C10" s="32" t="s">
        <v>29</v>
      </c>
      <c r="D10" s="32" t="s">
        <v>30</v>
      </c>
      <c r="E10" s="12" t="s">
        <v>31</v>
      </c>
      <c r="F10" s="13" t="s">
        <v>416</v>
      </c>
      <c r="G10" s="14"/>
      <c r="H10" s="15"/>
      <c r="I10" s="184" t="s">
        <v>417</v>
      </c>
      <c r="J10" s="17"/>
      <c r="K10" s="18">
        <v>0</v>
      </c>
      <c r="L10" s="19"/>
      <c r="M10" s="183">
        <v>1</v>
      </c>
      <c r="N10" s="24">
        <v>1</v>
      </c>
    </row>
    <row r="11" spans="1:14" s="21" customFormat="1" ht="39.950000000000003" customHeight="1">
      <c r="A11" s="9">
        <v>9</v>
      </c>
      <c r="B11" s="10">
        <v>9025</v>
      </c>
      <c r="C11" s="32" t="s">
        <v>403</v>
      </c>
      <c r="D11" s="32" t="s">
        <v>402</v>
      </c>
      <c r="E11" s="12" t="s">
        <v>33</v>
      </c>
      <c r="F11" s="13">
        <v>0</v>
      </c>
      <c r="G11" s="14"/>
      <c r="H11" s="15"/>
      <c r="I11" s="184" t="s">
        <v>418</v>
      </c>
      <c r="J11" s="24"/>
      <c r="K11" s="185">
        <v>0</v>
      </c>
      <c r="L11" s="185"/>
      <c r="M11" s="186">
        <v>1</v>
      </c>
      <c r="N11" s="22">
        <v>1</v>
      </c>
    </row>
    <row r="12" spans="1:14" s="21" customFormat="1" ht="39.950000000000003" customHeight="1">
      <c r="A12" s="9">
        <v>10</v>
      </c>
      <c r="B12" s="10">
        <v>9027</v>
      </c>
      <c r="C12" s="32" t="s">
        <v>34</v>
      </c>
      <c r="D12" s="32" t="s">
        <v>35</v>
      </c>
      <c r="E12" s="12" t="s">
        <v>33</v>
      </c>
      <c r="F12" s="13">
        <v>0</v>
      </c>
      <c r="G12" s="14"/>
      <c r="H12" s="15"/>
      <c r="I12" s="184" t="s">
        <v>418</v>
      </c>
      <c r="J12" s="24"/>
      <c r="K12" s="185">
        <v>0</v>
      </c>
      <c r="L12" s="185"/>
      <c r="M12" s="186">
        <v>1</v>
      </c>
      <c r="N12" s="22">
        <v>1</v>
      </c>
    </row>
    <row r="13" spans="1:14" s="21" customFormat="1" ht="39.950000000000003" customHeight="1">
      <c r="A13" s="9">
        <v>11</v>
      </c>
      <c r="B13" s="10">
        <v>9031</v>
      </c>
      <c r="C13" s="32" t="s">
        <v>36</v>
      </c>
      <c r="D13" s="32" t="s">
        <v>37</v>
      </c>
      <c r="E13" s="12" t="s">
        <v>33</v>
      </c>
      <c r="F13" s="13">
        <v>0</v>
      </c>
      <c r="G13" s="14"/>
      <c r="H13" s="15"/>
      <c r="I13" s="184" t="s">
        <v>418</v>
      </c>
      <c r="J13" s="24"/>
      <c r="K13" s="185">
        <v>0</v>
      </c>
      <c r="L13" s="185"/>
      <c r="M13" s="186">
        <v>1</v>
      </c>
      <c r="N13" s="22">
        <v>1</v>
      </c>
    </row>
    <row r="14" spans="1:14" s="21" customFormat="1" ht="39.950000000000003" customHeight="1">
      <c r="A14" s="9">
        <v>12</v>
      </c>
      <c r="B14" s="10">
        <v>9033</v>
      </c>
      <c r="C14" s="32" t="s">
        <v>406</v>
      </c>
      <c r="D14" s="32" t="s">
        <v>38</v>
      </c>
      <c r="E14" s="12" t="s">
        <v>33</v>
      </c>
      <c r="F14" s="13">
        <v>0</v>
      </c>
      <c r="G14" s="14"/>
      <c r="H14" s="15"/>
      <c r="I14" s="184" t="s">
        <v>418</v>
      </c>
      <c r="J14" s="24"/>
      <c r="K14" s="185">
        <v>0</v>
      </c>
      <c r="L14" s="185"/>
      <c r="M14" s="186">
        <v>1</v>
      </c>
      <c r="N14" s="22">
        <v>1</v>
      </c>
    </row>
    <row r="15" spans="1:14" s="21" customFormat="1" ht="39.950000000000003" customHeight="1">
      <c r="A15" s="9">
        <v>13</v>
      </c>
      <c r="B15" s="10">
        <v>9040</v>
      </c>
      <c r="C15" s="32" t="s">
        <v>346</v>
      </c>
      <c r="D15" s="32" t="s">
        <v>345</v>
      </c>
      <c r="E15" s="12" t="s">
        <v>39</v>
      </c>
      <c r="F15" s="13">
        <v>0</v>
      </c>
      <c r="G15" s="25"/>
      <c r="H15" s="25"/>
      <c r="I15" s="184" t="s">
        <v>419</v>
      </c>
      <c r="J15" s="26"/>
      <c r="K15" s="27">
        <v>0</v>
      </c>
      <c r="L15" s="27"/>
      <c r="M15" s="28">
        <v>1</v>
      </c>
      <c r="N15" s="22">
        <v>1</v>
      </c>
    </row>
    <row r="16" spans="1:14" s="21" customFormat="1" ht="39.950000000000003" customHeight="1">
      <c r="A16" s="9">
        <v>14</v>
      </c>
      <c r="B16" s="10">
        <v>9009</v>
      </c>
      <c r="C16" s="32" t="s">
        <v>41</v>
      </c>
      <c r="D16" s="32" t="s">
        <v>42</v>
      </c>
      <c r="E16" s="12" t="s">
        <v>43</v>
      </c>
      <c r="F16" s="13">
        <v>0</v>
      </c>
      <c r="G16" s="14"/>
      <c r="H16" s="15"/>
      <c r="I16" s="184" t="s">
        <v>40</v>
      </c>
      <c r="J16" s="23"/>
      <c r="K16" s="196">
        <v>0</v>
      </c>
      <c r="L16" s="185"/>
      <c r="M16" s="186">
        <v>1</v>
      </c>
      <c r="N16" s="22">
        <v>1</v>
      </c>
    </row>
    <row r="17" spans="1:21" s="21" customFormat="1" ht="39.950000000000003" customHeight="1">
      <c r="A17" s="9">
        <v>15</v>
      </c>
      <c r="B17" s="10">
        <v>9024</v>
      </c>
      <c r="C17" s="32" t="s">
        <v>44</v>
      </c>
      <c r="D17" s="32" t="s">
        <v>45</v>
      </c>
      <c r="E17" s="12" t="s">
        <v>43</v>
      </c>
      <c r="F17" s="13" t="s">
        <v>416</v>
      </c>
      <c r="G17" s="14"/>
      <c r="H17" s="15"/>
      <c r="I17" s="16"/>
      <c r="J17" s="24"/>
      <c r="K17" s="185">
        <v>1</v>
      </c>
      <c r="L17" s="185"/>
      <c r="M17" s="186"/>
      <c r="N17" s="29">
        <v>1</v>
      </c>
      <c r="O17" s="30"/>
      <c r="U17" s="190"/>
    </row>
    <row r="18" spans="1:21" s="21" customFormat="1" ht="39.950000000000003" customHeight="1">
      <c r="A18" s="9">
        <v>16</v>
      </c>
      <c r="B18" s="10">
        <v>9034</v>
      </c>
      <c r="C18" s="32" t="s">
        <v>46</v>
      </c>
      <c r="D18" s="32" t="s">
        <v>47</v>
      </c>
      <c r="E18" s="12" t="s">
        <v>43</v>
      </c>
      <c r="F18" s="13" t="s">
        <v>416</v>
      </c>
      <c r="G18" s="14"/>
      <c r="H18" s="15"/>
      <c r="I18" s="16"/>
      <c r="J18" s="24"/>
      <c r="K18" s="185">
        <v>1</v>
      </c>
      <c r="L18" s="19"/>
      <c r="M18" s="20"/>
      <c r="N18" s="29">
        <v>1</v>
      </c>
      <c r="O18" s="30"/>
    </row>
    <row r="19" spans="1:21" s="21" customFormat="1" ht="39.950000000000003" customHeight="1">
      <c r="A19" s="9">
        <v>17</v>
      </c>
      <c r="B19" s="10">
        <v>9041</v>
      </c>
      <c r="C19" s="32" t="s">
        <v>428</v>
      </c>
      <c r="D19" s="32" t="s">
        <v>429</v>
      </c>
      <c r="E19" s="12" t="s">
        <v>43</v>
      </c>
      <c r="F19" s="13" t="s">
        <v>416</v>
      </c>
      <c r="G19" s="14"/>
      <c r="H19" s="15"/>
      <c r="I19" s="16"/>
      <c r="J19" s="22"/>
      <c r="K19" s="19">
        <v>1</v>
      </c>
      <c r="L19" s="19"/>
      <c r="M19" s="20"/>
      <c r="N19" s="29">
        <v>1</v>
      </c>
      <c r="O19" s="30"/>
    </row>
    <row r="20" spans="1:21" s="21" customFormat="1" ht="39.950000000000003" customHeight="1">
      <c r="A20" s="9">
        <v>18</v>
      </c>
      <c r="B20" s="10">
        <v>9046</v>
      </c>
      <c r="C20" s="32" t="s">
        <v>441</v>
      </c>
      <c r="D20" s="32" t="s">
        <v>442</v>
      </c>
      <c r="E20" s="12" t="s">
        <v>443</v>
      </c>
      <c r="F20" s="13">
        <v>0</v>
      </c>
      <c r="G20" s="14"/>
      <c r="H20" s="15"/>
      <c r="I20" s="184" t="s">
        <v>418</v>
      </c>
      <c r="J20" s="24"/>
      <c r="K20" s="185">
        <v>0</v>
      </c>
      <c r="L20" s="185"/>
      <c r="M20" s="186">
        <v>1</v>
      </c>
      <c r="N20" s="29">
        <v>1</v>
      </c>
      <c r="O20" s="30"/>
    </row>
    <row r="21" spans="1:21" s="21" customFormat="1" ht="39.950000000000003" customHeight="1">
      <c r="A21" s="9">
        <v>19</v>
      </c>
      <c r="B21" s="10">
        <v>9047</v>
      </c>
      <c r="C21" s="32" t="s">
        <v>457</v>
      </c>
      <c r="D21" s="32" t="s">
        <v>458</v>
      </c>
      <c r="E21" s="12" t="s">
        <v>443</v>
      </c>
      <c r="F21" s="13">
        <v>0</v>
      </c>
      <c r="G21" s="14"/>
      <c r="H21" s="15"/>
      <c r="I21" s="184" t="s">
        <v>433</v>
      </c>
      <c r="J21" s="24"/>
      <c r="K21" s="185">
        <v>0</v>
      </c>
      <c r="L21" s="185"/>
      <c r="M21" s="186">
        <v>1</v>
      </c>
      <c r="N21" s="29">
        <v>1</v>
      </c>
      <c r="O21" s="30"/>
    </row>
    <row r="22" spans="1:21" s="21" customFormat="1" ht="39.950000000000003" customHeight="1">
      <c r="A22" s="9">
        <v>20</v>
      </c>
      <c r="B22" s="10">
        <v>9029</v>
      </c>
      <c r="C22" s="32" t="s">
        <v>48</v>
      </c>
      <c r="D22" s="32" t="s">
        <v>49</v>
      </c>
      <c r="E22" s="12" t="s">
        <v>50</v>
      </c>
      <c r="F22" s="13">
        <v>0</v>
      </c>
      <c r="G22" s="14"/>
      <c r="H22" s="15"/>
      <c r="I22" s="184" t="s">
        <v>433</v>
      </c>
      <c r="J22" s="24"/>
      <c r="K22" s="185">
        <v>0</v>
      </c>
      <c r="L22" s="185"/>
      <c r="M22" s="186">
        <v>1</v>
      </c>
      <c r="N22" s="29">
        <v>1</v>
      </c>
      <c r="O22" s="30"/>
    </row>
    <row r="23" spans="1:21" s="21" customFormat="1" ht="39.950000000000003" customHeight="1">
      <c r="A23" s="9">
        <v>21</v>
      </c>
      <c r="B23" s="10">
        <v>9030</v>
      </c>
      <c r="C23" s="32" t="s">
        <v>51</v>
      </c>
      <c r="D23" s="32" t="s">
        <v>52</v>
      </c>
      <c r="E23" s="12" t="s">
        <v>50</v>
      </c>
      <c r="F23" s="13">
        <v>0</v>
      </c>
      <c r="G23" s="14"/>
      <c r="H23" s="15"/>
      <c r="I23" s="184" t="s">
        <v>433</v>
      </c>
      <c r="J23" s="24"/>
      <c r="K23" s="185">
        <v>0</v>
      </c>
      <c r="L23" s="185"/>
      <c r="M23" s="186">
        <v>1</v>
      </c>
      <c r="N23" s="29">
        <v>1</v>
      </c>
      <c r="O23" s="30"/>
    </row>
    <row r="24" spans="1:21" s="21" customFormat="1" ht="39.950000000000003" customHeight="1">
      <c r="A24" s="9">
        <v>22</v>
      </c>
      <c r="B24" s="10">
        <v>9038</v>
      </c>
      <c r="C24" s="32" t="s">
        <v>338</v>
      </c>
      <c r="D24" s="32" t="s">
        <v>339</v>
      </c>
      <c r="E24" s="12" t="s">
        <v>58</v>
      </c>
      <c r="F24" s="13" t="s">
        <v>416</v>
      </c>
      <c r="G24" s="14"/>
      <c r="H24" s="15"/>
      <c r="I24" s="16"/>
      <c r="J24" s="22"/>
      <c r="K24" s="19">
        <v>1</v>
      </c>
      <c r="L24" s="19"/>
      <c r="M24" s="20"/>
      <c r="N24" s="29">
        <v>1</v>
      </c>
    </row>
    <row r="25" spans="1:21" s="21" customFormat="1" ht="39.950000000000003" customHeight="1">
      <c r="A25" s="9">
        <v>23</v>
      </c>
      <c r="B25" s="10">
        <v>9005</v>
      </c>
      <c r="C25" s="32" t="s">
        <v>56</v>
      </c>
      <c r="D25" s="32" t="s">
        <v>57</v>
      </c>
      <c r="E25" s="12" t="s">
        <v>58</v>
      </c>
      <c r="F25" s="13" t="s">
        <v>416</v>
      </c>
      <c r="G25" s="14"/>
      <c r="H25" s="15"/>
      <c r="I25" s="16"/>
      <c r="J25" s="22"/>
      <c r="K25" s="19">
        <v>1</v>
      </c>
      <c r="L25" s="19"/>
      <c r="M25" s="20"/>
      <c r="N25" s="29">
        <v>1</v>
      </c>
    </row>
    <row r="26" spans="1:21" s="21" customFormat="1" ht="39.950000000000003" customHeight="1">
      <c r="A26" s="9">
        <v>24</v>
      </c>
      <c r="B26" s="10">
        <v>9044</v>
      </c>
      <c r="C26" s="32" t="s">
        <v>437</v>
      </c>
      <c r="D26" s="32" t="s">
        <v>438</v>
      </c>
      <c r="E26" s="12" t="s">
        <v>439</v>
      </c>
      <c r="F26" s="13" t="s">
        <v>416</v>
      </c>
      <c r="G26" s="14"/>
      <c r="H26" s="15"/>
      <c r="I26" s="16"/>
      <c r="J26" s="22"/>
      <c r="K26" s="19">
        <v>1</v>
      </c>
      <c r="L26" s="19"/>
      <c r="M26" s="20"/>
      <c r="N26" s="29">
        <v>1</v>
      </c>
    </row>
    <row r="27" spans="1:21" s="21" customFormat="1" ht="39.950000000000003" customHeight="1">
      <c r="A27" s="9">
        <v>25</v>
      </c>
      <c r="B27" s="10">
        <v>9028</v>
      </c>
      <c r="C27" s="32" t="s">
        <v>404</v>
      </c>
      <c r="D27" s="32" t="s">
        <v>405</v>
      </c>
      <c r="E27" s="12" t="s">
        <v>53</v>
      </c>
      <c r="F27" s="13">
        <v>0</v>
      </c>
      <c r="G27" s="14"/>
      <c r="H27" s="15"/>
      <c r="I27" s="184" t="s">
        <v>418</v>
      </c>
      <c r="J27" s="24"/>
      <c r="K27" s="185">
        <v>0</v>
      </c>
      <c r="L27" s="185"/>
      <c r="M27" s="186">
        <v>1</v>
      </c>
      <c r="N27" s="29">
        <v>1</v>
      </c>
      <c r="O27" s="30"/>
    </row>
    <row r="28" spans="1:21" s="21" customFormat="1" ht="39.950000000000003" customHeight="1">
      <c r="A28" s="9">
        <v>26</v>
      </c>
      <c r="B28" s="10">
        <v>9014</v>
      </c>
      <c r="C28" s="32" t="s">
        <v>61</v>
      </c>
      <c r="D28" s="32" t="s">
        <v>62</v>
      </c>
      <c r="E28" s="12" t="s">
        <v>63</v>
      </c>
      <c r="F28" s="13" t="s">
        <v>416</v>
      </c>
      <c r="G28" s="14"/>
      <c r="H28" s="15"/>
      <c r="I28" s="16"/>
      <c r="J28" s="22"/>
      <c r="K28" s="19">
        <v>1</v>
      </c>
      <c r="L28" s="19"/>
      <c r="M28" s="20"/>
      <c r="N28" s="29">
        <v>1</v>
      </c>
    </row>
    <row r="29" spans="1:21" s="21" customFormat="1" ht="39.950000000000003" customHeight="1">
      <c r="A29" s="9">
        <v>27</v>
      </c>
      <c r="B29" s="10">
        <v>9000</v>
      </c>
      <c r="C29" s="32" t="s">
        <v>390</v>
      </c>
      <c r="D29" s="32" t="s">
        <v>64</v>
      </c>
      <c r="E29" s="12" t="s">
        <v>373</v>
      </c>
      <c r="F29" s="13">
        <v>0</v>
      </c>
      <c r="G29" s="14"/>
      <c r="H29" s="15"/>
      <c r="I29" s="16" t="s">
        <v>463</v>
      </c>
      <c r="J29" s="22">
        <v>1</v>
      </c>
      <c r="K29" s="19">
        <v>0</v>
      </c>
      <c r="L29" s="19"/>
      <c r="M29" s="20"/>
      <c r="N29" s="31">
        <v>1</v>
      </c>
    </row>
    <row r="30" spans="1:21" s="21" customFormat="1" ht="39.950000000000003" customHeight="1">
      <c r="A30" s="9">
        <v>28</v>
      </c>
      <c r="B30" s="10">
        <v>9013</v>
      </c>
      <c r="C30" s="32" t="s">
        <v>393</v>
      </c>
      <c r="D30" s="32" t="s">
        <v>66</v>
      </c>
      <c r="E30" s="12" t="s">
        <v>67</v>
      </c>
      <c r="F30" s="13" t="s">
        <v>416</v>
      </c>
      <c r="G30" s="14"/>
      <c r="H30" s="15"/>
      <c r="I30" s="16"/>
      <c r="J30" s="22"/>
      <c r="K30" s="19">
        <v>1</v>
      </c>
      <c r="L30" s="19"/>
      <c r="M30" s="20"/>
      <c r="N30" s="31">
        <v>1</v>
      </c>
      <c r="T30" s="190"/>
    </row>
    <row r="31" spans="1:21" s="21" customFormat="1" ht="39.950000000000003" customHeight="1">
      <c r="A31" s="9">
        <v>29</v>
      </c>
      <c r="B31" s="10">
        <v>9016</v>
      </c>
      <c r="C31" s="32" t="s">
        <v>394</v>
      </c>
      <c r="D31" s="32" t="s">
        <v>395</v>
      </c>
      <c r="E31" s="12" t="s">
        <v>68</v>
      </c>
      <c r="F31" s="13" t="s">
        <v>416</v>
      </c>
      <c r="G31" s="14"/>
      <c r="H31" s="15"/>
      <c r="I31" s="16"/>
      <c r="J31" s="22"/>
      <c r="K31" s="19">
        <v>1</v>
      </c>
      <c r="L31" s="185"/>
      <c r="M31" s="186"/>
      <c r="N31" s="24">
        <v>1</v>
      </c>
    </row>
    <row r="32" spans="1:21" s="21" customFormat="1" ht="39.950000000000003" customHeight="1">
      <c r="A32" s="9">
        <v>30</v>
      </c>
      <c r="B32" s="10">
        <v>9022</v>
      </c>
      <c r="C32" s="32" t="s">
        <v>399</v>
      </c>
      <c r="D32" s="32" t="s">
        <v>440</v>
      </c>
      <c r="E32" s="12" t="s">
        <v>68</v>
      </c>
      <c r="F32" s="13" t="s">
        <v>416</v>
      </c>
      <c r="G32" s="14"/>
      <c r="H32" s="15"/>
      <c r="I32" s="16"/>
      <c r="J32" s="24"/>
      <c r="K32" s="187">
        <v>1</v>
      </c>
      <c r="L32" s="185"/>
      <c r="M32" s="186"/>
      <c r="N32" s="24">
        <v>1</v>
      </c>
    </row>
    <row r="33" spans="1:18" s="21" customFormat="1" ht="39.950000000000003" customHeight="1">
      <c r="A33" s="9">
        <v>31</v>
      </c>
      <c r="B33" s="10">
        <v>9023</v>
      </c>
      <c r="C33" s="32" t="s">
        <v>400</v>
      </c>
      <c r="D33" s="32" t="s">
        <v>401</v>
      </c>
      <c r="E33" s="12" t="s">
        <v>68</v>
      </c>
      <c r="F33" s="13" t="s">
        <v>416</v>
      </c>
      <c r="G33" s="14"/>
      <c r="H33" s="15"/>
      <c r="I33" s="16"/>
      <c r="J33" s="17"/>
      <c r="K33" s="187">
        <v>1</v>
      </c>
      <c r="L33" s="187"/>
      <c r="M33" s="186"/>
      <c r="N33" s="24">
        <v>1</v>
      </c>
    </row>
    <row r="34" spans="1:18" s="21" customFormat="1" ht="39.950000000000003" customHeight="1">
      <c r="A34" s="9">
        <v>32</v>
      </c>
      <c r="B34" s="10">
        <v>9043</v>
      </c>
      <c r="C34" s="32" t="s">
        <v>431</v>
      </c>
      <c r="D34" s="32" t="s">
        <v>432</v>
      </c>
      <c r="E34" s="12" t="s">
        <v>78</v>
      </c>
      <c r="F34" s="13" t="s">
        <v>416</v>
      </c>
      <c r="G34" s="14"/>
      <c r="H34" s="15"/>
      <c r="I34" s="16"/>
      <c r="J34" s="17"/>
      <c r="K34" s="187">
        <v>1</v>
      </c>
      <c r="L34" s="187"/>
      <c r="M34" s="186"/>
      <c r="N34" s="24">
        <v>1</v>
      </c>
    </row>
    <row r="35" spans="1:18" s="21" customFormat="1" ht="39.950000000000003" customHeight="1">
      <c r="A35" s="9">
        <v>33</v>
      </c>
      <c r="B35" s="10">
        <v>9045</v>
      </c>
      <c r="C35" s="32" t="s">
        <v>434</v>
      </c>
      <c r="D35" s="32" t="s">
        <v>435</v>
      </c>
      <c r="E35" s="12" t="s">
        <v>436</v>
      </c>
      <c r="F35" s="13" t="s">
        <v>416</v>
      </c>
      <c r="G35" s="14"/>
      <c r="H35" s="15"/>
      <c r="I35" s="16"/>
      <c r="J35" s="17"/>
      <c r="K35" s="187">
        <v>1</v>
      </c>
      <c r="L35" s="187"/>
      <c r="M35" s="186"/>
      <c r="N35" s="24">
        <v>1</v>
      </c>
    </row>
    <row r="36" spans="1:18" s="21" customFormat="1" ht="39.950000000000003" customHeight="1">
      <c r="A36" s="9">
        <v>34</v>
      </c>
      <c r="B36" s="10">
        <v>9008</v>
      </c>
      <c r="C36" s="32" t="s">
        <v>75</v>
      </c>
      <c r="D36" s="32" t="s">
        <v>76</v>
      </c>
      <c r="E36" s="12" t="s">
        <v>349</v>
      </c>
      <c r="F36" s="13" t="s">
        <v>416</v>
      </c>
      <c r="G36" s="14"/>
      <c r="H36" s="15"/>
      <c r="I36" s="16"/>
      <c r="J36" s="17"/>
      <c r="K36" s="187">
        <v>1</v>
      </c>
      <c r="L36" s="187"/>
      <c r="M36" s="186"/>
      <c r="N36" s="33">
        <v>1</v>
      </c>
    </row>
    <row r="37" spans="1:18" s="38" customFormat="1" ht="39.950000000000003" customHeight="1">
      <c r="A37" s="34"/>
      <c r="B37" s="211" t="s">
        <v>91</v>
      </c>
      <c r="C37" s="212"/>
      <c r="D37" s="213"/>
      <c r="E37" s="39"/>
      <c r="F37" s="35"/>
      <c r="G37" s="35"/>
      <c r="H37" s="35"/>
      <c r="I37" s="36"/>
      <c r="J37" s="37">
        <f>SUM(J3:J36)</f>
        <v>1</v>
      </c>
      <c r="K37" s="37">
        <f>SUM(K3:K36)</f>
        <v>20</v>
      </c>
      <c r="L37" s="37">
        <f>SUM(L3:L36)</f>
        <v>0</v>
      </c>
      <c r="M37" s="37">
        <f>SUM(M3:M36)</f>
        <v>13</v>
      </c>
      <c r="N37" s="37">
        <f>SUM(N3:N36)</f>
        <v>34</v>
      </c>
      <c r="O37" s="21"/>
      <c r="P37" s="21"/>
    </row>
    <row r="38" spans="1:18" s="21" customFormat="1" ht="39.950000000000003" customHeight="1">
      <c r="A38" s="9">
        <v>1</v>
      </c>
      <c r="B38" s="10">
        <v>9018</v>
      </c>
      <c r="C38" s="11" t="s">
        <v>396</v>
      </c>
      <c r="D38" s="11" t="s">
        <v>93</v>
      </c>
      <c r="E38" s="12" t="s">
        <v>92</v>
      </c>
      <c r="F38" s="13" t="s">
        <v>416</v>
      </c>
      <c r="G38" s="14"/>
      <c r="H38" s="15"/>
      <c r="I38" s="16"/>
      <c r="J38" s="33"/>
      <c r="K38" s="188">
        <v>1</v>
      </c>
      <c r="L38" s="188"/>
      <c r="M38" s="189"/>
      <c r="N38" s="28"/>
    </row>
    <row r="39" spans="1:18" ht="39.950000000000003" customHeight="1">
      <c r="A39" s="34"/>
      <c r="B39" s="211" t="s">
        <v>411</v>
      </c>
      <c r="C39" s="212"/>
      <c r="D39" s="213"/>
      <c r="E39" s="39"/>
      <c r="F39" s="35"/>
      <c r="G39" s="35"/>
      <c r="H39" s="35"/>
      <c r="I39" s="36"/>
      <c r="J39" s="37">
        <f>SUM(J38:J38)</f>
        <v>0</v>
      </c>
      <c r="K39" s="37">
        <f>SUM(K38:K38)</f>
        <v>1</v>
      </c>
      <c r="L39" s="37">
        <f>SUM(L38:L38)</f>
        <v>0</v>
      </c>
      <c r="M39" s="37">
        <f>SUM(M38:M38)</f>
        <v>0</v>
      </c>
      <c r="N39" s="28"/>
      <c r="O39" s="21"/>
      <c r="P39" s="21"/>
    </row>
    <row r="40" spans="1:18" s="21" customFormat="1" ht="39.950000000000003" customHeight="1">
      <c r="A40" s="9">
        <v>1</v>
      </c>
      <c r="B40" s="10">
        <v>9042</v>
      </c>
      <c r="C40" s="11" t="s">
        <v>412</v>
      </c>
      <c r="D40" s="11" t="s">
        <v>413</v>
      </c>
      <c r="E40" s="12" t="s">
        <v>414</v>
      </c>
      <c r="F40" s="13" t="s">
        <v>81</v>
      </c>
      <c r="G40" s="14"/>
      <c r="H40" s="15"/>
      <c r="I40" s="16"/>
      <c r="J40" s="26"/>
      <c r="K40" s="27">
        <v>1</v>
      </c>
      <c r="L40" s="27"/>
      <c r="M40" s="28"/>
      <c r="N40" s="28"/>
    </row>
    <row r="41" spans="1:18" ht="39.950000000000003" customHeight="1">
      <c r="A41" s="34"/>
      <c r="B41" s="211" t="s">
        <v>97</v>
      </c>
      <c r="C41" s="212"/>
      <c r="D41" s="213"/>
      <c r="E41" s="39"/>
      <c r="F41" s="35"/>
      <c r="G41" s="35"/>
      <c r="H41" s="35"/>
      <c r="I41" s="36"/>
      <c r="J41" s="37">
        <f>SUM(J40)</f>
        <v>0</v>
      </c>
      <c r="K41" s="37">
        <f>SUM(K40)</f>
        <v>1</v>
      </c>
      <c r="L41" s="37">
        <f>SUM(L40)</f>
        <v>0</v>
      </c>
      <c r="M41" s="37">
        <f>SUM(M40)</f>
        <v>0</v>
      </c>
      <c r="N41" s="28"/>
      <c r="O41" s="21"/>
      <c r="P41" s="21"/>
    </row>
    <row r="42" spans="1:18" s="21" customFormat="1" ht="39.950000000000003" customHeight="1">
      <c r="A42" s="9">
        <v>1</v>
      </c>
      <c r="B42" s="193">
        <v>9048</v>
      </c>
      <c r="C42" s="32" t="s">
        <v>460</v>
      </c>
      <c r="D42" s="11" t="s">
        <v>461</v>
      </c>
      <c r="E42" s="12" t="s">
        <v>100</v>
      </c>
      <c r="F42" s="13">
        <v>0</v>
      </c>
      <c r="G42" s="14"/>
      <c r="H42" s="15"/>
      <c r="I42" s="16" t="s">
        <v>462</v>
      </c>
      <c r="J42" s="17">
        <v>1</v>
      </c>
      <c r="K42" s="18">
        <v>0</v>
      </c>
      <c r="L42" s="18"/>
      <c r="M42" s="194"/>
      <c r="N42" s="18"/>
    </row>
    <row r="43" spans="1:18" s="21" customFormat="1" ht="39.950000000000003" customHeight="1">
      <c r="A43" s="9">
        <v>2</v>
      </c>
      <c r="B43" s="10">
        <v>9019</v>
      </c>
      <c r="C43" s="11" t="s">
        <v>397</v>
      </c>
      <c r="D43" s="11" t="s">
        <v>398</v>
      </c>
      <c r="E43" s="12" t="s">
        <v>99</v>
      </c>
      <c r="F43" s="13" t="s">
        <v>416</v>
      </c>
      <c r="G43" s="14"/>
      <c r="H43" s="15"/>
      <c r="I43" s="16"/>
      <c r="J43" s="187"/>
      <c r="K43" s="187">
        <v>1</v>
      </c>
      <c r="L43" s="187"/>
      <c r="M43" s="187"/>
      <c r="N43" s="18"/>
    </row>
    <row r="44" spans="1:18" ht="39.950000000000003" customHeight="1">
      <c r="A44" s="39"/>
      <c r="B44" s="212" t="s">
        <v>422</v>
      </c>
      <c r="C44" s="212"/>
      <c r="D44" s="212"/>
      <c r="E44" s="35"/>
      <c r="F44" s="35"/>
      <c r="G44" s="35"/>
      <c r="H44" s="35"/>
      <c r="I44" s="36"/>
      <c r="J44" s="37">
        <f>SUM(J43:J43)</f>
        <v>0</v>
      </c>
      <c r="K44" s="37">
        <f>SUM(K42:K43)</f>
        <v>1</v>
      </c>
      <c r="L44" s="37">
        <f t="shared" ref="L44:M44" si="0">SUM(L42:L43)</f>
        <v>0</v>
      </c>
      <c r="M44" s="37">
        <f t="shared" si="0"/>
        <v>0</v>
      </c>
      <c r="N44" s="28"/>
      <c r="O44" s="21"/>
      <c r="P44" s="21"/>
    </row>
    <row r="45" spans="1:18" s="21" customFormat="1" ht="39.950000000000003" customHeight="1">
      <c r="A45" s="9">
        <v>1</v>
      </c>
      <c r="B45" s="10">
        <v>9039</v>
      </c>
      <c r="C45" s="11" t="s">
        <v>423</v>
      </c>
      <c r="D45" s="11" t="s">
        <v>424</v>
      </c>
      <c r="E45" s="12" t="s">
        <v>110</v>
      </c>
      <c r="F45" s="13">
        <v>0</v>
      </c>
      <c r="G45" s="14"/>
      <c r="H45" s="15"/>
      <c r="I45" s="184" t="s">
        <v>425</v>
      </c>
      <c r="J45" s="26"/>
      <c r="K45" s="27">
        <v>0</v>
      </c>
      <c r="L45" s="27"/>
      <c r="M45" s="28">
        <v>1</v>
      </c>
      <c r="N45" s="18"/>
    </row>
    <row r="46" spans="1:18" s="21" customFormat="1" ht="39.950000000000003" customHeight="1">
      <c r="A46" s="9"/>
      <c r="B46" s="10"/>
      <c r="C46" s="11"/>
      <c r="D46" s="11"/>
      <c r="E46" s="12"/>
      <c r="F46" s="13"/>
      <c r="G46" s="14"/>
      <c r="H46" s="15"/>
      <c r="I46" s="16"/>
      <c r="J46" s="27">
        <f>SUM(J45)</f>
        <v>0</v>
      </c>
      <c r="K46" s="27">
        <f>SUM(K45)</f>
        <v>0</v>
      </c>
      <c r="L46" s="27">
        <f>SUM(L45)</f>
        <v>0</v>
      </c>
      <c r="M46" s="27">
        <f>SUM(M45)</f>
        <v>1</v>
      </c>
      <c r="N46" s="18"/>
    </row>
    <row r="47" spans="1:18" ht="45.75" customHeight="1">
      <c r="B47" s="45"/>
      <c r="D47" s="47"/>
      <c r="E47" s="48"/>
      <c r="F47" s="49"/>
      <c r="G47" s="45"/>
      <c r="H47" s="45"/>
      <c r="I47" s="48"/>
      <c r="N47" s="51"/>
      <c r="Q47" s="52" t="s">
        <v>247</v>
      </c>
      <c r="R47" s="53">
        <f>+A43+A38+A36+A40</f>
        <v>38</v>
      </c>
    </row>
    <row r="48" spans="1:18" ht="45.75" customHeight="1">
      <c r="A48" s="219" t="s">
        <v>72</v>
      </c>
      <c r="B48" s="219"/>
      <c r="C48" s="219"/>
      <c r="D48" s="54"/>
      <c r="E48" s="54" t="s">
        <v>248</v>
      </c>
      <c r="F48" s="54"/>
      <c r="G48" s="55"/>
      <c r="H48" s="45"/>
      <c r="I48" s="55" t="s">
        <v>59</v>
      </c>
      <c r="Q48" s="52" t="s">
        <v>249</v>
      </c>
      <c r="R48" s="53">
        <f>+M47+L47+K47+J47</f>
        <v>0</v>
      </c>
    </row>
    <row r="49" spans="1:9" ht="45.75" customHeight="1">
      <c r="A49" s="219" t="s">
        <v>427</v>
      </c>
      <c r="B49" s="219"/>
      <c r="C49" s="219"/>
      <c r="D49" s="169"/>
      <c r="E49" s="59" t="s">
        <v>250</v>
      </c>
      <c r="F49" s="169"/>
      <c r="G49" s="170"/>
      <c r="H49" s="48"/>
      <c r="I49" s="59" t="s">
        <v>459</v>
      </c>
    </row>
    <row r="50" spans="1:9" ht="45.75" customHeight="1">
      <c r="A50" s="60"/>
      <c r="B50" s="60"/>
      <c r="C50" s="60"/>
      <c r="D50" s="60"/>
      <c r="E50" s="61"/>
      <c r="F50" s="61"/>
      <c r="G50" s="61"/>
      <c r="H50" s="61"/>
      <c r="I50" s="61"/>
    </row>
    <row r="51" spans="1:9" ht="45.75" customHeight="1">
      <c r="A51" s="62"/>
      <c r="B51" s="62"/>
      <c r="C51" s="62"/>
      <c r="D51" s="62"/>
      <c r="E51" s="62"/>
      <c r="F51" s="62"/>
      <c r="G51" s="45"/>
      <c r="H51" s="45"/>
      <c r="I51" s="55"/>
    </row>
    <row r="52" spans="1:9" ht="45.75" customHeight="1">
      <c r="A52" s="54"/>
      <c r="B52" s="54"/>
      <c r="C52" s="54"/>
      <c r="D52" s="54"/>
      <c r="E52" s="62"/>
      <c r="F52" s="55"/>
      <c r="G52" s="55"/>
      <c r="H52" s="45"/>
      <c r="I52" s="171"/>
    </row>
    <row r="53" spans="1:9" ht="45.75" customHeight="1">
      <c r="B53" s="55"/>
      <c r="C53" s="54"/>
      <c r="D53" s="54"/>
      <c r="E53" s="61"/>
      <c r="F53" s="55"/>
      <c r="G53" s="61"/>
      <c r="H53" s="61"/>
      <c r="I53" s="55"/>
    </row>
    <row r="54" spans="1:9" ht="45.75" customHeight="1">
      <c r="A54" s="219" t="s">
        <v>251</v>
      </c>
      <c r="B54" s="219"/>
      <c r="C54" s="219"/>
      <c r="D54" s="54"/>
      <c r="E54" s="55" t="s">
        <v>252</v>
      </c>
      <c r="F54" s="54"/>
      <c r="G54" s="55"/>
      <c r="H54" s="55"/>
      <c r="I54" s="171" t="s">
        <v>18</v>
      </c>
    </row>
    <row r="55" spans="1:9" ht="45.75" customHeight="1">
      <c r="A55" s="219" t="s">
        <v>253</v>
      </c>
      <c r="B55" s="219"/>
      <c r="C55" s="219"/>
      <c r="D55" s="54"/>
      <c r="E55" s="55" t="s">
        <v>254</v>
      </c>
      <c r="F55" s="54"/>
      <c r="G55" s="55"/>
      <c r="H55" s="55"/>
      <c r="I55" s="55"/>
    </row>
    <row r="56" spans="1:9" ht="45.75" customHeight="1">
      <c r="B56" s="63"/>
      <c r="D56" s="64"/>
      <c r="E56" s="62"/>
      <c r="F56" s="65"/>
      <c r="G56" s="49"/>
      <c r="H56" s="49"/>
      <c r="I56" s="171"/>
    </row>
    <row r="62" spans="1:9">
      <c r="E62" s="57"/>
      <c r="F62" s="57"/>
      <c r="G62" s="57"/>
      <c r="H62" s="57"/>
    </row>
    <row r="63" spans="1:9">
      <c r="E63" s="57"/>
      <c r="F63" s="57"/>
      <c r="G63" s="57"/>
      <c r="H63" s="57"/>
    </row>
    <row r="64" spans="1:9">
      <c r="E64" s="57"/>
      <c r="F64" s="57"/>
      <c r="G64" s="57"/>
      <c r="H64" s="57"/>
    </row>
    <row r="65" spans="2:2">
      <c r="B65" s="44"/>
    </row>
    <row r="66" spans="2:2">
      <c r="B66" s="44"/>
    </row>
    <row r="67" spans="2:2">
      <c r="B67" s="44"/>
    </row>
    <row r="68" spans="2:2">
      <c r="B68" s="44"/>
    </row>
    <row r="69" spans="2:2">
      <c r="B69" s="44"/>
    </row>
    <row r="70" spans="2:2">
      <c r="B70" s="44"/>
    </row>
    <row r="71" spans="2:2">
      <c r="B71" s="44"/>
    </row>
    <row r="72" spans="2:2">
      <c r="B72" s="44"/>
    </row>
    <row r="73" spans="2:2">
      <c r="B73" s="44"/>
    </row>
    <row r="74" spans="2:2">
      <c r="B74" s="44"/>
    </row>
    <row r="75" spans="2:2">
      <c r="B75" s="44"/>
    </row>
    <row r="76" spans="2:2">
      <c r="B76" s="44"/>
    </row>
    <row r="77" spans="2:2">
      <c r="B77" s="44"/>
    </row>
  </sheetData>
  <autoFilter ref="A2:O49" xr:uid="{00000000-0009-0000-0000-000002000000}"/>
  <mergeCells count="14">
    <mergeCell ref="A48:C48"/>
    <mergeCell ref="A49:C49"/>
    <mergeCell ref="A54:C54"/>
    <mergeCell ref="A55:C55"/>
    <mergeCell ref="M1:M2"/>
    <mergeCell ref="B41:D41"/>
    <mergeCell ref="B44:D44"/>
    <mergeCell ref="N1:N2"/>
    <mergeCell ref="B39:D39"/>
    <mergeCell ref="J1:J2"/>
    <mergeCell ref="K1:K2"/>
    <mergeCell ref="L1:L2"/>
    <mergeCell ref="B37:D37"/>
    <mergeCell ref="A1:D1"/>
  </mergeCells>
  <conditionalFormatting sqref="B137:B145 B78:B123 B125:B129">
    <cfRule type="duplicateValues" dxfId="283" priority="3130"/>
    <cfRule type="duplicateValues" dxfId="282" priority="3131"/>
  </conditionalFormatting>
  <conditionalFormatting sqref="B137:B145 B78:B123 B125:B129">
    <cfRule type="duplicateValues" dxfId="281" priority="3129"/>
  </conditionalFormatting>
  <conditionalFormatting sqref="B137:B145">
    <cfRule type="duplicateValues" dxfId="280" priority="3132"/>
    <cfRule type="duplicateValues" dxfId="279" priority="3133"/>
  </conditionalFormatting>
  <conditionalFormatting sqref="B130:B134">
    <cfRule type="duplicateValues" dxfId="278" priority="3126"/>
    <cfRule type="duplicateValues" dxfId="277" priority="3127"/>
  </conditionalFormatting>
  <conditionalFormatting sqref="B130:B134">
    <cfRule type="duplicateValues" dxfId="276" priority="3128"/>
  </conditionalFormatting>
  <conditionalFormatting sqref="B135:B136">
    <cfRule type="duplicateValues" dxfId="275" priority="3123"/>
    <cfRule type="duplicateValues" dxfId="274" priority="3124"/>
  </conditionalFormatting>
  <conditionalFormatting sqref="B135:B136">
    <cfRule type="duplicateValues" dxfId="273" priority="3125"/>
  </conditionalFormatting>
  <conditionalFormatting sqref="B146">
    <cfRule type="duplicateValues" dxfId="272" priority="3118"/>
    <cfRule type="duplicateValues" dxfId="271" priority="3119"/>
  </conditionalFormatting>
  <conditionalFormatting sqref="B146:B194">
    <cfRule type="duplicateValues" dxfId="270" priority="3120"/>
    <cfRule type="duplicateValues" dxfId="269" priority="3121"/>
  </conditionalFormatting>
  <conditionalFormatting sqref="B146:B194">
    <cfRule type="duplicateValues" dxfId="268" priority="3122"/>
  </conditionalFormatting>
  <conditionalFormatting sqref="B78:B123 B125:B194">
    <cfRule type="duplicateValues" dxfId="267" priority="3117"/>
  </conditionalFormatting>
  <conditionalFormatting sqref="B78:B123">
    <cfRule type="duplicateValues" dxfId="266" priority="3116"/>
  </conditionalFormatting>
  <conditionalFormatting sqref="B124">
    <cfRule type="duplicateValues" dxfId="265" priority="3114"/>
    <cfRule type="duplicateValues" dxfId="264" priority="3115"/>
  </conditionalFormatting>
  <conditionalFormatting sqref="B124">
    <cfRule type="duplicateValues" dxfId="263" priority="3113"/>
  </conditionalFormatting>
  <conditionalFormatting sqref="B124">
    <cfRule type="duplicateValues" dxfId="262" priority="3112"/>
  </conditionalFormatting>
  <conditionalFormatting sqref="B124">
    <cfRule type="duplicateValues" dxfId="261" priority="3111"/>
  </conditionalFormatting>
  <conditionalFormatting sqref="B78:B1048576 B47:B64 B43 B2:B36 B38">
    <cfRule type="duplicateValues" dxfId="260" priority="18481"/>
  </conditionalFormatting>
  <conditionalFormatting sqref="B78:B1048576">
    <cfRule type="duplicateValues" dxfId="259" priority="18523"/>
  </conditionalFormatting>
  <conditionalFormatting sqref="D168:D1048576 D47:D61 D43 D2:D36 D38">
    <cfRule type="duplicateValues" dxfId="258" priority="18642"/>
    <cfRule type="duplicateValues" dxfId="257" priority="18643"/>
  </conditionalFormatting>
  <conditionalFormatting sqref="B78:B1048576 B47:B64 B43 B2:B36 B38">
    <cfRule type="duplicateValues" dxfId="256" priority="18756"/>
    <cfRule type="duplicateValues" dxfId="255" priority="18757"/>
    <cfRule type="duplicateValues" dxfId="254" priority="18758"/>
    <cfRule type="duplicateValues" dxfId="253" priority="18759"/>
  </conditionalFormatting>
  <conditionalFormatting sqref="D168:D1048576 D47:D61 D43 D2:D36 D38">
    <cfRule type="duplicateValues" dxfId="252" priority="19002"/>
  </conditionalFormatting>
  <conditionalFormatting sqref="C47:C1048576 C43 C2:C36 C38">
    <cfRule type="duplicateValues" dxfId="251" priority="82453"/>
  </conditionalFormatting>
  <conditionalFormatting sqref="B47:B1048576 B43 B2:B36 B38">
    <cfRule type="duplicateValues" dxfId="250" priority="82456"/>
  </conditionalFormatting>
  <conditionalFormatting sqref="B47:B1048576">
    <cfRule type="duplicateValues" dxfId="249" priority="82470"/>
  </conditionalFormatting>
  <conditionalFormatting sqref="C47:C1048576 C43 C2:C36 C38">
    <cfRule type="duplicateValues" dxfId="248" priority="82569"/>
    <cfRule type="duplicateValues" dxfId="247" priority="82570"/>
    <cfRule type="duplicateValues" dxfId="246" priority="82571"/>
  </conditionalFormatting>
  <conditionalFormatting sqref="D47:D1048576 D43 D2:D36 D38">
    <cfRule type="duplicateValues" dxfId="245" priority="82581"/>
  </conditionalFormatting>
  <conditionalFormatting sqref="B47:B1048576 B43 B38">
    <cfRule type="duplicateValues" dxfId="244" priority="82645"/>
  </conditionalFormatting>
  <conditionalFormatting sqref="B43 B38">
    <cfRule type="duplicateValues" dxfId="243" priority="82650"/>
  </conditionalFormatting>
  <conditionalFormatting sqref="D47:D1048576 D43 D38">
    <cfRule type="duplicateValues" dxfId="242" priority="82654"/>
  </conditionalFormatting>
  <conditionalFormatting sqref="D47:D1048576 D43 D2:D36 D38">
    <cfRule type="duplicateValues" dxfId="241" priority="82658"/>
    <cfRule type="duplicateValues" dxfId="240" priority="82659"/>
  </conditionalFormatting>
  <conditionalFormatting sqref="B37">
    <cfRule type="duplicateValues" dxfId="239" priority="204"/>
  </conditionalFormatting>
  <conditionalFormatting sqref="D37">
    <cfRule type="duplicateValues" dxfId="238" priority="202"/>
    <cfRule type="duplicateValues" dxfId="237" priority="203"/>
  </conditionalFormatting>
  <conditionalFormatting sqref="B37">
    <cfRule type="duplicateValues" dxfId="236" priority="201"/>
  </conditionalFormatting>
  <conditionalFormatting sqref="B37">
    <cfRule type="duplicateValues" dxfId="235" priority="197"/>
    <cfRule type="duplicateValues" dxfId="234" priority="198"/>
    <cfRule type="duplicateValues" dxfId="233" priority="199"/>
    <cfRule type="duplicateValues" dxfId="232" priority="200"/>
  </conditionalFormatting>
  <conditionalFormatting sqref="D37">
    <cfRule type="duplicateValues" dxfId="231" priority="196"/>
  </conditionalFormatting>
  <conditionalFormatting sqref="C37">
    <cfRule type="duplicateValues" dxfId="230" priority="195"/>
  </conditionalFormatting>
  <conditionalFormatting sqref="B37">
    <cfRule type="duplicateValues" dxfId="229" priority="194"/>
  </conditionalFormatting>
  <conditionalFormatting sqref="C37">
    <cfRule type="duplicateValues" dxfId="228" priority="191"/>
    <cfRule type="duplicateValues" dxfId="227" priority="192"/>
    <cfRule type="duplicateValues" dxfId="226" priority="193"/>
  </conditionalFormatting>
  <conditionalFormatting sqref="D37">
    <cfRule type="duplicateValues" dxfId="225" priority="190"/>
  </conditionalFormatting>
  <conditionalFormatting sqref="B37">
    <cfRule type="duplicateValues" dxfId="224" priority="189"/>
  </conditionalFormatting>
  <conditionalFormatting sqref="B37">
    <cfRule type="duplicateValues" dxfId="223" priority="188"/>
  </conditionalFormatting>
  <conditionalFormatting sqref="D37">
    <cfRule type="duplicateValues" dxfId="222" priority="187"/>
  </conditionalFormatting>
  <conditionalFormatting sqref="D37">
    <cfRule type="duplicateValues" dxfId="221" priority="185"/>
    <cfRule type="duplicateValues" dxfId="220" priority="186"/>
  </conditionalFormatting>
  <conditionalFormatting sqref="B41">
    <cfRule type="duplicateValues" dxfId="219" priority="164"/>
  </conditionalFormatting>
  <conditionalFormatting sqref="D41">
    <cfRule type="duplicateValues" dxfId="218" priority="162"/>
    <cfRule type="duplicateValues" dxfId="217" priority="163"/>
  </conditionalFormatting>
  <conditionalFormatting sqref="B41">
    <cfRule type="duplicateValues" dxfId="216" priority="158"/>
    <cfRule type="duplicateValues" dxfId="215" priority="159"/>
    <cfRule type="duplicateValues" dxfId="214" priority="160"/>
    <cfRule type="duplicateValues" dxfId="213" priority="161"/>
  </conditionalFormatting>
  <conditionalFormatting sqref="D41">
    <cfRule type="duplicateValues" dxfId="212" priority="157"/>
  </conditionalFormatting>
  <conditionalFormatting sqref="C41">
    <cfRule type="duplicateValues" dxfId="211" priority="156"/>
  </conditionalFormatting>
  <conditionalFormatting sqref="B41">
    <cfRule type="duplicateValues" dxfId="210" priority="155"/>
  </conditionalFormatting>
  <conditionalFormatting sqref="C41">
    <cfRule type="duplicateValues" dxfId="209" priority="152"/>
    <cfRule type="duplicateValues" dxfId="208" priority="153"/>
    <cfRule type="duplicateValues" dxfId="207" priority="154"/>
  </conditionalFormatting>
  <conditionalFormatting sqref="D41">
    <cfRule type="duplicateValues" dxfId="206" priority="151"/>
  </conditionalFormatting>
  <conditionalFormatting sqref="B41">
    <cfRule type="duplicateValues" dxfId="205" priority="150"/>
  </conditionalFormatting>
  <conditionalFormatting sqref="B41">
    <cfRule type="duplicateValues" dxfId="204" priority="149"/>
  </conditionalFormatting>
  <conditionalFormatting sqref="D41">
    <cfRule type="duplicateValues" dxfId="203" priority="148"/>
  </conditionalFormatting>
  <conditionalFormatting sqref="D41">
    <cfRule type="duplicateValues" dxfId="202" priority="146"/>
    <cfRule type="duplicateValues" dxfId="201" priority="147"/>
  </conditionalFormatting>
  <conditionalFormatting sqref="B39">
    <cfRule type="duplicateValues" dxfId="200" priority="145"/>
  </conditionalFormatting>
  <conditionalFormatting sqref="C39">
    <cfRule type="duplicateValues" dxfId="199" priority="144"/>
  </conditionalFormatting>
  <conditionalFormatting sqref="C39">
    <cfRule type="duplicateValues" dxfId="198" priority="142"/>
    <cfRule type="duplicateValues" dxfId="197" priority="143"/>
  </conditionalFormatting>
  <conditionalFormatting sqref="C39:D39">
    <cfRule type="duplicateValues" dxfId="196" priority="140"/>
    <cfRule type="duplicateValues" dxfId="195" priority="141"/>
  </conditionalFormatting>
  <conditionalFormatting sqref="B39">
    <cfRule type="duplicateValues" dxfId="194" priority="139"/>
  </conditionalFormatting>
  <conditionalFormatting sqref="B39">
    <cfRule type="duplicateValues" dxfId="193" priority="138"/>
  </conditionalFormatting>
  <conditionalFormatting sqref="B40">
    <cfRule type="duplicateValues" dxfId="192" priority="137"/>
  </conditionalFormatting>
  <conditionalFormatting sqref="D40">
    <cfRule type="duplicateValues" dxfId="191" priority="135"/>
    <cfRule type="duplicateValues" dxfId="190" priority="136"/>
  </conditionalFormatting>
  <conditionalFormatting sqref="B40">
    <cfRule type="duplicateValues" dxfId="189" priority="131"/>
    <cfRule type="duplicateValues" dxfId="188" priority="132"/>
    <cfRule type="duplicateValues" dxfId="187" priority="133"/>
    <cfRule type="duplicateValues" dxfId="186" priority="134"/>
  </conditionalFormatting>
  <conditionalFormatting sqref="D40">
    <cfRule type="duplicateValues" dxfId="185" priority="130"/>
  </conditionalFormatting>
  <conditionalFormatting sqref="C40">
    <cfRule type="duplicateValues" dxfId="184" priority="129"/>
  </conditionalFormatting>
  <conditionalFormatting sqref="B40">
    <cfRule type="duplicateValues" dxfId="183" priority="128"/>
  </conditionalFormatting>
  <conditionalFormatting sqref="C40">
    <cfRule type="duplicateValues" dxfId="182" priority="125"/>
    <cfRule type="duplicateValues" dxfId="181" priority="126"/>
    <cfRule type="duplicateValues" dxfId="180" priority="127"/>
  </conditionalFormatting>
  <conditionalFormatting sqref="D40">
    <cfRule type="duplicateValues" dxfId="179" priority="124"/>
  </conditionalFormatting>
  <conditionalFormatting sqref="B40">
    <cfRule type="duplicateValues" dxfId="178" priority="123"/>
  </conditionalFormatting>
  <conditionalFormatting sqref="B40">
    <cfRule type="duplicateValues" dxfId="177" priority="122"/>
  </conditionalFormatting>
  <conditionalFormatting sqref="D40">
    <cfRule type="duplicateValues" dxfId="176" priority="121"/>
  </conditionalFormatting>
  <conditionalFormatting sqref="D40">
    <cfRule type="duplicateValues" dxfId="175" priority="119"/>
    <cfRule type="duplicateValues" dxfId="174" priority="120"/>
  </conditionalFormatting>
  <conditionalFormatting sqref="B45:B46">
    <cfRule type="duplicateValues" dxfId="173" priority="99"/>
  </conditionalFormatting>
  <conditionalFormatting sqref="D45:D46">
    <cfRule type="duplicateValues" dxfId="172" priority="97"/>
    <cfRule type="duplicateValues" dxfId="171" priority="98"/>
  </conditionalFormatting>
  <conditionalFormatting sqref="B45:B46">
    <cfRule type="duplicateValues" dxfId="170" priority="93"/>
    <cfRule type="duplicateValues" dxfId="169" priority="94"/>
    <cfRule type="duplicateValues" dxfId="168" priority="95"/>
    <cfRule type="duplicateValues" dxfId="167" priority="96"/>
  </conditionalFormatting>
  <conditionalFormatting sqref="D45:D46">
    <cfRule type="duplicateValues" dxfId="166" priority="92"/>
  </conditionalFormatting>
  <conditionalFormatting sqref="C45:C46">
    <cfRule type="duplicateValues" dxfId="165" priority="91"/>
  </conditionalFormatting>
  <conditionalFormatting sqref="B45:B46">
    <cfRule type="duplicateValues" dxfId="164" priority="90"/>
  </conditionalFormatting>
  <conditionalFormatting sqref="C45:C46">
    <cfRule type="duplicateValues" dxfId="163" priority="87"/>
    <cfRule type="duplicateValues" dxfId="162" priority="88"/>
    <cfRule type="duplicateValues" dxfId="161" priority="89"/>
  </conditionalFormatting>
  <conditionalFormatting sqref="D45:D46">
    <cfRule type="duplicateValues" dxfId="160" priority="86"/>
  </conditionalFormatting>
  <conditionalFormatting sqref="B45:B46">
    <cfRule type="duplicateValues" dxfId="159" priority="85"/>
  </conditionalFormatting>
  <conditionalFormatting sqref="B45:B46">
    <cfRule type="duplicateValues" dxfId="158" priority="84"/>
  </conditionalFormatting>
  <conditionalFormatting sqref="D45:D46">
    <cfRule type="duplicateValues" dxfId="157" priority="83"/>
  </conditionalFormatting>
  <conditionalFormatting sqref="D45:D46">
    <cfRule type="duplicateValues" dxfId="156" priority="81"/>
    <cfRule type="duplicateValues" dxfId="155" priority="82"/>
  </conditionalFormatting>
  <conditionalFormatting sqref="I42">
    <cfRule type="cellIs" dxfId="154" priority="49" operator="equal">
      <formula>"ogleden sonra gitti"</formula>
    </cfRule>
  </conditionalFormatting>
  <conditionalFormatting sqref="I42">
    <cfRule type="cellIs" dxfId="153" priority="47" operator="equal">
      <formula>"ISE CIKMADI"</formula>
    </cfRule>
    <cfRule type="cellIs" dxfId="152" priority="48" operator="equal">
      <formula>"ISE CIKMADI"</formula>
    </cfRule>
  </conditionalFormatting>
  <conditionalFormatting sqref="C42">
    <cfRule type="duplicateValues" dxfId="151" priority="46"/>
  </conditionalFormatting>
  <conditionalFormatting sqref="B42">
    <cfRule type="duplicateValues" dxfId="150" priority="45"/>
  </conditionalFormatting>
  <conditionalFormatting sqref="D42">
    <cfRule type="duplicateValues" dxfId="149" priority="44"/>
  </conditionalFormatting>
  <conditionalFormatting sqref="C42">
    <cfRule type="duplicateValues" dxfId="148" priority="43"/>
  </conditionalFormatting>
  <conditionalFormatting sqref="C42">
    <cfRule type="duplicateValues" dxfId="147" priority="42"/>
  </conditionalFormatting>
  <conditionalFormatting sqref="C42">
    <cfRule type="duplicateValues" dxfId="146" priority="41"/>
  </conditionalFormatting>
  <conditionalFormatting sqref="D42">
    <cfRule type="duplicateValues" dxfId="145" priority="40"/>
  </conditionalFormatting>
  <conditionalFormatting sqref="B42:C42">
    <cfRule type="duplicateValues" dxfId="144" priority="39"/>
  </conditionalFormatting>
  <conditionalFormatting sqref="B42">
    <cfRule type="duplicateValues" dxfId="143" priority="38"/>
  </conditionalFormatting>
  <conditionalFormatting sqref="B42">
    <cfRule type="duplicateValues" dxfId="142" priority="31"/>
    <cfRule type="duplicateValues" dxfId="141" priority="32"/>
    <cfRule type="duplicateValues" dxfId="140" priority="33"/>
    <cfRule type="duplicateValues" dxfId="139" priority="34"/>
    <cfRule type="duplicateValues" dxfId="138" priority="35"/>
    <cfRule type="duplicateValues" dxfId="137" priority="36"/>
    <cfRule type="duplicateValues" dxfId="136" priority="37"/>
  </conditionalFormatting>
  <conditionalFormatting sqref="B42">
    <cfRule type="duplicateValues" dxfId="135" priority="30"/>
  </conditionalFormatting>
  <conditionalFormatting sqref="B42">
    <cfRule type="duplicateValues" dxfId="134" priority="28"/>
    <cfRule type="duplicateValues" dxfId="133" priority="29"/>
  </conditionalFormatting>
  <conditionalFormatting sqref="B42">
    <cfRule type="duplicateValues" dxfId="132" priority="26"/>
    <cfRule type="duplicateValues" dxfId="131" priority="27"/>
  </conditionalFormatting>
  <conditionalFormatting sqref="B42">
    <cfRule type="duplicateValues" dxfId="130" priority="25"/>
  </conditionalFormatting>
  <conditionalFormatting sqref="B42:C42">
    <cfRule type="duplicateValues" dxfId="129" priority="24"/>
  </conditionalFormatting>
  <conditionalFormatting sqref="D42">
    <cfRule type="duplicateValues" dxfId="128" priority="23"/>
  </conditionalFormatting>
  <conditionalFormatting sqref="C42">
    <cfRule type="duplicateValues" dxfId="127" priority="22"/>
  </conditionalFormatting>
  <conditionalFormatting sqref="C42">
    <cfRule type="duplicateValues" dxfId="126" priority="20"/>
    <cfRule type="duplicateValues" dxfId="125" priority="21"/>
  </conditionalFormatting>
  <conditionalFormatting sqref="C42">
    <cfRule type="duplicateValues" dxfId="124" priority="19"/>
  </conditionalFormatting>
  <conditionalFormatting sqref="C42">
    <cfRule type="duplicateValues" dxfId="123" priority="18"/>
  </conditionalFormatting>
  <conditionalFormatting sqref="C42">
    <cfRule type="duplicateValues" dxfId="122" priority="17"/>
  </conditionalFormatting>
  <conditionalFormatting sqref="B42:C42">
    <cfRule type="duplicateValues" dxfId="121" priority="16"/>
  </conditionalFormatting>
  <conditionalFormatting sqref="B42">
    <cfRule type="duplicateValues" dxfId="120" priority="15"/>
  </conditionalFormatting>
  <conditionalFormatting sqref="C42">
    <cfRule type="duplicateValues" dxfId="119" priority="14"/>
  </conditionalFormatting>
  <conditionalFormatting sqref="C42">
    <cfRule type="duplicateValues" dxfId="118" priority="12"/>
    <cfRule type="duplicateValues" dxfId="117" priority="13"/>
  </conditionalFormatting>
  <conditionalFormatting sqref="C42">
    <cfRule type="duplicateValues" dxfId="116" priority="11"/>
  </conditionalFormatting>
  <conditionalFormatting sqref="B42">
    <cfRule type="duplicateValues" dxfId="115" priority="10"/>
  </conditionalFormatting>
  <conditionalFormatting sqref="C42">
    <cfRule type="duplicateValues" dxfId="114" priority="9"/>
  </conditionalFormatting>
  <conditionalFormatting sqref="B42">
    <cfRule type="duplicateValues" dxfId="113" priority="8"/>
  </conditionalFormatting>
  <conditionalFormatting sqref="B42:C42">
    <cfRule type="duplicateValues" dxfId="112" priority="7"/>
  </conditionalFormatting>
  <conditionalFormatting sqref="D42">
    <cfRule type="duplicateValues" dxfId="111" priority="6"/>
  </conditionalFormatting>
  <conditionalFormatting sqref="C42">
    <cfRule type="duplicateValues" dxfId="110" priority="5"/>
  </conditionalFormatting>
  <conditionalFormatting sqref="D42">
    <cfRule type="duplicateValues" dxfId="109" priority="4"/>
  </conditionalFormatting>
  <conditionalFormatting sqref="I16">
    <cfRule type="cellIs" dxfId="108" priority="1" operator="equal">
      <formula>"ISE CIKMADI"</formula>
    </cfRule>
    <cfRule type="cellIs" dxfId="107" priority="2" operator="equal">
      <formula>"ISE CIKMADI"</formula>
    </cfRule>
    <cfRule type="cellIs" dxfId="106" priority="3" operator="equal">
      <formula>"ISE CIKMADI"</formula>
    </cfRule>
  </conditionalFormatting>
  <pageMargins left="0.7" right="0.7" top="0.75" bottom="0.75" header="0.3" footer="0.3"/>
  <pageSetup paperSize="9" scale="2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O80"/>
  <sheetViews>
    <sheetView topLeftCell="A58" workbookViewId="0">
      <selection activeCell="I71" sqref="I71"/>
    </sheetView>
  </sheetViews>
  <sheetFormatPr defaultRowHeight="15"/>
  <cols>
    <col min="6" max="6" width="46" customWidth="1"/>
  </cols>
  <sheetData>
    <row r="3" spans="3:15" ht="23.25">
      <c r="C3" s="10">
        <v>4267</v>
      </c>
      <c r="D3" s="42" t="s">
        <v>121</v>
      </c>
      <c r="E3" s="42" t="s">
        <v>122</v>
      </c>
      <c r="F3" s="43" t="s">
        <v>112</v>
      </c>
      <c r="G3" s="25" t="s">
        <v>81</v>
      </c>
      <c r="H3" s="25"/>
      <c r="I3" s="25"/>
      <c r="J3" s="41" t="s">
        <v>111</v>
      </c>
      <c r="K3" s="175"/>
      <c r="L3" s="176">
        <v>1</v>
      </c>
      <c r="M3" s="176"/>
      <c r="N3" s="177"/>
      <c r="O3" s="177"/>
    </row>
    <row r="4" spans="3:15" ht="23.25">
      <c r="C4" s="10">
        <v>4268</v>
      </c>
      <c r="D4" s="42" t="s">
        <v>123</v>
      </c>
      <c r="E4" s="42" t="s">
        <v>124</v>
      </c>
      <c r="F4" s="43" t="s">
        <v>112</v>
      </c>
      <c r="G4" s="25" t="s">
        <v>81</v>
      </c>
      <c r="H4" s="25"/>
      <c r="I4" s="25"/>
      <c r="J4" s="41" t="s">
        <v>111</v>
      </c>
      <c r="K4" s="175"/>
      <c r="L4" s="176">
        <v>1</v>
      </c>
      <c r="M4" s="176"/>
      <c r="N4" s="177"/>
      <c r="O4" s="177"/>
    </row>
    <row r="5" spans="3:15" ht="23.25">
      <c r="C5" s="10">
        <v>5134</v>
      </c>
      <c r="D5" s="42" t="s">
        <v>125</v>
      </c>
      <c r="E5" s="42" t="s">
        <v>126</v>
      </c>
      <c r="F5" s="43" t="s">
        <v>112</v>
      </c>
      <c r="G5" s="25">
        <v>0</v>
      </c>
      <c r="H5" s="25"/>
      <c r="I5" s="25"/>
      <c r="J5" s="172" t="s">
        <v>87</v>
      </c>
      <c r="K5" s="175"/>
      <c r="L5" s="176">
        <v>0</v>
      </c>
      <c r="M5" s="178"/>
      <c r="N5" s="176">
        <v>1</v>
      </c>
      <c r="O5" s="177"/>
    </row>
    <row r="6" spans="3:15" ht="23.25">
      <c r="C6" s="10">
        <v>5268</v>
      </c>
      <c r="D6" s="168" t="s">
        <v>127</v>
      </c>
      <c r="E6" s="42" t="s">
        <v>128</v>
      </c>
      <c r="F6" s="43" t="s">
        <v>112</v>
      </c>
      <c r="G6" s="25">
        <v>0</v>
      </c>
      <c r="H6" s="25"/>
      <c r="I6" s="25"/>
      <c r="J6" s="172" t="s">
        <v>40</v>
      </c>
      <c r="K6" s="175"/>
      <c r="L6" s="176">
        <v>0</v>
      </c>
      <c r="M6" s="178"/>
      <c r="N6" s="176">
        <v>1</v>
      </c>
      <c r="O6" s="179"/>
    </row>
    <row r="7" spans="3:15" ht="23.25">
      <c r="C7" s="10">
        <v>5652</v>
      </c>
      <c r="D7" s="42" t="s">
        <v>133</v>
      </c>
      <c r="E7" s="42" t="s">
        <v>134</v>
      </c>
      <c r="F7" s="43" t="s">
        <v>113</v>
      </c>
      <c r="G7" s="25">
        <v>7.5</v>
      </c>
      <c r="H7" s="25">
        <v>2.5</v>
      </c>
      <c r="I7" s="25">
        <f t="shared" ref="I7:I43" si="0">IF(H7&gt;0,(H7*1.5)+G7,"YOK")</f>
        <v>11.25</v>
      </c>
      <c r="J7" s="41" t="s">
        <v>340</v>
      </c>
      <c r="K7" s="175"/>
      <c r="L7" s="176">
        <v>1</v>
      </c>
      <c r="M7" s="176"/>
      <c r="N7" s="177"/>
      <c r="O7" s="177"/>
    </row>
    <row r="8" spans="3:15" ht="23.25">
      <c r="C8" s="10">
        <v>4278</v>
      </c>
      <c r="D8" s="168" t="s">
        <v>131</v>
      </c>
      <c r="E8" s="42" t="s">
        <v>132</v>
      </c>
      <c r="F8" s="43" t="s">
        <v>113</v>
      </c>
      <c r="G8" s="25">
        <v>7.5</v>
      </c>
      <c r="H8" s="25">
        <v>2.5</v>
      </c>
      <c r="I8" s="25">
        <f t="shared" si="0"/>
        <v>11.25</v>
      </c>
      <c r="J8" s="41" t="s">
        <v>340</v>
      </c>
      <c r="K8" s="175"/>
      <c r="L8" s="176">
        <v>1</v>
      </c>
      <c r="M8" s="176"/>
      <c r="N8" s="177"/>
      <c r="O8" s="177"/>
    </row>
    <row r="9" spans="3:15" ht="23.25">
      <c r="C9" s="10">
        <v>5271</v>
      </c>
      <c r="D9" s="168" t="s">
        <v>143</v>
      </c>
      <c r="E9" s="42" t="s">
        <v>144</v>
      </c>
      <c r="F9" s="43" t="s">
        <v>114</v>
      </c>
      <c r="G9" s="25">
        <v>7.5</v>
      </c>
      <c r="H9" s="25">
        <v>2.5</v>
      </c>
      <c r="I9" s="25">
        <f t="shared" si="0"/>
        <v>11.25</v>
      </c>
      <c r="J9" s="41" t="s">
        <v>340</v>
      </c>
      <c r="K9" s="175"/>
      <c r="L9" s="176">
        <v>1</v>
      </c>
      <c r="M9" s="176"/>
      <c r="N9" s="177"/>
      <c r="O9" s="177"/>
    </row>
    <row r="10" spans="3:15" ht="23.25">
      <c r="C10" s="10">
        <v>5047</v>
      </c>
      <c r="D10" s="168" t="s">
        <v>162</v>
      </c>
      <c r="E10" s="42" t="s">
        <v>163</v>
      </c>
      <c r="F10" s="43" t="s">
        <v>115</v>
      </c>
      <c r="G10" s="25">
        <v>7.5</v>
      </c>
      <c r="H10" s="25">
        <v>2.5</v>
      </c>
      <c r="I10" s="25">
        <f t="shared" si="0"/>
        <v>11.25</v>
      </c>
      <c r="J10" s="41" t="s">
        <v>340</v>
      </c>
      <c r="K10" s="175"/>
      <c r="L10" s="176">
        <v>1</v>
      </c>
      <c r="M10" s="176"/>
      <c r="N10" s="177"/>
      <c r="O10" s="177"/>
    </row>
    <row r="11" spans="3:15" ht="23.25">
      <c r="C11" s="10">
        <v>5424</v>
      </c>
      <c r="D11" s="168" t="s">
        <v>347</v>
      </c>
      <c r="E11" s="42" t="s">
        <v>348</v>
      </c>
      <c r="F11" s="43" t="s">
        <v>115</v>
      </c>
      <c r="G11" s="25">
        <v>7.5</v>
      </c>
      <c r="H11" s="25">
        <v>2.5</v>
      </c>
      <c r="I11" s="25">
        <f t="shared" si="0"/>
        <v>11.25</v>
      </c>
      <c r="J11" s="41" t="s">
        <v>340</v>
      </c>
      <c r="K11" s="175"/>
      <c r="L11" s="176">
        <v>1</v>
      </c>
      <c r="M11" s="176"/>
      <c r="N11" s="177"/>
      <c r="O11" s="177"/>
    </row>
    <row r="12" spans="3:15" ht="23.25">
      <c r="C12" s="10">
        <v>4633</v>
      </c>
      <c r="D12" s="168" t="s">
        <v>155</v>
      </c>
      <c r="E12" s="42" t="s">
        <v>156</v>
      </c>
      <c r="F12" s="43" t="s">
        <v>115</v>
      </c>
      <c r="G12" s="25">
        <v>7.5</v>
      </c>
      <c r="H12" s="25">
        <v>2.5</v>
      </c>
      <c r="I12" s="25">
        <f t="shared" si="0"/>
        <v>11.25</v>
      </c>
      <c r="J12" s="41" t="s">
        <v>342</v>
      </c>
      <c r="K12" s="175"/>
      <c r="L12" s="176">
        <v>1</v>
      </c>
      <c r="M12" s="176"/>
      <c r="N12" s="177"/>
      <c r="O12" s="179"/>
    </row>
    <row r="13" spans="3:15" ht="23.25">
      <c r="C13" s="10">
        <v>5445</v>
      </c>
      <c r="D13" s="168" t="s">
        <v>350</v>
      </c>
      <c r="E13" s="42" t="s">
        <v>351</v>
      </c>
      <c r="F13" s="43" t="s">
        <v>115</v>
      </c>
      <c r="G13" s="25">
        <v>7.5</v>
      </c>
      <c r="H13" s="25">
        <v>2.5</v>
      </c>
      <c r="I13" s="25">
        <f t="shared" si="0"/>
        <v>11.25</v>
      </c>
      <c r="J13" s="41" t="s">
        <v>342</v>
      </c>
      <c r="K13" s="175"/>
      <c r="L13" s="176">
        <v>1</v>
      </c>
      <c r="M13" s="176"/>
      <c r="N13" s="177"/>
      <c r="O13" s="179"/>
    </row>
    <row r="14" spans="3:15" ht="23.25">
      <c r="C14" s="10">
        <v>4998</v>
      </c>
      <c r="D14" s="168" t="s">
        <v>160</v>
      </c>
      <c r="E14" s="42" t="s">
        <v>161</v>
      </c>
      <c r="F14" s="43" t="s">
        <v>115</v>
      </c>
      <c r="G14" s="25">
        <v>7.5</v>
      </c>
      <c r="H14" s="25">
        <v>2.5</v>
      </c>
      <c r="I14" s="25">
        <f t="shared" si="0"/>
        <v>11.25</v>
      </c>
      <c r="J14" s="41" t="s">
        <v>342</v>
      </c>
      <c r="K14" s="175"/>
      <c r="L14" s="176">
        <v>1</v>
      </c>
      <c r="M14" s="176"/>
      <c r="N14" s="177"/>
      <c r="O14" s="179"/>
    </row>
    <row r="15" spans="3:15" ht="23.25">
      <c r="C15" s="10">
        <v>5715</v>
      </c>
      <c r="D15" s="168" t="s">
        <v>379</v>
      </c>
      <c r="E15" s="42" t="s">
        <v>380</v>
      </c>
      <c r="F15" s="43" t="s">
        <v>115</v>
      </c>
      <c r="G15" s="25">
        <v>7.5</v>
      </c>
      <c r="H15" s="25">
        <v>2.5</v>
      </c>
      <c r="I15" s="25">
        <f t="shared" si="0"/>
        <v>11.25</v>
      </c>
      <c r="J15" s="41" t="s">
        <v>342</v>
      </c>
      <c r="K15" s="175"/>
      <c r="L15" s="176">
        <v>1</v>
      </c>
      <c r="M15" s="176"/>
      <c r="N15" s="177"/>
      <c r="O15" s="179"/>
    </row>
    <row r="16" spans="3:15" ht="23.25">
      <c r="C16" s="10">
        <v>5713</v>
      </c>
      <c r="D16" s="168" t="s">
        <v>383</v>
      </c>
      <c r="E16" s="42" t="s">
        <v>384</v>
      </c>
      <c r="F16" s="43" t="s">
        <v>115</v>
      </c>
      <c r="G16" s="25">
        <v>7.5</v>
      </c>
      <c r="H16" s="25">
        <v>2.5</v>
      </c>
      <c r="I16" s="25">
        <f t="shared" si="0"/>
        <v>11.25</v>
      </c>
      <c r="J16" s="41" t="s">
        <v>342</v>
      </c>
      <c r="K16" s="175"/>
      <c r="L16" s="176">
        <v>1</v>
      </c>
      <c r="M16" s="176"/>
      <c r="N16" s="177"/>
      <c r="O16" s="179"/>
    </row>
    <row r="17" spans="3:15" ht="23.25">
      <c r="C17" s="10">
        <v>5719</v>
      </c>
      <c r="D17" s="168" t="s">
        <v>388</v>
      </c>
      <c r="E17" s="42" t="s">
        <v>389</v>
      </c>
      <c r="F17" s="43" t="s">
        <v>115</v>
      </c>
      <c r="G17" s="25">
        <v>7.5</v>
      </c>
      <c r="H17" s="25">
        <v>2.5</v>
      </c>
      <c r="I17" s="25">
        <f t="shared" si="0"/>
        <v>11.25</v>
      </c>
      <c r="J17" s="41" t="s">
        <v>342</v>
      </c>
      <c r="K17" s="175"/>
      <c r="L17" s="176">
        <v>1</v>
      </c>
      <c r="M17" s="176"/>
      <c r="N17" s="177"/>
      <c r="O17" s="179"/>
    </row>
    <row r="18" spans="3:15" ht="23.25">
      <c r="C18" s="10">
        <v>5105</v>
      </c>
      <c r="D18" s="168" t="s">
        <v>159</v>
      </c>
      <c r="E18" s="42" t="s">
        <v>360</v>
      </c>
      <c r="F18" s="43" t="s">
        <v>115</v>
      </c>
      <c r="G18" s="25">
        <v>7.5</v>
      </c>
      <c r="H18" s="25">
        <v>2.5</v>
      </c>
      <c r="I18" s="25">
        <f t="shared" si="0"/>
        <v>11.25</v>
      </c>
      <c r="J18" s="41" t="s">
        <v>341</v>
      </c>
      <c r="K18" s="175"/>
      <c r="L18" s="176">
        <v>1</v>
      </c>
      <c r="M18" s="176"/>
      <c r="N18" s="177"/>
      <c r="O18" s="177"/>
    </row>
    <row r="19" spans="3:15" ht="23.25">
      <c r="C19" s="10">
        <v>4638</v>
      </c>
      <c r="D19" s="168" t="s">
        <v>157</v>
      </c>
      <c r="E19" s="42" t="s">
        <v>158</v>
      </c>
      <c r="F19" s="43" t="s">
        <v>115</v>
      </c>
      <c r="G19" s="25">
        <v>7.5</v>
      </c>
      <c r="H19" s="25">
        <v>2.5</v>
      </c>
      <c r="I19" s="25">
        <f t="shared" si="0"/>
        <v>11.25</v>
      </c>
      <c r="J19" s="41" t="s">
        <v>341</v>
      </c>
      <c r="K19" s="175"/>
      <c r="L19" s="176">
        <v>1</v>
      </c>
      <c r="M19" s="176"/>
      <c r="N19" s="177"/>
      <c r="O19" s="179"/>
    </row>
    <row r="20" spans="3:15" ht="23.25">
      <c r="C20" s="10">
        <v>4635</v>
      </c>
      <c r="D20" s="168" t="s">
        <v>220</v>
      </c>
      <c r="E20" s="42" t="s">
        <v>221</v>
      </c>
      <c r="F20" s="43" t="s">
        <v>115</v>
      </c>
      <c r="G20" s="25">
        <v>0</v>
      </c>
      <c r="H20" s="25">
        <v>0</v>
      </c>
      <c r="I20" s="25" t="str">
        <f t="shared" si="0"/>
        <v>YOK</v>
      </c>
      <c r="J20" s="16" t="s">
        <v>387</v>
      </c>
      <c r="K20" s="175">
        <v>1</v>
      </c>
      <c r="L20" s="176">
        <v>0</v>
      </c>
      <c r="M20" s="180"/>
      <c r="N20" s="181"/>
      <c r="O20" s="177"/>
    </row>
    <row r="21" spans="3:15" ht="23.25">
      <c r="C21" s="10">
        <v>5714</v>
      </c>
      <c r="D21" s="168" t="s">
        <v>382</v>
      </c>
      <c r="E21" s="42" t="s">
        <v>381</v>
      </c>
      <c r="F21" s="43" t="s">
        <v>115</v>
      </c>
      <c r="G21" s="25">
        <v>0</v>
      </c>
      <c r="H21" s="25">
        <v>0</v>
      </c>
      <c r="I21" s="25" t="str">
        <f t="shared" si="0"/>
        <v>YOK</v>
      </c>
      <c r="J21" s="16" t="s">
        <v>387</v>
      </c>
      <c r="K21" s="175">
        <v>1</v>
      </c>
      <c r="L21" s="176">
        <v>0</v>
      </c>
      <c r="M21" s="180"/>
      <c r="N21" s="181"/>
      <c r="O21" s="177"/>
    </row>
    <row r="22" spans="3:15" ht="23.25">
      <c r="C22" s="10">
        <v>4687</v>
      </c>
      <c r="D22" s="168" t="s">
        <v>166</v>
      </c>
      <c r="E22" s="42" t="s">
        <v>167</v>
      </c>
      <c r="F22" s="43" t="s">
        <v>168</v>
      </c>
      <c r="G22" s="25">
        <v>7.5</v>
      </c>
      <c r="H22" s="25">
        <v>2.5</v>
      </c>
      <c r="I22" s="25">
        <f t="shared" si="0"/>
        <v>11.25</v>
      </c>
      <c r="J22" s="41" t="s">
        <v>342</v>
      </c>
      <c r="K22" s="175"/>
      <c r="L22" s="176">
        <v>1</v>
      </c>
      <c r="M22" s="176"/>
      <c r="N22" s="177"/>
      <c r="O22" s="179"/>
    </row>
    <row r="23" spans="3:15" ht="23.25">
      <c r="C23" s="10">
        <v>5270</v>
      </c>
      <c r="D23" s="168" t="s">
        <v>185</v>
      </c>
      <c r="E23" s="42" t="s">
        <v>186</v>
      </c>
      <c r="F23" s="43" t="s">
        <v>117</v>
      </c>
      <c r="G23" s="25">
        <v>7.5</v>
      </c>
      <c r="H23" s="25">
        <v>2.5</v>
      </c>
      <c r="I23" s="25">
        <f t="shared" si="0"/>
        <v>11.25</v>
      </c>
      <c r="J23" s="41" t="s">
        <v>343</v>
      </c>
      <c r="K23" s="175"/>
      <c r="L23" s="176">
        <v>1</v>
      </c>
      <c r="M23" s="176"/>
      <c r="N23" s="177"/>
      <c r="O23" s="179"/>
    </row>
    <row r="24" spans="3:15" ht="23.25">
      <c r="C24" s="10">
        <v>4475</v>
      </c>
      <c r="D24" s="168" t="s">
        <v>181</v>
      </c>
      <c r="E24" s="42" t="s">
        <v>182</v>
      </c>
      <c r="F24" s="43" t="s">
        <v>117</v>
      </c>
      <c r="G24" s="25">
        <v>7.5</v>
      </c>
      <c r="H24" s="25">
        <v>2.5</v>
      </c>
      <c r="I24" s="25">
        <f t="shared" si="0"/>
        <v>11.25</v>
      </c>
      <c r="J24" s="41" t="s">
        <v>343</v>
      </c>
      <c r="K24" s="175"/>
      <c r="L24" s="176">
        <v>1</v>
      </c>
      <c r="M24" s="176"/>
      <c r="N24" s="177"/>
      <c r="O24" s="179"/>
    </row>
    <row r="25" spans="3:15" ht="23.25">
      <c r="C25" s="10">
        <v>4601</v>
      </c>
      <c r="D25" s="168" t="s">
        <v>226</v>
      </c>
      <c r="E25" s="42" t="s">
        <v>227</v>
      </c>
      <c r="F25" s="43" t="s">
        <v>117</v>
      </c>
      <c r="G25" s="25">
        <v>7.5</v>
      </c>
      <c r="H25" s="25">
        <v>2.5</v>
      </c>
      <c r="I25" s="25">
        <f t="shared" si="0"/>
        <v>11.25</v>
      </c>
      <c r="J25" s="41" t="s">
        <v>344</v>
      </c>
      <c r="K25" s="175"/>
      <c r="L25" s="176">
        <v>1</v>
      </c>
      <c r="M25" s="176"/>
      <c r="N25" s="177"/>
      <c r="O25" s="179"/>
    </row>
    <row r="26" spans="3:15" ht="23.25">
      <c r="C26" s="10">
        <v>5570</v>
      </c>
      <c r="D26" s="168" t="s">
        <v>361</v>
      </c>
      <c r="E26" s="42" t="s">
        <v>372</v>
      </c>
      <c r="F26" s="43" t="s">
        <v>117</v>
      </c>
      <c r="G26" s="25">
        <v>7.5</v>
      </c>
      <c r="H26" s="25">
        <v>2.5</v>
      </c>
      <c r="I26" s="25">
        <f t="shared" si="0"/>
        <v>11.25</v>
      </c>
      <c r="J26" s="41" t="s">
        <v>342</v>
      </c>
      <c r="K26" s="175"/>
      <c r="L26" s="176">
        <v>1</v>
      </c>
      <c r="M26" s="176"/>
      <c r="N26" s="177"/>
      <c r="O26" s="179"/>
    </row>
    <row r="27" spans="3:15" ht="23.25">
      <c r="C27" s="10">
        <v>4374</v>
      </c>
      <c r="D27" s="168" t="s">
        <v>177</v>
      </c>
      <c r="E27" s="42" t="s">
        <v>178</v>
      </c>
      <c r="F27" s="43" t="s">
        <v>117</v>
      </c>
      <c r="G27" s="25">
        <v>7.5</v>
      </c>
      <c r="H27" s="25">
        <v>2.5</v>
      </c>
      <c r="I27" s="25">
        <f t="shared" si="0"/>
        <v>11.25</v>
      </c>
      <c r="J27" s="41" t="s">
        <v>342</v>
      </c>
      <c r="K27" s="175"/>
      <c r="L27" s="176">
        <v>1</v>
      </c>
      <c r="M27" s="176"/>
      <c r="N27" s="177"/>
      <c r="O27" s="179"/>
    </row>
    <row r="28" spans="3:15" ht="23.25">
      <c r="C28" s="10">
        <v>4400</v>
      </c>
      <c r="D28" s="168" t="s">
        <v>169</v>
      </c>
      <c r="E28" s="42" t="s">
        <v>170</v>
      </c>
      <c r="F28" s="43" t="s">
        <v>117</v>
      </c>
      <c r="G28" s="25">
        <v>7.5</v>
      </c>
      <c r="H28" s="25">
        <v>2.5</v>
      </c>
      <c r="I28" s="25">
        <f t="shared" si="0"/>
        <v>11.25</v>
      </c>
      <c r="J28" s="41" t="s">
        <v>342</v>
      </c>
      <c r="K28" s="175"/>
      <c r="L28" s="176">
        <v>1</v>
      </c>
      <c r="M28" s="176"/>
      <c r="N28" s="177"/>
      <c r="O28" s="179"/>
    </row>
    <row r="29" spans="3:15" ht="23.25">
      <c r="C29" s="10" t="s">
        <v>365</v>
      </c>
      <c r="D29" s="168" t="s">
        <v>175</v>
      </c>
      <c r="E29" s="42" t="s">
        <v>176</v>
      </c>
      <c r="F29" s="43" t="s">
        <v>117</v>
      </c>
      <c r="G29" s="25">
        <v>7.5</v>
      </c>
      <c r="H29" s="25">
        <v>2.5</v>
      </c>
      <c r="I29" s="25">
        <f t="shared" si="0"/>
        <v>11.25</v>
      </c>
      <c r="J29" s="172" t="s">
        <v>376</v>
      </c>
      <c r="K29" s="175"/>
      <c r="L29" s="176">
        <v>1</v>
      </c>
      <c r="M29" s="176"/>
      <c r="N29" s="177"/>
      <c r="O29" s="179"/>
    </row>
    <row r="30" spans="3:15" ht="23.25">
      <c r="C30" s="10">
        <v>5242</v>
      </c>
      <c r="D30" s="168" t="s">
        <v>206</v>
      </c>
      <c r="E30" s="42" t="s">
        <v>207</v>
      </c>
      <c r="F30" s="43" t="s">
        <v>118</v>
      </c>
      <c r="G30" s="25">
        <v>7.5</v>
      </c>
      <c r="H30" s="25">
        <v>2.5</v>
      </c>
      <c r="I30" s="25">
        <f t="shared" si="0"/>
        <v>11.25</v>
      </c>
      <c r="J30" s="41" t="s">
        <v>343</v>
      </c>
      <c r="K30" s="175"/>
      <c r="L30" s="176">
        <v>1</v>
      </c>
      <c r="M30" s="176"/>
      <c r="N30" s="177"/>
      <c r="O30" s="179"/>
    </row>
    <row r="31" spans="3:15" ht="23.25">
      <c r="C31" s="10">
        <v>5451</v>
      </c>
      <c r="D31" s="168" t="s">
        <v>354</v>
      </c>
      <c r="E31" s="42" t="s">
        <v>355</v>
      </c>
      <c r="F31" s="43" t="s">
        <v>118</v>
      </c>
      <c r="G31" s="25">
        <v>7.5</v>
      </c>
      <c r="H31" s="25">
        <v>2.5</v>
      </c>
      <c r="I31" s="25">
        <f t="shared" si="0"/>
        <v>11.25</v>
      </c>
      <c r="J31" s="41" t="s">
        <v>343</v>
      </c>
      <c r="K31" s="175"/>
      <c r="L31" s="176">
        <v>1</v>
      </c>
      <c r="M31" s="176"/>
      <c r="N31" s="177"/>
      <c r="O31" s="179"/>
    </row>
    <row r="32" spans="3:15" ht="23.25">
      <c r="C32" s="10">
        <v>5454</v>
      </c>
      <c r="D32" s="168" t="s">
        <v>356</v>
      </c>
      <c r="E32" s="42" t="s">
        <v>357</v>
      </c>
      <c r="F32" s="43" t="s">
        <v>118</v>
      </c>
      <c r="G32" s="25">
        <v>7.5</v>
      </c>
      <c r="H32" s="25">
        <v>2.5</v>
      </c>
      <c r="I32" s="25">
        <f t="shared" si="0"/>
        <v>11.25</v>
      </c>
      <c r="J32" s="41" t="s">
        <v>343</v>
      </c>
      <c r="K32" s="175"/>
      <c r="L32" s="176">
        <v>1</v>
      </c>
      <c r="M32" s="176"/>
      <c r="N32" s="177"/>
      <c r="O32" s="179"/>
    </row>
    <row r="33" spans="3:15" ht="23.25">
      <c r="C33" s="10">
        <v>5577</v>
      </c>
      <c r="D33" s="168" t="s">
        <v>362</v>
      </c>
      <c r="E33" s="42" t="s">
        <v>363</v>
      </c>
      <c r="F33" s="43" t="s">
        <v>118</v>
      </c>
      <c r="G33" s="25">
        <v>7.5</v>
      </c>
      <c r="H33" s="25">
        <v>2.5</v>
      </c>
      <c r="I33" s="25">
        <f t="shared" si="0"/>
        <v>11.25</v>
      </c>
      <c r="J33" s="41" t="s">
        <v>343</v>
      </c>
      <c r="K33" s="175"/>
      <c r="L33" s="176">
        <v>1</v>
      </c>
      <c r="M33" s="176"/>
      <c r="N33" s="177"/>
      <c r="O33" s="179"/>
    </row>
    <row r="34" spans="3:15" ht="23.25">
      <c r="C34" s="10">
        <v>5378</v>
      </c>
      <c r="D34" s="168" t="s">
        <v>336</v>
      </c>
      <c r="E34" s="42" t="s">
        <v>337</v>
      </c>
      <c r="F34" s="43" t="s">
        <v>118</v>
      </c>
      <c r="G34" s="25">
        <v>7.5</v>
      </c>
      <c r="H34" s="25">
        <v>2.5</v>
      </c>
      <c r="I34" s="25">
        <f t="shared" si="0"/>
        <v>11.25</v>
      </c>
      <c r="J34" s="41" t="s">
        <v>343</v>
      </c>
      <c r="K34" s="175"/>
      <c r="L34" s="176">
        <v>1</v>
      </c>
      <c r="M34" s="176"/>
      <c r="N34" s="177"/>
      <c r="O34" s="179"/>
    </row>
    <row r="35" spans="3:15" ht="23.25">
      <c r="C35" s="10">
        <v>5272</v>
      </c>
      <c r="D35" s="168" t="s">
        <v>204</v>
      </c>
      <c r="E35" s="42" t="s">
        <v>205</v>
      </c>
      <c r="F35" s="43" t="s">
        <v>118</v>
      </c>
      <c r="G35" s="25">
        <v>7.5</v>
      </c>
      <c r="H35" s="25">
        <v>2.5</v>
      </c>
      <c r="I35" s="25">
        <f t="shared" si="0"/>
        <v>11.25</v>
      </c>
      <c r="J35" s="41" t="s">
        <v>343</v>
      </c>
      <c r="K35" s="175"/>
      <c r="L35" s="176">
        <v>1</v>
      </c>
      <c r="M35" s="176"/>
      <c r="N35" s="177"/>
      <c r="O35" s="179"/>
    </row>
    <row r="36" spans="3:15" ht="23.25">
      <c r="C36" s="10">
        <v>5198</v>
      </c>
      <c r="D36" s="168" t="s">
        <v>198</v>
      </c>
      <c r="E36" s="42" t="s">
        <v>199</v>
      </c>
      <c r="F36" s="43" t="s">
        <v>118</v>
      </c>
      <c r="G36" s="25">
        <v>7.5</v>
      </c>
      <c r="H36" s="25">
        <v>2.5</v>
      </c>
      <c r="I36" s="25">
        <f t="shared" si="0"/>
        <v>11.25</v>
      </c>
      <c r="J36" s="41" t="s">
        <v>343</v>
      </c>
      <c r="K36" s="175"/>
      <c r="L36" s="176">
        <v>1</v>
      </c>
      <c r="M36" s="176"/>
      <c r="N36" s="177"/>
      <c r="O36" s="179"/>
    </row>
    <row r="37" spans="3:15" ht="23.25">
      <c r="C37" s="10">
        <v>5200</v>
      </c>
      <c r="D37" s="168" t="s">
        <v>200</v>
      </c>
      <c r="E37" s="42" t="s">
        <v>201</v>
      </c>
      <c r="F37" s="43" t="s">
        <v>118</v>
      </c>
      <c r="G37" s="25">
        <v>7.5</v>
      </c>
      <c r="H37" s="25">
        <v>2.5</v>
      </c>
      <c r="I37" s="25">
        <f t="shared" si="0"/>
        <v>11.25</v>
      </c>
      <c r="J37" s="41" t="s">
        <v>343</v>
      </c>
      <c r="K37" s="175"/>
      <c r="L37" s="176">
        <v>1</v>
      </c>
      <c r="M37" s="176"/>
      <c r="N37" s="177"/>
      <c r="O37" s="179"/>
    </row>
    <row r="38" spans="3:15" ht="23.25">
      <c r="C38" s="10">
        <v>5237</v>
      </c>
      <c r="D38" s="168" t="s">
        <v>202</v>
      </c>
      <c r="E38" s="42" t="s">
        <v>203</v>
      </c>
      <c r="F38" s="43" t="s">
        <v>118</v>
      </c>
      <c r="G38" s="25">
        <v>7.5</v>
      </c>
      <c r="H38" s="25">
        <v>2.5</v>
      </c>
      <c r="I38" s="25">
        <f t="shared" si="0"/>
        <v>11.25</v>
      </c>
      <c r="J38" s="41" t="s">
        <v>343</v>
      </c>
      <c r="K38" s="175"/>
      <c r="L38" s="176">
        <v>1</v>
      </c>
      <c r="M38" s="176"/>
      <c r="N38" s="177"/>
      <c r="O38" s="179"/>
    </row>
    <row r="39" spans="3:15" ht="23.25">
      <c r="C39" s="10">
        <v>4723</v>
      </c>
      <c r="D39" s="168" t="s">
        <v>192</v>
      </c>
      <c r="E39" s="42" t="s">
        <v>193</v>
      </c>
      <c r="F39" s="43" t="s">
        <v>118</v>
      </c>
      <c r="G39" s="25">
        <v>7.5</v>
      </c>
      <c r="H39" s="25">
        <v>2.5</v>
      </c>
      <c r="I39" s="25">
        <f t="shared" si="0"/>
        <v>11.25</v>
      </c>
      <c r="J39" s="41" t="s">
        <v>343</v>
      </c>
      <c r="K39" s="175"/>
      <c r="L39" s="176">
        <v>1</v>
      </c>
      <c r="M39" s="176"/>
      <c r="N39" s="177"/>
      <c r="O39" s="179"/>
    </row>
    <row r="40" spans="3:15" ht="23.25">
      <c r="C40" s="10">
        <v>5716</v>
      </c>
      <c r="D40" s="168" t="s">
        <v>386</v>
      </c>
      <c r="E40" s="42" t="s">
        <v>385</v>
      </c>
      <c r="F40" s="43" t="s">
        <v>118</v>
      </c>
      <c r="G40" s="25">
        <v>0</v>
      </c>
      <c r="H40" s="25">
        <v>0</v>
      </c>
      <c r="I40" s="25" t="str">
        <f t="shared" si="0"/>
        <v>YOK</v>
      </c>
      <c r="J40" s="16" t="s">
        <v>387</v>
      </c>
      <c r="K40" s="175">
        <v>1</v>
      </c>
      <c r="L40" s="176">
        <v>0</v>
      </c>
      <c r="M40" s="180"/>
      <c r="N40" s="181"/>
      <c r="O40" s="179"/>
    </row>
    <row r="41" spans="3:15" ht="23.25">
      <c r="C41" s="10">
        <v>4634</v>
      </c>
      <c r="D41" s="168" t="s">
        <v>216</v>
      </c>
      <c r="E41" s="42" t="s">
        <v>217</v>
      </c>
      <c r="F41" s="43" t="s">
        <v>119</v>
      </c>
      <c r="G41" s="25">
        <v>7.5</v>
      </c>
      <c r="H41" s="25">
        <v>2.5</v>
      </c>
      <c r="I41" s="25">
        <f t="shared" si="0"/>
        <v>11.25</v>
      </c>
      <c r="J41" s="41" t="s">
        <v>343</v>
      </c>
      <c r="K41" s="175"/>
      <c r="L41" s="176">
        <v>1</v>
      </c>
      <c r="M41" s="176"/>
      <c r="N41" s="177"/>
      <c r="O41" s="179"/>
    </row>
    <row r="42" spans="3:15" ht="23.25">
      <c r="C42" s="10">
        <v>4637</v>
      </c>
      <c r="D42" s="168" t="s">
        <v>218</v>
      </c>
      <c r="E42" s="42" t="s">
        <v>219</v>
      </c>
      <c r="F42" s="43" t="s">
        <v>119</v>
      </c>
      <c r="G42" s="25">
        <v>7.5</v>
      </c>
      <c r="H42" s="25">
        <v>2.5</v>
      </c>
      <c r="I42" s="25">
        <f t="shared" si="0"/>
        <v>11.25</v>
      </c>
      <c r="J42" s="41" t="s">
        <v>344</v>
      </c>
      <c r="K42" s="175"/>
      <c r="L42" s="176">
        <v>1</v>
      </c>
      <c r="M42" s="176"/>
      <c r="N42" s="177"/>
      <c r="O42" s="179"/>
    </row>
    <row r="43" spans="3:15" ht="23.25">
      <c r="C43" s="10">
        <v>4521</v>
      </c>
      <c r="D43" s="168" t="s">
        <v>208</v>
      </c>
      <c r="E43" s="42" t="s">
        <v>209</v>
      </c>
      <c r="F43" s="43" t="s">
        <v>119</v>
      </c>
      <c r="G43" s="25">
        <v>7.5</v>
      </c>
      <c r="H43" s="25">
        <v>2.5</v>
      </c>
      <c r="I43" s="25">
        <f t="shared" si="0"/>
        <v>11.25</v>
      </c>
      <c r="J43" s="41" t="s">
        <v>344</v>
      </c>
      <c r="K43" s="175"/>
      <c r="L43" s="176">
        <v>1</v>
      </c>
      <c r="M43" s="176"/>
      <c r="N43" s="177"/>
      <c r="O43" s="179"/>
    </row>
    <row r="44" spans="3:15" ht="23.25">
      <c r="C44" s="10">
        <v>4705</v>
      </c>
      <c r="D44" s="168" t="s">
        <v>137</v>
      </c>
      <c r="E44" s="42" t="s">
        <v>138</v>
      </c>
      <c r="F44" s="43" t="s">
        <v>113</v>
      </c>
      <c r="G44" s="25">
        <v>0</v>
      </c>
      <c r="H44" s="25"/>
      <c r="I44" s="25"/>
      <c r="J44" s="172" t="s">
        <v>40</v>
      </c>
      <c r="K44" s="175"/>
      <c r="L44" s="176">
        <v>0</v>
      </c>
      <c r="M44" s="178"/>
      <c r="N44" s="176">
        <v>1</v>
      </c>
      <c r="O44" s="179"/>
    </row>
    <row r="45" spans="3:15" ht="23.25">
      <c r="C45" s="10">
        <v>4567</v>
      </c>
      <c r="D45" s="168" t="s">
        <v>135</v>
      </c>
      <c r="E45" s="42" t="s">
        <v>136</v>
      </c>
      <c r="F45" s="43" t="s">
        <v>113</v>
      </c>
      <c r="G45" s="25">
        <v>0</v>
      </c>
      <c r="H45" s="25"/>
      <c r="I45" s="25"/>
      <c r="J45" s="172" t="s">
        <v>40</v>
      </c>
      <c r="K45" s="175"/>
      <c r="L45" s="176">
        <v>0</v>
      </c>
      <c r="M45" s="178"/>
      <c r="N45" s="176">
        <v>1</v>
      </c>
      <c r="O45" s="179"/>
    </row>
    <row r="46" spans="3:15" ht="23.25">
      <c r="C46" s="10">
        <v>5138</v>
      </c>
      <c r="D46" s="168" t="s">
        <v>129</v>
      </c>
      <c r="E46" s="42" t="s">
        <v>130</v>
      </c>
      <c r="F46" s="43" t="s">
        <v>113</v>
      </c>
      <c r="G46" s="25">
        <v>0</v>
      </c>
      <c r="H46" s="25"/>
      <c r="I46" s="25"/>
      <c r="J46" s="172" t="s">
        <v>40</v>
      </c>
      <c r="K46" s="175"/>
      <c r="L46" s="176">
        <v>0</v>
      </c>
      <c r="M46" s="178"/>
      <c r="N46" s="176">
        <v>1</v>
      </c>
      <c r="O46" s="179"/>
    </row>
    <row r="47" spans="3:15" ht="23.25">
      <c r="C47" s="10">
        <v>5357</v>
      </c>
      <c r="D47" s="168" t="s">
        <v>330</v>
      </c>
      <c r="E47" s="42" t="s">
        <v>331</v>
      </c>
      <c r="F47" s="43" t="s">
        <v>113</v>
      </c>
      <c r="G47" s="25">
        <v>0</v>
      </c>
      <c r="H47" s="25"/>
      <c r="I47" s="25"/>
      <c r="J47" s="172" t="s">
        <v>40</v>
      </c>
      <c r="K47" s="175"/>
      <c r="L47" s="176">
        <v>0</v>
      </c>
      <c r="M47" s="178"/>
      <c r="N47" s="176">
        <v>1</v>
      </c>
      <c r="O47" s="179"/>
    </row>
    <row r="48" spans="3:15" ht="23.25">
      <c r="C48" s="10">
        <v>4527</v>
      </c>
      <c r="D48" s="168" t="s">
        <v>228</v>
      </c>
      <c r="E48" s="42" t="s">
        <v>229</v>
      </c>
      <c r="F48" s="43" t="s">
        <v>113</v>
      </c>
      <c r="G48" s="25">
        <v>0</v>
      </c>
      <c r="H48" s="25"/>
      <c r="I48" s="25"/>
      <c r="J48" s="172" t="s">
        <v>40</v>
      </c>
      <c r="K48" s="175"/>
      <c r="L48" s="176">
        <v>0</v>
      </c>
      <c r="M48" s="178"/>
      <c r="N48" s="176">
        <v>1</v>
      </c>
      <c r="O48" s="179"/>
    </row>
    <row r="49" spans="3:15" ht="23.25">
      <c r="C49" s="10">
        <v>5356</v>
      </c>
      <c r="D49" s="168" t="s">
        <v>332</v>
      </c>
      <c r="E49" s="42" t="s">
        <v>333</v>
      </c>
      <c r="F49" s="43" t="s">
        <v>114</v>
      </c>
      <c r="G49" s="25">
        <v>0</v>
      </c>
      <c r="H49" s="25"/>
      <c r="I49" s="25"/>
      <c r="J49" s="172" t="s">
        <v>40</v>
      </c>
      <c r="K49" s="175"/>
      <c r="L49" s="176">
        <v>0</v>
      </c>
      <c r="M49" s="178"/>
      <c r="N49" s="176">
        <v>1</v>
      </c>
      <c r="O49" s="177"/>
    </row>
    <row r="50" spans="3:15" ht="23.25">
      <c r="C50" s="10">
        <v>5595</v>
      </c>
      <c r="D50" s="168" t="s">
        <v>366</v>
      </c>
      <c r="E50" s="42" t="s">
        <v>369</v>
      </c>
      <c r="F50" s="43" t="s">
        <v>114</v>
      </c>
      <c r="G50" s="25">
        <v>0</v>
      </c>
      <c r="H50" s="25"/>
      <c r="I50" s="25"/>
      <c r="J50" s="172" t="s">
        <v>40</v>
      </c>
      <c r="K50" s="175"/>
      <c r="L50" s="176">
        <v>0</v>
      </c>
      <c r="M50" s="178"/>
      <c r="N50" s="176">
        <v>1</v>
      </c>
      <c r="O50" s="179"/>
    </row>
    <row r="51" spans="3:15" ht="23.25">
      <c r="C51" s="10">
        <v>5594</v>
      </c>
      <c r="D51" s="168" t="s">
        <v>367</v>
      </c>
      <c r="E51" s="42" t="s">
        <v>368</v>
      </c>
      <c r="F51" s="43" t="s">
        <v>114</v>
      </c>
      <c r="G51" s="25">
        <v>0</v>
      </c>
      <c r="H51" s="25"/>
      <c r="I51" s="25"/>
      <c r="J51" s="172" t="s">
        <v>40</v>
      </c>
      <c r="K51" s="175"/>
      <c r="L51" s="176">
        <v>0</v>
      </c>
      <c r="M51" s="178"/>
      <c r="N51" s="176">
        <v>1</v>
      </c>
      <c r="O51" s="179"/>
    </row>
    <row r="52" spans="3:15" ht="23.25">
      <c r="C52" s="10">
        <v>4726</v>
      </c>
      <c r="D52" s="168" t="s">
        <v>141</v>
      </c>
      <c r="E52" s="42" t="s">
        <v>142</v>
      </c>
      <c r="F52" s="43" t="s">
        <v>114</v>
      </c>
      <c r="G52" s="25">
        <v>0</v>
      </c>
      <c r="H52" s="25"/>
      <c r="I52" s="25"/>
      <c r="J52" s="172" t="s">
        <v>40</v>
      </c>
      <c r="K52" s="175"/>
      <c r="L52" s="176">
        <v>0</v>
      </c>
      <c r="M52" s="178"/>
      <c r="N52" s="176">
        <v>1</v>
      </c>
      <c r="O52" s="177"/>
    </row>
    <row r="53" spans="3:15" ht="23.25">
      <c r="C53" s="10">
        <v>5273</v>
      </c>
      <c r="D53" s="168" t="s">
        <v>145</v>
      </c>
      <c r="E53" s="42" t="s">
        <v>146</v>
      </c>
      <c r="F53" s="43" t="s">
        <v>114</v>
      </c>
      <c r="G53" s="25">
        <v>0</v>
      </c>
      <c r="H53" s="25"/>
      <c r="I53" s="25"/>
      <c r="J53" s="172" t="s">
        <v>40</v>
      </c>
      <c r="K53" s="175"/>
      <c r="L53" s="176">
        <v>0</v>
      </c>
      <c r="M53" s="178"/>
      <c r="N53" s="176">
        <v>1</v>
      </c>
      <c r="O53" s="177"/>
    </row>
    <row r="54" spans="3:15" ht="23.25">
      <c r="C54" s="10">
        <v>5457</v>
      </c>
      <c r="D54" s="168" t="s">
        <v>352</v>
      </c>
      <c r="E54" s="42" t="s">
        <v>353</v>
      </c>
      <c r="F54" s="43" t="s">
        <v>114</v>
      </c>
      <c r="G54" s="25">
        <v>0</v>
      </c>
      <c r="H54" s="25"/>
      <c r="I54" s="25"/>
      <c r="J54" s="172" t="s">
        <v>40</v>
      </c>
      <c r="K54" s="175"/>
      <c r="L54" s="176">
        <v>0</v>
      </c>
      <c r="M54" s="178"/>
      <c r="N54" s="176">
        <v>1</v>
      </c>
      <c r="O54" s="177"/>
    </row>
    <row r="55" spans="3:15" ht="23.25">
      <c r="C55" s="10">
        <v>5142</v>
      </c>
      <c r="D55" s="168" t="s">
        <v>139</v>
      </c>
      <c r="E55" s="42" t="s">
        <v>140</v>
      </c>
      <c r="F55" s="43" t="s">
        <v>114</v>
      </c>
      <c r="G55" s="25">
        <v>0</v>
      </c>
      <c r="H55" s="25"/>
      <c r="I55" s="25"/>
      <c r="J55" s="172" t="s">
        <v>40</v>
      </c>
      <c r="K55" s="175"/>
      <c r="L55" s="176">
        <v>0</v>
      </c>
      <c r="M55" s="178"/>
      <c r="N55" s="176">
        <v>1</v>
      </c>
      <c r="O55" s="177"/>
    </row>
    <row r="56" spans="3:15" ht="23.25">
      <c r="C56" s="10">
        <v>5044</v>
      </c>
      <c r="D56" s="168" t="s">
        <v>147</v>
      </c>
      <c r="E56" s="42" t="s">
        <v>148</v>
      </c>
      <c r="F56" s="43" t="s">
        <v>120</v>
      </c>
      <c r="G56" s="25">
        <v>0</v>
      </c>
      <c r="H56" s="25"/>
      <c r="I56" s="25"/>
      <c r="J56" s="172" t="s">
        <v>40</v>
      </c>
      <c r="K56" s="175"/>
      <c r="L56" s="176">
        <v>0</v>
      </c>
      <c r="M56" s="178"/>
      <c r="N56" s="176">
        <v>1</v>
      </c>
      <c r="O56" s="179"/>
    </row>
    <row r="57" spans="3:15" ht="23.25">
      <c r="C57" s="10">
        <v>5603</v>
      </c>
      <c r="D57" s="168" t="s">
        <v>370</v>
      </c>
      <c r="E57" s="42" t="s">
        <v>371</v>
      </c>
      <c r="F57" s="43" t="s">
        <v>115</v>
      </c>
      <c r="G57" s="25">
        <v>0</v>
      </c>
      <c r="H57" s="25"/>
      <c r="I57" s="25"/>
      <c r="J57" s="172" t="s">
        <v>40</v>
      </c>
      <c r="K57" s="175"/>
      <c r="L57" s="176">
        <v>0</v>
      </c>
      <c r="M57" s="178"/>
      <c r="N57" s="176">
        <v>1</v>
      </c>
      <c r="O57" s="179"/>
    </row>
    <row r="58" spans="3:15" ht="23.25">
      <c r="C58" s="10">
        <v>5143</v>
      </c>
      <c r="D58" s="168" t="s">
        <v>153</v>
      </c>
      <c r="E58" s="42" t="s">
        <v>154</v>
      </c>
      <c r="F58" s="43" t="s">
        <v>115</v>
      </c>
      <c r="G58" s="25">
        <v>0</v>
      </c>
      <c r="H58" s="25"/>
      <c r="I58" s="25"/>
      <c r="J58" s="172" t="s">
        <v>40</v>
      </c>
      <c r="K58" s="175"/>
      <c r="L58" s="176">
        <v>0</v>
      </c>
      <c r="M58" s="178"/>
      <c r="N58" s="176">
        <v>1</v>
      </c>
      <c r="O58" s="179"/>
    </row>
    <row r="59" spans="3:15" ht="23.25">
      <c r="C59" s="10">
        <v>5137</v>
      </c>
      <c r="D59" s="168" t="s">
        <v>171</v>
      </c>
      <c r="E59" s="42" t="s">
        <v>172</v>
      </c>
      <c r="F59" s="43" t="s">
        <v>117</v>
      </c>
      <c r="G59" s="25">
        <v>0</v>
      </c>
      <c r="H59" s="25"/>
      <c r="I59" s="25"/>
      <c r="J59" s="172" t="s">
        <v>40</v>
      </c>
      <c r="K59" s="175"/>
      <c r="L59" s="176">
        <v>0</v>
      </c>
      <c r="M59" s="178"/>
      <c r="N59" s="176">
        <v>1</v>
      </c>
      <c r="O59" s="179"/>
    </row>
    <row r="60" spans="3:15" ht="23.25">
      <c r="C60" s="10">
        <v>5694</v>
      </c>
      <c r="D60" s="42" t="s">
        <v>377</v>
      </c>
      <c r="E60" s="42" t="s">
        <v>378</v>
      </c>
      <c r="F60" s="43" t="s">
        <v>117</v>
      </c>
      <c r="G60" s="25">
        <v>0</v>
      </c>
      <c r="H60" s="25"/>
      <c r="I60" s="25"/>
      <c r="J60" s="172" t="s">
        <v>40</v>
      </c>
      <c r="K60" s="175"/>
      <c r="L60" s="176">
        <v>0</v>
      </c>
      <c r="M60" s="178"/>
      <c r="N60" s="176">
        <v>1</v>
      </c>
      <c r="O60" s="179"/>
    </row>
    <row r="61" spans="3:15" ht="23.25">
      <c r="C61" s="10">
        <v>4398</v>
      </c>
      <c r="D61" s="168" t="s">
        <v>179</v>
      </c>
      <c r="E61" s="42" t="s">
        <v>180</v>
      </c>
      <c r="F61" s="43" t="s">
        <v>117</v>
      </c>
      <c r="G61" s="25">
        <v>0</v>
      </c>
      <c r="H61" s="25"/>
      <c r="I61" s="25"/>
      <c r="J61" s="172" t="s">
        <v>40</v>
      </c>
      <c r="K61" s="175"/>
      <c r="L61" s="176">
        <v>0</v>
      </c>
      <c r="M61" s="178"/>
      <c r="N61" s="176">
        <v>1</v>
      </c>
      <c r="O61" s="179"/>
    </row>
    <row r="62" spans="3:15" ht="23.25">
      <c r="C62" s="10">
        <v>4282</v>
      </c>
      <c r="D62" s="168" t="s">
        <v>173</v>
      </c>
      <c r="E62" s="42" t="s">
        <v>174</v>
      </c>
      <c r="F62" s="43" t="s">
        <v>117</v>
      </c>
      <c r="G62" s="25">
        <v>0</v>
      </c>
      <c r="H62" s="25"/>
      <c r="I62" s="25"/>
      <c r="J62" s="172" t="s">
        <v>40</v>
      </c>
      <c r="K62" s="175"/>
      <c r="L62" s="176">
        <v>0</v>
      </c>
      <c r="M62" s="178"/>
      <c r="N62" s="176">
        <v>1</v>
      </c>
      <c r="O62" s="179"/>
    </row>
    <row r="63" spans="3:15" ht="23.25">
      <c r="C63" s="10">
        <v>5359</v>
      </c>
      <c r="D63" s="168" t="s">
        <v>334</v>
      </c>
      <c r="E63" s="42" t="s">
        <v>335</v>
      </c>
      <c r="F63" s="43" t="s">
        <v>118</v>
      </c>
      <c r="G63" s="25">
        <v>0</v>
      </c>
      <c r="H63" s="25"/>
      <c r="I63" s="25"/>
      <c r="J63" s="172" t="s">
        <v>40</v>
      </c>
      <c r="K63" s="175"/>
      <c r="L63" s="176">
        <v>0</v>
      </c>
      <c r="M63" s="178"/>
      <c r="N63" s="176">
        <v>1</v>
      </c>
      <c r="O63" s="179"/>
    </row>
    <row r="64" spans="3:15" ht="23.25">
      <c r="C64" s="10">
        <v>5154</v>
      </c>
      <c r="D64" s="168" t="s">
        <v>189</v>
      </c>
      <c r="E64" s="42" t="s">
        <v>364</v>
      </c>
      <c r="F64" s="43" t="s">
        <v>118</v>
      </c>
      <c r="G64" s="25">
        <v>0</v>
      </c>
      <c r="H64" s="25"/>
      <c r="I64" s="25"/>
      <c r="J64" s="172" t="s">
        <v>40</v>
      </c>
      <c r="K64" s="175"/>
      <c r="L64" s="176">
        <v>0</v>
      </c>
      <c r="M64" s="178"/>
      <c r="N64" s="176">
        <v>1</v>
      </c>
      <c r="O64" s="179"/>
    </row>
    <row r="65" spans="3:15" ht="23.25">
      <c r="C65" s="10">
        <v>5155</v>
      </c>
      <c r="D65" s="168" t="s">
        <v>190</v>
      </c>
      <c r="E65" s="42" t="s">
        <v>191</v>
      </c>
      <c r="F65" s="43" t="s">
        <v>118</v>
      </c>
      <c r="G65" s="25">
        <v>0</v>
      </c>
      <c r="H65" s="25"/>
      <c r="I65" s="25"/>
      <c r="J65" s="172" t="s">
        <v>40</v>
      </c>
      <c r="K65" s="175"/>
      <c r="L65" s="176">
        <v>0</v>
      </c>
      <c r="M65" s="178"/>
      <c r="N65" s="176">
        <v>1</v>
      </c>
      <c r="O65" s="179"/>
    </row>
    <row r="66" spans="3:15" ht="23.25">
      <c r="C66" s="10">
        <v>5092</v>
      </c>
      <c r="D66" s="168" t="s">
        <v>194</v>
      </c>
      <c r="E66" s="42" t="s">
        <v>195</v>
      </c>
      <c r="F66" s="43" t="s">
        <v>118</v>
      </c>
      <c r="G66" s="25">
        <v>0</v>
      </c>
      <c r="H66" s="25"/>
      <c r="I66" s="25"/>
      <c r="J66" s="172" t="s">
        <v>40</v>
      </c>
      <c r="K66" s="175"/>
      <c r="L66" s="176">
        <v>0</v>
      </c>
      <c r="M66" s="178"/>
      <c r="N66" s="176">
        <v>1</v>
      </c>
      <c r="O66" s="179"/>
    </row>
    <row r="67" spans="3:15" ht="23.25">
      <c r="C67" s="10">
        <v>5140</v>
      </c>
      <c r="D67" s="168" t="s">
        <v>187</v>
      </c>
      <c r="E67" s="42" t="s">
        <v>188</v>
      </c>
      <c r="F67" s="43" t="s">
        <v>118</v>
      </c>
      <c r="G67" s="25">
        <v>0</v>
      </c>
      <c r="H67" s="25"/>
      <c r="I67" s="25"/>
      <c r="J67" s="172" t="s">
        <v>40</v>
      </c>
      <c r="K67" s="175"/>
      <c r="L67" s="176">
        <v>0</v>
      </c>
      <c r="M67" s="178"/>
      <c r="N67" s="176">
        <v>1</v>
      </c>
      <c r="O67" s="179"/>
    </row>
    <row r="68" spans="3:15" ht="23.25">
      <c r="C68" s="10">
        <v>5087</v>
      </c>
      <c r="D68" s="168" t="s">
        <v>196</v>
      </c>
      <c r="E68" s="42" t="s">
        <v>197</v>
      </c>
      <c r="F68" s="43" t="s">
        <v>118</v>
      </c>
      <c r="G68" s="25">
        <v>0</v>
      </c>
      <c r="H68" s="25"/>
      <c r="I68" s="25"/>
      <c r="J68" s="172" t="s">
        <v>40</v>
      </c>
      <c r="K68" s="175"/>
      <c r="L68" s="176">
        <v>0</v>
      </c>
      <c r="M68" s="178"/>
      <c r="N68" s="176">
        <v>1</v>
      </c>
      <c r="O68" s="179"/>
    </row>
    <row r="69" spans="3:15" ht="23.25">
      <c r="C69" s="10">
        <v>4522</v>
      </c>
      <c r="D69" s="168" t="s">
        <v>210</v>
      </c>
      <c r="E69" s="42" t="s">
        <v>211</v>
      </c>
      <c r="F69" s="43" t="s">
        <v>119</v>
      </c>
      <c r="G69" s="25">
        <v>0</v>
      </c>
      <c r="H69" s="25"/>
      <c r="I69" s="25"/>
      <c r="J69" s="172" t="s">
        <v>40</v>
      </c>
      <c r="K69" s="175"/>
      <c r="L69" s="176">
        <v>0</v>
      </c>
      <c r="M69" s="178"/>
      <c r="N69" s="176">
        <v>1</v>
      </c>
      <c r="O69" s="179"/>
    </row>
    <row r="70" spans="3:15" ht="23.25">
      <c r="C70" s="10">
        <v>4629</v>
      </c>
      <c r="D70" s="168" t="s">
        <v>212</v>
      </c>
      <c r="E70" s="42" t="s">
        <v>213</v>
      </c>
      <c r="F70" s="43" t="s">
        <v>119</v>
      </c>
      <c r="G70" s="25">
        <v>0</v>
      </c>
      <c r="H70" s="25"/>
      <c r="I70" s="25"/>
      <c r="J70" s="172" t="s">
        <v>40</v>
      </c>
      <c r="K70" s="175"/>
      <c r="L70" s="176">
        <v>0</v>
      </c>
      <c r="M70" s="178"/>
      <c r="N70" s="176">
        <v>1</v>
      </c>
      <c r="O70" s="179"/>
    </row>
    <row r="71" spans="3:15" ht="23.25">
      <c r="C71" s="10">
        <v>4477</v>
      </c>
      <c r="D71" s="168" t="s">
        <v>224</v>
      </c>
      <c r="E71" s="42" t="s">
        <v>225</v>
      </c>
      <c r="F71" s="43" t="s">
        <v>117</v>
      </c>
      <c r="G71" s="25">
        <v>0</v>
      </c>
      <c r="H71" s="25"/>
      <c r="I71" s="25"/>
      <c r="J71" s="172" t="s">
        <v>84</v>
      </c>
      <c r="K71" s="175"/>
      <c r="L71" s="176">
        <v>0</v>
      </c>
      <c r="M71" s="178"/>
      <c r="N71" s="176">
        <v>1</v>
      </c>
      <c r="O71" s="179"/>
    </row>
    <row r="72" spans="3:15" ht="23.25">
      <c r="C72" s="10">
        <v>4630</v>
      </c>
      <c r="D72" s="168" t="s">
        <v>214</v>
      </c>
      <c r="E72" s="42" t="s">
        <v>215</v>
      </c>
      <c r="F72" s="43" t="s">
        <v>119</v>
      </c>
      <c r="G72" s="25">
        <v>0</v>
      </c>
      <c r="H72" s="25"/>
      <c r="I72" s="25"/>
      <c r="J72" s="172" t="s">
        <v>73</v>
      </c>
      <c r="K72" s="175"/>
      <c r="L72" s="176">
        <v>0</v>
      </c>
      <c r="M72" s="178"/>
      <c r="N72" s="176">
        <v>1</v>
      </c>
      <c r="O72" s="179"/>
    </row>
    <row r="73" spans="3:15" ht="23.25">
      <c r="C73" s="10">
        <v>5003</v>
      </c>
      <c r="D73" s="168" t="s">
        <v>149</v>
      </c>
      <c r="E73" s="42" t="s">
        <v>150</v>
      </c>
      <c r="F73" s="43" t="s">
        <v>151</v>
      </c>
      <c r="G73" s="25">
        <v>0</v>
      </c>
      <c r="H73" s="25"/>
      <c r="I73" s="25"/>
      <c r="J73" s="172" t="s">
        <v>87</v>
      </c>
      <c r="K73" s="175"/>
      <c r="L73" s="176">
        <v>0</v>
      </c>
      <c r="M73" s="178"/>
      <c r="N73" s="176">
        <v>1</v>
      </c>
      <c r="O73" s="179"/>
    </row>
    <row r="74" spans="3:15" ht="23.25">
      <c r="C74" s="10">
        <v>4585</v>
      </c>
      <c r="D74" s="168" t="s">
        <v>164</v>
      </c>
      <c r="E74" s="42" t="s">
        <v>165</v>
      </c>
      <c r="F74" s="43" t="s">
        <v>116</v>
      </c>
      <c r="G74" s="25">
        <v>0</v>
      </c>
      <c r="H74" s="25"/>
      <c r="I74" s="25"/>
      <c r="J74" s="172" t="s">
        <v>87</v>
      </c>
      <c r="K74" s="175"/>
      <c r="L74" s="176">
        <v>0</v>
      </c>
      <c r="M74" s="178"/>
      <c r="N74" s="176">
        <v>1</v>
      </c>
      <c r="O74" s="179"/>
    </row>
    <row r="75" spans="3:15" ht="23.25">
      <c r="C75" s="10">
        <v>5119</v>
      </c>
      <c r="D75" s="168" t="s">
        <v>183</v>
      </c>
      <c r="E75" s="42" t="s">
        <v>184</v>
      </c>
      <c r="F75" s="43" t="s">
        <v>117</v>
      </c>
      <c r="G75" s="25">
        <v>0</v>
      </c>
      <c r="H75" s="25"/>
      <c r="I75" s="25"/>
      <c r="J75" s="172" t="s">
        <v>87</v>
      </c>
      <c r="K75" s="175"/>
      <c r="L75" s="176">
        <v>0</v>
      </c>
      <c r="M75" s="178"/>
      <c r="N75" s="176">
        <v>1</v>
      </c>
      <c r="O75" s="179"/>
    </row>
    <row r="76" spans="3:15" ht="23.25">
      <c r="C76" s="10">
        <v>4399</v>
      </c>
      <c r="D76" s="168" t="s">
        <v>222</v>
      </c>
      <c r="E76" s="42" t="s">
        <v>223</v>
      </c>
      <c r="F76" s="43" t="s">
        <v>117</v>
      </c>
      <c r="G76" s="13">
        <v>0</v>
      </c>
      <c r="H76" s="25"/>
      <c r="I76" s="25"/>
      <c r="J76" s="172" t="s">
        <v>87</v>
      </c>
      <c r="K76" s="175"/>
      <c r="L76" s="176">
        <v>0</v>
      </c>
      <c r="M76" s="178"/>
      <c r="N76" s="176">
        <v>1</v>
      </c>
      <c r="O76" s="179"/>
    </row>
    <row r="77" spans="3:15" ht="23.25">
      <c r="C77" s="10">
        <v>4639</v>
      </c>
      <c r="D77" s="42" t="s">
        <v>230</v>
      </c>
      <c r="E77" s="42" t="s">
        <v>231</v>
      </c>
      <c r="F77" s="43" t="s">
        <v>115</v>
      </c>
      <c r="G77" s="25">
        <v>7.5</v>
      </c>
      <c r="H77" s="25">
        <v>2.5</v>
      </c>
      <c r="I77" s="25">
        <f>IF(H77&gt;0,(H77*1.5)+G77,"YOK")</f>
        <v>11.25</v>
      </c>
      <c r="J77" s="40" t="s">
        <v>90</v>
      </c>
      <c r="K77" s="175"/>
      <c r="L77" s="176">
        <v>1</v>
      </c>
      <c r="M77" s="176">
        <v>1</v>
      </c>
      <c r="N77" s="177"/>
      <c r="O77" s="179"/>
    </row>
    <row r="78" spans="3:15" ht="23.25">
      <c r="C78" s="10">
        <v>5108</v>
      </c>
      <c r="D78" s="42" t="s">
        <v>232</v>
      </c>
      <c r="E78" s="42" t="s">
        <v>233</v>
      </c>
      <c r="F78" s="43" t="s">
        <v>102</v>
      </c>
      <c r="G78" s="25">
        <v>7.5</v>
      </c>
      <c r="H78" s="25">
        <v>2.5</v>
      </c>
      <c r="I78" s="25">
        <f>IF(H78&gt;0,(H78*1.5)+G78,"YOK")</f>
        <v>11.25</v>
      </c>
      <c r="J78" s="40" t="s">
        <v>90</v>
      </c>
      <c r="K78" s="175"/>
      <c r="L78" s="176">
        <v>1</v>
      </c>
      <c r="M78" s="176">
        <v>1</v>
      </c>
      <c r="N78" s="177"/>
      <c r="O78" s="179"/>
    </row>
    <row r="79" spans="3:15" ht="23.25">
      <c r="C79" s="10">
        <v>5461</v>
      </c>
      <c r="D79" s="42" t="s">
        <v>358</v>
      </c>
      <c r="E79" s="42" t="s">
        <v>359</v>
      </c>
      <c r="F79" s="43" t="s">
        <v>117</v>
      </c>
      <c r="G79" s="25">
        <v>7.5</v>
      </c>
      <c r="H79" s="25">
        <v>2.5</v>
      </c>
      <c r="I79" s="25">
        <f>IF(H79&gt;0,(H79*1.5)+G79,"YOK")</f>
        <v>11.25</v>
      </c>
      <c r="J79" s="40" t="s">
        <v>90</v>
      </c>
      <c r="K79" s="175"/>
      <c r="L79" s="176">
        <v>1</v>
      </c>
      <c r="M79" s="176">
        <v>1</v>
      </c>
      <c r="N79" s="177"/>
      <c r="O79" s="179"/>
    </row>
    <row r="80" spans="3:15" ht="23.25">
      <c r="C80" s="10">
        <v>5657</v>
      </c>
      <c r="D80" s="42" t="s">
        <v>374</v>
      </c>
      <c r="E80" s="42" t="s">
        <v>375</v>
      </c>
      <c r="F80" s="43" t="s">
        <v>118</v>
      </c>
      <c r="G80" s="25">
        <v>7.5</v>
      </c>
      <c r="H80" s="25">
        <v>2.5</v>
      </c>
      <c r="I80" s="25">
        <f>IF(H80&gt;0,(H80*1.5)+G80,"YOK")</f>
        <v>11.25</v>
      </c>
      <c r="J80" s="40" t="s">
        <v>90</v>
      </c>
      <c r="K80" s="175"/>
      <c r="L80" s="176">
        <v>1</v>
      </c>
      <c r="M80" s="176">
        <v>1</v>
      </c>
      <c r="N80" s="177"/>
      <c r="O80" s="179"/>
    </row>
  </sheetData>
  <autoFilter ref="C6:O6" xr:uid="{00000000-0009-0000-0000-000003000000}">
    <sortState xmlns:xlrd2="http://schemas.microsoft.com/office/spreadsheetml/2017/richdata2" ref="C7:O43">
      <sortCondition ref="F6"/>
    </sortState>
  </autoFilter>
  <conditionalFormatting sqref="C3:C5">
    <cfRule type="duplicateValues" dxfId="105" priority="98"/>
  </conditionalFormatting>
  <conditionalFormatting sqref="E3:E5">
    <cfRule type="duplicateValues" dxfId="104" priority="96"/>
    <cfRule type="duplicateValues" dxfId="103" priority="97"/>
  </conditionalFormatting>
  <conditionalFormatting sqref="C3:C5">
    <cfRule type="duplicateValues" dxfId="102" priority="92"/>
    <cfRule type="duplicateValues" dxfId="101" priority="93"/>
    <cfRule type="duplicateValues" dxfId="100" priority="94"/>
    <cfRule type="duplicateValues" dxfId="99" priority="95"/>
  </conditionalFormatting>
  <conditionalFormatting sqref="E3:E5">
    <cfRule type="duplicateValues" dxfId="98" priority="91"/>
  </conditionalFormatting>
  <conditionalFormatting sqref="C6">
    <cfRule type="duplicateValues" dxfId="97" priority="90"/>
  </conditionalFormatting>
  <conditionalFormatting sqref="E6">
    <cfRule type="duplicateValues" dxfId="96" priority="88"/>
    <cfRule type="duplicateValues" dxfId="95" priority="89"/>
  </conditionalFormatting>
  <conditionalFormatting sqref="C6">
    <cfRule type="duplicateValues" dxfId="94" priority="84"/>
    <cfRule type="duplicateValues" dxfId="93" priority="85"/>
    <cfRule type="duplicateValues" dxfId="92" priority="86"/>
    <cfRule type="duplicateValues" dxfId="91" priority="87"/>
  </conditionalFormatting>
  <conditionalFormatting sqref="E6">
    <cfRule type="duplicateValues" dxfId="90" priority="83"/>
  </conditionalFormatting>
  <conditionalFormatting sqref="C6">
    <cfRule type="duplicateValues" dxfId="89" priority="82"/>
  </conditionalFormatting>
  <conditionalFormatting sqref="C47:C48">
    <cfRule type="duplicateValues" dxfId="88" priority="81"/>
  </conditionalFormatting>
  <conditionalFormatting sqref="C47:C48">
    <cfRule type="duplicateValues" dxfId="87" priority="80"/>
  </conditionalFormatting>
  <conditionalFormatting sqref="C47:C48">
    <cfRule type="duplicateValues" dxfId="86" priority="79"/>
  </conditionalFormatting>
  <conditionalFormatting sqref="C47:C48">
    <cfRule type="duplicateValues" dxfId="85" priority="78"/>
  </conditionalFormatting>
  <conditionalFormatting sqref="C47:C48">
    <cfRule type="duplicateValues" dxfId="84" priority="77"/>
  </conditionalFormatting>
  <conditionalFormatting sqref="C47:C48">
    <cfRule type="duplicateValues" dxfId="83" priority="76"/>
  </conditionalFormatting>
  <conditionalFormatting sqref="C47:C48">
    <cfRule type="duplicateValues" dxfId="82" priority="75"/>
  </conditionalFormatting>
  <conditionalFormatting sqref="C47:C48">
    <cfRule type="duplicateValues" dxfId="81" priority="71"/>
    <cfRule type="duplicateValues" dxfId="80" priority="72"/>
    <cfRule type="duplicateValues" dxfId="79" priority="73"/>
    <cfRule type="duplicateValues" dxfId="78" priority="74"/>
  </conditionalFormatting>
  <conditionalFormatting sqref="C47:C48">
    <cfRule type="duplicateValues" dxfId="77" priority="70"/>
  </conditionalFormatting>
  <conditionalFormatting sqref="C47:C48">
    <cfRule type="duplicateValues" dxfId="76" priority="69"/>
  </conditionalFormatting>
  <conditionalFormatting sqref="C47:C48">
    <cfRule type="duplicateValues" dxfId="75" priority="68"/>
  </conditionalFormatting>
  <conditionalFormatting sqref="C47:C48">
    <cfRule type="duplicateValues" dxfId="74" priority="67"/>
  </conditionalFormatting>
  <conditionalFormatting sqref="C49">
    <cfRule type="duplicateValues" dxfId="73" priority="66"/>
  </conditionalFormatting>
  <conditionalFormatting sqref="C49">
    <cfRule type="duplicateValues" dxfId="72" priority="62"/>
    <cfRule type="duplicateValues" dxfId="71" priority="63"/>
    <cfRule type="duplicateValues" dxfId="70" priority="64"/>
    <cfRule type="duplicateValues" dxfId="69" priority="65"/>
  </conditionalFormatting>
  <conditionalFormatting sqref="C47:C49">
    <cfRule type="duplicateValues" dxfId="68" priority="61"/>
  </conditionalFormatting>
  <conditionalFormatting sqref="C47:C49">
    <cfRule type="duplicateValues" dxfId="67" priority="57"/>
    <cfRule type="duplicateValues" dxfId="66" priority="58"/>
    <cfRule type="duplicateValues" dxfId="65" priority="59"/>
    <cfRule type="duplicateValues" dxfId="64" priority="60"/>
  </conditionalFormatting>
  <conditionalFormatting sqref="E34">
    <cfRule type="duplicateValues" dxfId="63" priority="56"/>
  </conditionalFormatting>
  <conditionalFormatting sqref="C34">
    <cfRule type="duplicateValues" dxfId="62" priority="55"/>
  </conditionalFormatting>
  <conditionalFormatting sqref="D34">
    <cfRule type="duplicateValues" dxfId="61" priority="54"/>
  </conditionalFormatting>
  <conditionalFormatting sqref="C34">
    <cfRule type="duplicateValues" dxfId="60" priority="53"/>
  </conditionalFormatting>
  <conditionalFormatting sqref="D34">
    <cfRule type="duplicateValues" dxfId="59" priority="52"/>
  </conditionalFormatting>
  <conditionalFormatting sqref="C34">
    <cfRule type="duplicateValues" dxfId="58" priority="51"/>
  </conditionalFormatting>
  <conditionalFormatting sqref="E34">
    <cfRule type="duplicateValues" dxfId="57" priority="50"/>
  </conditionalFormatting>
  <conditionalFormatting sqref="E34">
    <cfRule type="duplicateValues" dxfId="56" priority="48"/>
    <cfRule type="duplicateValues" dxfId="55" priority="49"/>
  </conditionalFormatting>
  <conditionalFormatting sqref="D34">
    <cfRule type="duplicateValues" dxfId="54" priority="45"/>
    <cfRule type="duplicateValues" dxfId="53" priority="46"/>
    <cfRule type="duplicateValues" dxfId="52" priority="47"/>
  </conditionalFormatting>
  <conditionalFormatting sqref="C34">
    <cfRule type="duplicateValues" dxfId="51" priority="44"/>
  </conditionalFormatting>
  <conditionalFormatting sqref="E34">
    <cfRule type="duplicateValues" dxfId="50" priority="42"/>
    <cfRule type="duplicateValues" dxfId="49" priority="43"/>
  </conditionalFormatting>
  <conditionalFormatting sqref="C34">
    <cfRule type="duplicateValues" dxfId="48" priority="38"/>
    <cfRule type="duplicateValues" dxfId="47" priority="39"/>
    <cfRule type="duplicateValues" dxfId="46" priority="40"/>
    <cfRule type="duplicateValues" dxfId="45" priority="41"/>
  </conditionalFormatting>
  <conditionalFormatting sqref="E34">
    <cfRule type="duplicateValues" dxfId="44" priority="37"/>
  </conditionalFormatting>
  <conditionalFormatting sqref="D34">
    <cfRule type="duplicateValues" dxfId="43" priority="36"/>
  </conditionalFormatting>
  <conditionalFormatting sqref="C3:C5">
    <cfRule type="duplicateValues" dxfId="42" priority="35"/>
  </conditionalFormatting>
  <conditionalFormatting sqref="C3:C5">
    <cfRule type="duplicateValues" dxfId="41" priority="34"/>
  </conditionalFormatting>
  <conditionalFormatting sqref="E3:E5">
    <cfRule type="duplicateValues" dxfId="40" priority="33"/>
  </conditionalFormatting>
  <conditionalFormatting sqref="E3:E5">
    <cfRule type="duplicateValues" dxfId="39" priority="31"/>
    <cfRule type="duplicateValues" dxfId="38" priority="32"/>
  </conditionalFormatting>
  <conditionalFormatting sqref="C3:C5">
    <cfRule type="duplicateValues" dxfId="37" priority="30"/>
  </conditionalFormatting>
  <conditionalFormatting sqref="C3:C5">
    <cfRule type="duplicateValues" dxfId="36" priority="29"/>
  </conditionalFormatting>
  <conditionalFormatting sqref="D3:D5">
    <cfRule type="duplicateValues" dxfId="35" priority="26"/>
    <cfRule type="duplicateValues" dxfId="34" priority="27"/>
    <cfRule type="duplicateValues" dxfId="33" priority="28"/>
  </conditionalFormatting>
  <conditionalFormatting sqref="C3:C5">
    <cfRule type="duplicateValues" dxfId="32" priority="25"/>
  </conditionalFormatting>
  <conditionalFormatting sqref="E35:E80 E3:E33">
    <cfRule type="duplicateValues" dxfId="31" priority="80765"/>
  </conditionalFormatting>
  <conditionalFormatting sqref="C35:C80 C3:C33">
    <cfRule type="duplicateValues" dxfId="30" priority="80768"/>
  </conditionalFormatting>
  <conditionalFormatting sqref="D35:D80 D3:D33">
    <cfRule type="duplicateValues" dxfId="29" priority="80771"/>
  </conditionalFormatting>
  <conditionalFormatting sqref="C35:C80">
    <cfRule type="duplicateValues" dxfId="28" priority="80774"/>
  </conditionalFormatting>
  <conditionalFormatting sqref="D35:D80">
    <cfRule type="duplicateValues" dxfId="27" priority="80776"/>
  </conditionalFormatting>
  <conditionalFormatting sqref="C35:C80 C6:C33">
    <cfRule type="duplicateValues" dxfId="26" priority="80778"/>
  </conditionalFormatting>
  <conditionalFormatting sqref="E35:E80 E6:E33">
    <cfRule type="duplicateValues" dxfId="25" priority="80781"/>
  </conditionalFormatting>
  <conditionalFormatting sqref="E35:E80 E6:E33">
    <cfRule type="duplicateValues" dxfId="24" priority="80784"/>
    <cfRule type="duplicateValues" dxfId="23" priority="80785"/>
  </conditionalFormatting>
  <conditionalFormatting sqref="D35:D80 D6:D33">
    <cfRule type="duplicateValues" dxfId="22" priority="80790"/>
    <cfRule type="duplicateValues" dxfId="21" priority="80791"/>
    <cfRule type="duplicateValues" dxfId="20" priority="80792"/>
  </conditionalFormatting>
  <conditionalFormatting sqref="C35:C80 C7:C33">
    <cfRule type="duplicateValues" dxfId="19" priority="80799"/>
  </conditionalFormatting>
  <conditionalFormatting sqref="E35:E80 E7:E33">
    <cfRule type="duplicateValues" dxfId="18" priority="80802"/>
    <cfRule type="duplicateValues" dxfId="17" priority="80803"/>
  </conditionalFormatting>
  <conditionalFormatting sqref="C35:C80 C7:C33">
    <cfRule type="duplicateValues" dxfId="16" priority="80808"/>
    <cfRule type="duplicateValues" dxfId="15" priority="80809"/>
    <cfRule type="duplicateValues" dxfId="14" priority="80810"/>
    <cfRule type="duplicateValues" dxfId="13" priority="80811"/>
  </conditionalFormatting>
  <conditionalFormatting sqref="E35:E80 E7:E33">
    <cfRule type="duplicateValues" dxfId="12" priority="80820"/>
  </conditionalFormatting>
  <conditionalFormatting sqref="D40:D80 D3:D33">
    <cfRule type="duplicateValues" dxfId="11" priority="80823"/>
  </conditionalFormatting>
  <conditionalFormatting sqref="C3:C80">
    <cfRule type="duplicateValues" dxfId="10" priority="80826"/>
  </conditionalFormatting>
  <conditionalFormatting sqref="D3:D80">
    <cfRule type="duplicateValues" dxfId="9" priority="8082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30"/>
  <sheetViews>
    <sheetView view="pageBreakPreview" zoomScale="70" zoomScaleNormal="55" zoomScaleSheetLayoutView="70" workbookViewId="0">
      <selection activeCell="D13" sqref="D13:D23"/>
    </sheetView>
  </sheetViews>
  <sheetFormatPr defaultRowHeight="15"/>
  <cols>
    <col min="1" max="1" width="3.28515625" customWidth="1"/>
    <col min="2" max="2" width="57" customWidth="1"/>
    <col min="3" max="3" width="29.7109375" bestFit="1" customWidth="1"/>
    <col min="4" max="5" width="20.28515625" customWidth="1"/>
    <col min="6" max="6" width="21.85546875" bestFit="1" customWidth="1"/>
    <col min="7" max="7" width="20.28515625" customWidth="1"/>
    <col min="8" max="8" width="23.28515625" bestFit="1" customWidth="1"/>
    <col min="9" max="9" width="26.28515625" bestFit="1" customWidth="1"/>
    <col min="10" max="10" width="20.28515625" customWidth="1"/>
    <col min="11" max="11" width="3.5703125" hidden="1" customWidth="1"/>
    <col min="12" max="16" width="9.140625" hidden="1" customWidth="1"/>
    <col min="17" max="17" width="4" bestFit="1" customWidth="1"/>
    <col min="32" max="32" width="10.28515625" bestFit="1" customWidth="1"/>
  </cols>
  <sheetData>
    <row r="1" spans="2:32" ht="39" customHeight="1" thickBot="1">
      <c r="B1" s="173" t="s">
        <v>255</v>
      </c>
      <c r="C1" s="68"/>
      <c r="D1" s="68"/>
      <c r="I1" s="69">
        <f>+IPPODROM!I2</f>
        <v>46123</v>
      </c>
      <c r="J1" s="70" t="str">
        <f>+IPPODROM!I1</f>
        <v>Суббота</v>
      </c>
    </row>
    <row r="2" spans="2:32" ht="33.75" customHeight="1" thickBot="1">
      <c r="B2" s="71" t="s">
        <v>256</v>
      </c>
      <c r="C2" s="71" t="s">
        <v>257</v>
      </c>
      <c r="D2" s="72" t="s">
        <v>258</v>
      </c>
      <c r="E2" s="73" t="s">
        <v>259</v>
      </c>
      <c r="F2" s="72" t="s">
        <v>260</v>
      </c>
      <c r="G2" s="73" t="s">
        <v>261</v>
      </c>
      <c r="H2" s="72" t="s">
        <v>262</v>
      </c>
      <c r="I2" s="73" t="s">
        <v>263</v>
      </c>
      <c r="J2" s="74" t="s">
        <v>264</v>
      </c>
      <c r="AF2" s="174"/>
    </row>
    <row r="3" spans="2:32" ht="28.5" customHeight="1" thickBot="1">
      <c r="B3" s="75" t="s">
        <v>265</v>
      </c>
      <c r="C3" s="76" t="s">
        <v>266</v>
      </c>
      <c r="D3" s="77">
        <f>+IPPODROM!A43</f>
        <v>2</v>
      </c>
      <c r="E3" s="78">
        <f>IPPODROM!K44</f>
        <v>1</v>
      </c>
      <c r="F3" s="78">
        <f>E3-G3</f>
        <v>1</v>
      </c>
      <c r="G3" s="78">
        <f>IPPODROM!L44</f>
        <v>0</v>
      </c>
      <c r="H3" s="78">
        <f>D3-E3</f>
        <v>1</v>
      </c>
      <c r="I3" s="78">
        <f>IPPODROM!J42</f>
        <v>1</v>
      </c>
      <c r="J3" s="79">
        <f>IPPODROM!M44</f>
        <v>0</v>
      </c>
      <c r="L3" s="80"/>
    </row>
    <row r="4" spans="2:32" ht="28.5" customHeight="1" thickBot="1">
      <c r="B4" s="75" t="s">
        <v>422</v>
      </c>
      <c r="C4" s="76" t="s">
        <v>426</v>
      </c>
      <c r="D4" s="77">
        <f>+IPPODROM!A45</f>
        <v>1</v>
      </c>
      <c r="E4" s="78">
        <f>+IPPODROM!K46</f>
        <v>0</v>
      </c>
      <c r="F4" s="78">
        <f>E4-G4</f>
        <v>0</v>
      </c>
      <c r="G4" s="78">
        <f>IPPODROM!L45</f>
        <v>0</v>
      </c>
      <c r="H4" s="78">
        <f>D4-E4</f>
        <v>1</v>
      </c>
      <c r="I4" s="78">
        <f>IPPODROM!J45</f>
        <v>0</v>
      </c>
      <c r="J4" s="79">
        <f>+IPPODROM!M46</f>
        <v>1</v>
      </c>
    </row>
    <row r="5" spans="2:32" ht="30" customHeight="1" thickBot="1">
      <c r="B5" s="83" t="s">
        <v>267</v>
      </c>
      <c r="C5" s="84"/>
      <c r="D5" s="85">
        <f>SUM(D3:D4)</f>
        <v>3</v>
      </c>
      <c r="E5" s="85">
        <f t="shared" ref="E5:J5" si="0">SUM(E3:E4)</f>
        <v>1</v>
      </c>
      <c r="F5" s="85">
        <f t="shared" si="0"/>
        <v>1</v>
      </c>
      <c r="G5" s="85">
        <f t="shared" si="0"/>
        <v>0</v>
      </c>
      <c r="H5" s="85">
        <f t="shared" si="0"/>
        <v>2</v>
      </c>
      <c r="I5" s="85">
        <f t="shared" si="0"/>
        <v>1</v>
      </c>
      <c r="J5" s="85">
        <f t="shared" si="0"/>
        <v>1</v>
      </c>
    </row>
    <row r="6" spans="2:32" ht="33.75" customHeight="1" thickBot="1">
      <c r="B6" s="220" t="s">
        <v>268</v>
      </c>
      <c r="C6" s="221"/>
      <c r="D6" s="221"/>
      <c r="E6" s="221"/>
      <c r="F6" s="221"/>
      <c r="G6" s="221"/>
      <c r="H6" s="221"/>
      <c r="I6" s="221"/>
      <c r="J6" s="222"/>
    </row>
    <row r="7" spans="2:32" ht="28.5" customHeight="1" thickBot="1">
      <c r="B7" s="81" t="s">
        <v>269</v>
      </c>
      <c r="C7" s="86"/>
      <c r="D7" s="77">
        <f>IPPODROM!N37</f>
        <v>34</v>
      </c>
      <c r="E7" s="78">
        <f>IPPODROM!K37</f>
        <v>20</v>
      </c>
      <c r="F7" s="78">
        <f t="shared" ref="F7:F8" si="1">E7-G7</f>
        <v>20</v>
      </c>
      <c r="G7" s="78">
        <f>IPPODROM!L37</f>
        <v>0</v>
      </c>
      <c r="H7" s="78">
        <f t="shared" ref="H7:H8" si="2">D7-E7</f>
        <v>14</v>
      </c>
      <c r="I7" s="82">
        <f>IPPODROM!J37</f>
        <v>1</v>
      </c>
      <c r="J7" s="79">
        <f>IPPODROM!M37</f>
        <v>13</v>
      </c>
    </row>
    <row r="8" spans="2:32" ht="28.5" customHeight="1" thickBot="1">
      <c r="B8" s="81" t="s">
        <v>92</v>
      </c>
      <c r="C8" s="86"/>
      <c r="D8" s="77">
        <f>+IPPODROM!A38</f>
        <v>1</v>
      </c>
      <c r="E8" s="78">
        <f>IPPODROM!K39</f>
        <v>1</v>
      </c>
      <c r="F8" s="78">
        <f t="shared" si="1"/>
        <v>1</v>
      </c>
      <c r="G8" s="78">
        <f>IPPODROM!L39</f>
        <v>0</v>
      </c>
      <c r="H8" s="78">
        <f t="shared" si="2"/>
        <v>0</v>
      </c>
      <c r="I8" s="82">
        <f>IPPODROM!J39</f>
        <v>0</v>
      </c>
      <c r="J8" s="79">
        <f>IPPODROM!M39</f>
        <v>0</v>
      </c>
    </row>
    <row r="9" spans="2:32" ht="28.5" customHeight="1" thickBot="1">
      <c r="B9" s="81" t="s">
        <v>89</v>
      </c>
      <c r="C9" s="86"/>
      <c r="D9" s="77">
        <f>+IPPODROM!A40</f>
        <v>1</v>
      </c>
      <c r="E9" s="78">
        <f>IPPODROM!K40</f>
        <v>1</v>
      </c>
      <c r="F9" s="78">
        <f t="shared" ref="F9" si="3">E9-G9</f>
        <v>1</v>
      </c>
      <c r="G9" s="78">
        <f>+IPPODROM!L46</f>
        <v>0</v>
      </c>
      <c r="H9" s="78">
        <f t="shared" ref="H9" si="4">D9-E9</f>
        <v>0</v>
      </c>
      <c r="I9" s="82">
        <f>+IPPODROM!J41</f>
        <v>0</v>
      </c>
      <c r="J9" s="79">
        <f>+IPPODROM!M41</f>
        <v>0</v>
      </c>
    </row>
    <row r="10" spans="2:32" ht="30" customHeight="1" thickBot="1">
      <c r="B10" s="83" t="s">
        <v>270</v>
      </c>
      <c r="C10" s="84"/>
      <c r="D10" s="87">
        <f>SUM(D7:D9)</f>
        <v>36</v>
      </c>
      <c r="E10" s="87">
        <f>SUM(E7:E9)</f>
        <v>22</v>
      </c>
      <c r="F10" s="87">
        <f t="shared" ref="F10:J10" si="5">SUM(F7:F9)</f>
        <v>22</v>
      </c>
      <c r="G10" s="87">
        <f t="shared" si="5"/>
        <v>0</v>
      </c>
      <c r="H10" s="87">
        <f t="shared" si="5"/>
        <v>14</v>
      </c>
      <c r="I10" s="87">
        <f t="shared" si="5"/>
        <v>1</v>
      </c>
      <c r="J10" s="87">
        <f t="shared" si="5"/>
        <v>13</v>
      </c>
    </row>
    <row r="11" spans="2:32" ht="28.5" customHeight="1" thickBot="1">
      <c r="B11" s="88" t="s">
        <v>410</v>
      </c>
      <c r="C11" s="89"/>
      <c r="D11" s="90">
        <f t="shared" ref="D11:J11" si="6">+D10+D5</f>
        <v>39</v>
      </c>
      <c r="E11" s="90">
        <f t="shared" si="6"/>
        <v>23</v>
      </c>
      <c r="F11" s="90">
        <f t="shared" si="6"/>
        <v>23</v>
      </c>
      <c r="G11" s="90">
        <f t="shared" si="6"/>
        <v>0</v>
      </c>
      <c r="H11" s="90">
        <f t="shared" si="6"/>
        <v>16</v>
      </c>
      <c r="I11" s="90">
        <f t="shared" si="6"/>
        <v>2</v>
      </c>
      <c r="J11" s="90">
        <f t="shared" si="6"/>
        <v>14</v>
      </c>
    </row>
    <row r="12" spans="2:32" ht="15.75" hidden="1" thickBot="1">
      <c r="B12" s="91"/>
      <c r="C12" s="92"/>
      <c r="D12" s="93"/>
      <c r="E12" s="93"/>
      <c r="F12" s="93"/>
      <c r="G12" s="93"/>
      <c r="H12" s="93"/>
      <c r="I12" s="94"/>
      <c r="J12" s="95"/>
    </row>
    <row r="13" spans="2:32" ht="24" customHeight="1" thickBot="1">
      <c r="B13" s="96" t="s">
        <v>271</v>
      </c>
      <c r="C13" s="192" t="s">
        <v>446</v>
      </c>
      <c r="D13" s="197">
        <v>9</v>
      </c>
      <c r="E13" s="195">
        <f t="shared" ref="E13:E23" si="7">D13</f>
        <v>9</v>
      </c>
      <c r="F13" s="97">
        <f t="shared" ref="F13:F23" si="8">E13-G13</f>
        <v>9</v>
      </c>
      <c r="G13" s="97"/>
      <c r="H13" s="98"/>
      <c r="I13" s="98"/>
      <c r="J13" s="99"/>
    </row>
    <row r="14" spans="2:32" ht="24" customHeight="1" thickBot="1">
      <c r="B14" s="96" t="s">
        <v>421</v>
      </c>
      <c r="C14" s="192" t="s">
        <v>447</v>
      </c>
      <c r="D14" s="197">
        <v>13</v>
      </c>
      <c r="E14" s="195">
        <f t="shared" si="7"/>
        <v>13</v>
      </c>
      <c r="F14" s="97">
        <f t="shared" si="8"/>
        <v>13</v>
      </c>
      <c r="G14" s="97"/>
      <c r="H14" s="98"/>
      <c r="I14" s="98"/>
      <c r="J14" s="99"/>
    </row>
    <row r="15" spans="2:32" ht="24" customHeight="1" thickBot="1">
      <c r="B15" s="96" t="s">
        <v>272</v>
      </c>
      <c r="C15" s="192" t="s">
        <v>449</v>
      </c>
      <c r="D15" s="197">
        <v>46</v>
      </c>
      <c r="E15" s="195">
        <f t="shared" si="7"/>
        <v>46</v>
      </c>
      <c r="F15" s="97">
        <f t="shared" si="8"/>
        <v>46</v>
      </c>
      <c r="G15" s="97">
        <v>0</v>
      </c>
      <c r="H15" s="98">
        <f>D15-E15</f>
        <v>0</v>
      </c>
      <c r="I15" s="98"/>
      <c r="J15" s="99"/>
    </row>
    <row r="16" spans="2:32" ht="24" customHeight="1" thickBot="1">
      <c r="B16" s="96" t="s">
        <v>273</v>
      </c>
      <c r="C16" s="192" t="s">
        <v>450</v>
      </c>
      <c r="D16" s="197">
        <v>40</v>
      </c>
      <c r="E16" s="195">
        <f t="shared" si="7"/>
        <v>40</v>
      </c>
      <c r="F16" s="97">
        <f t="shared" si="8"/>
        <v>40</v>
      </c>
      <c r="G16" s="97">
        <v>0</v>
      </c>
      <c r="H16" s="98">
        <f>D16-E16</f>
        <v>0</v>
      </c>
      <c r="I16" s="98"/>
      <c r="J16" s="99"/>
    </row>
    <row r="17" spans="2:10" ht="24" customHeight="1" thickBot="1">
      <c r="B17" s="96" t="s">
        <v>274</v>
      </c>
      <c r="C17" s="192" t="s">
        <v>451</v>
      </c>
      <c r="D17" s="197">
        <v>22</v>
      </c>
      <c r="E17" s="195">
        <f t="shared" si="7"/>
        <v>22</v>
      </c>
      <c r="F17" s="97">
        <f t="shared" si="8"/>
        <v>22</v>
      </c>
      <c r="G17" s="97">
        <v>0</v>
      </c>
      <c r="H17" s="98">
        <f>D17-E17</f>
        <v>0</v>
      </c>
      <c r="I17" s="98"/>
      <c r="J17" s="99"/>
    </row>
    <row r="18" spans="2:10" ht="24" customHeight="1" thickBot="1">
      <c r="B18" s="96" t="s">
        <v>420</v>
      </c>
      <c r="C18" s="192" t="s">
        <v>452</v>
      </c>
      <c r="D18" s="197">
        <v>2</v>
      </c>
      <c r="E18" s="195">
        <f t="shared" si="7"/>
        <v>2</v>
      </c>
      <c r="F18" s="97">
        <f t="shared" si="8"/>
        <v>2</v>
      </c>
      <c r="G18" s="97">
        <v>0</v>
      </c>
      <c r="H18" s="98">
        <f t="shared" ref="H18:H21" si="9">D18-E18</f>
        <v>0</v>
      </c>
      <c r="I18" s="98"/>
      <c r="J18" s="99"/>
    </row>
    <row r="19" spans="2:10" ht="24" customHeight="1" thickBot="1">
      <c r="B19" s="96" t="s">
        <v>275</v>
      </c>
      <c r="C19" s="192" t="s">
        <v>453</v>
      </c>
      <c r="D19" s="197">
        <v>13</v>
      </c>
      <c r="E19" s="195">
        <f t="shared" si="7"/>
        <v>13</v>
      </c>
      <c r="F19" s="97">
        <f t="shared" si="8"/>
        <v>13</v>
      </c>
      <c r="G19" s="97">
        <v>0</v>
      </c>
      <c r="H19" s="98">
        <f t="shared" si="9"/>
        <v>0</v>
      </c>
      <c r="I19" s="98"/>
      <c r="J19" s="99"/>
    </row>
    <row r="20" spans="2:10" ht="24" customHeight="1" thickBot="1">
      <c r="B20" s="96" t="s">
        <v>276</v>
      </c>
      <c r="C20" s="192" t="s">
        <v>454</v>
      </c>
      <c r="D20" s="197">
        <v>68</v>
      </c>
      <c r="E20" s="195">
        <f t="shared" si="7"/>
        <v>68</v>
      </c>
      <c r="F20" s="97">
        <f t="shared" si="8"/>
        <v>68</v>
      </c>
      <c r="G20" s="97">
        <v>0</v>
      </c>
      <c r="H20" s="98">
        <f t="shared" si="9"/>
        <v>0</v>
      </c>
      <c r="I20" s="98"/>
      <c r="J20" s="99"/>
    </row>
    <row r="21" spans="2:10" ht="24" customHeight="1" thickBot="1">
      <c r="B21" s="96" t="s">
        <v>277</v>
      </c>
      <c r="C21" s="192" t="s">
        <v>455</v>
      </c>
      <c r="D21" s="197">
        <v>7</v>
      </c>
      <c r="E21" s="195">
        <f t="shared" si="7"/>
        <v>7</v>
      </c>
      <c r="F21" s="97">
        <f t="shared" si="8"/>
        <v>7</v>
      </c>
      <c r="G21" s="97">
        <v>0</v>
      </c>
      <c r="H21" s="98">
        <f t="shared" si="9"/>
        <v>0</v>
      </c>
      <c r="I21" s="98"/>
      <c r="J21" s="99"/>
    </row>
    <row r="22" spans="2:10" ht="24" customHeight="1" thickBot="1">
      <c r="B22" s="96" t="s">
        <v>278</v>
      </c>
      <c r="C22" s="192" t="s">
        <v>456</v>
      </c>
      <c r="D22" s="197">
        <v>26</v>
      </c>
      <c r="E22" s="195">
        <f t="shared" si="7"/>
        <v>26</v>
      </c>
      <c r="F22" s="97">
        <f t="shared" si="8"/>
        <v>26</v>
      </c>
      <c r="G22" s="97">
        <v>0</v>
      </c>
      <c r="H22" s="98">
        <f>D22-E22</f>
        <v>0</v>
      </c>
      <c r="I22" s="98"/>
      <c r="J22" s="99"/>
    </row>
    <row r="23" spans="2:10" ht="24" customHeight="1" thickBot="1">
      <c r="B23" s="96" t="s">
        <v>279</v>
      </c>
      <c r="C23" s="192" t="s">
        <v>448</v>
      </c>
      <c r="D23" s="197">
        <v>12</v>
      </c>
      <c r="E23" s="195">
        <f t="shared" si="7"/>
        <v>12</v>
      </c>
      <c r="F23" s="97">
        <f t="shared" si="8"/>
        <v>12</v>
      </c>
      <c r="G23" s="97">
        <v>0</v>
      </c>
      <c r="H23" s="98">
        <f>D23-E23</f>
        <v>0</v>
      </c>
      <c r="I23" s="98"/>
      <c r="J23" s="99"/>
    </row>
    <row r="24" spans="2:10" ht="21" customHeight="1" thickBot="1">
      <c r="B24" s="83" t="s">
        <v>280</v>
      </c>
      <c r="C24" s="84"/>
      <c r="D24" s="87">
        <f t="shared" ref="D24:J24" si="10">SUM(D13:D23)</f>
        <v>258</v>
      </c>
      <c r="E24" s="87">
        <f t="shared" si="10"/>
        <v>258</v>
      </c>
      <c r="F24" s="87">
        <f t="shared" si="10"/>
        <v>258</v>
      </c>
      <c r="G24" s="87">
        <f t="shared" si="10"/>
        <v>0</v>
      </c>
      <c r="H24" s="87">
        <f t="shared" si="10"/>
        <v>0</v>
      </c>
      <c r="I24" s="87">
        <f t="shared" si="10"/>
        <v>0</v>
      </c>
      <c r="J24" s="87">
        <f t="shared" si="10"/>
        <v>0</v>
      </c>
    </row>
    <row r="25" spans="2:10" ht="24" hidden="1" customHeight="1" thickBot="1">
      <c r="B25" s="100"/>
      <c r="C25" s="101"/>
      <c r="D25" s="102"/>
      <c r="E25" s="102"/>
      <c r="F25" s="102"/>
      <c r="G25" s="102"/>
      <c r="H25" s="102"/>
      <c r="I25" s="102"/>
      <c r="J25" s="102"/>
    </row>
    <row r="26" spans="2:10" ht="28.5" customHeight="1" thickBot="1">
      <c r="B26" s="88" t="s">
        <v>281</v>
      </c>
      <c r="C26" s="89"/>
      <c r="D26" s="90">
        <f t="shared" ref="D26:J26" si="11">+D24+D11</f>
        <v>297</v>
      </c>
      <c r="E26" s="90">
        <f t="shared" si="11"/>
        <v>281</v>
      </c>
      <c r="F26" s="90">
        <f t="shared" si="11"/>
        <v>281</v>
      </c>
      <c r="G26" s="90">
        <f t="shared" si="11"/>
        <v>0</v>
      </c>
      <c r="H26" s="90">
        <f t="shared" si="11"/>
        <v>16</v>
      </c>
      <c r="I26" s="90">
        <f t="shared" si="11"/>
        <v>2</v>
      </c>
      <c r="J26" s="90">
        <f t="shared" si="11"/>
        <v>14</v>
      </c>
    </row>
    <row r="27" spans="2:10" ht="36.75" customHeight="1">
      <c r="B27" s="223"/>
      <c r="C27" s="223"/>
      <c r="D27" s="223"/>
      <c r="E27" s="223"/>
      <c r="F27" s="223"/>
      <c r="G27" s="223"/>
      <c r="H27" s="223"/>
      <c r="I27" s="223"/>
      <c r="J27" s="223"/>
    </row>
    <row r="28" spans="2:10" ht="43.5" customHeight="1">
      <c r="B28" s="224" t="s">
        <v>282</v>
      </c>
      <c r="C28" s="224"/>
      <c r="D28" s="224"/>
      <c r="E28" s="224"/>
      <c r="F28" s="224"/>
      <c r="G28" s="224"/>
      <c r="H28" s="224"/>
      <c r="I28" s="224"/>
      <c r="J28" s="224"/>
    </row>
    <row r="29" spans="2:10" ht="40.5" customHeight="1">
      <c r="B29" s="225" t="s">
        <v>13</v>
      </c>
      <c r="C29" s="225"/>
      <c r="D29" s="225"/>
      <c r="E29" s="225"/>
      <c r="F29" s="225"/>
      <c r="G29" s="225"/>
      <c r="H29" s="225"/>
      <c r="I29" s="225"/>
      <c r="J29" s="225"/>
    </row>
    <row r="30" spans="2:10" ht="58.5" customHeight="1">
      <c r="B30" s="225"/>
      <c r="C30" s="225"/>
      <c r="D30" s="225"/>
      <c r="E30" s="225"/>
      <c r="F30" s="225"/>
      <c r="G30" s="225"/>
      <c r="H30" s="225"/>
      <c r="I30" s="225"/>
      <c r="J30" s="225"/>
    </row>
  </sheetData>
  <mergeCells count="5">
    <mergeCell ref="B6:J6"/>
    <mergeCell ref="B27:J27"/>
    <mergeCell ref="B28:J28"/>
    <mergeCell ref="B29:J29"/>
    <mergeCell ref="B30:J30"/>
  </mergeCells>
  <conditionalFormatting sqref="B29">
    <cfRule type="duplicateValues" dxfId="8" priority="8"/>
  </conditionalFormatting>
  <conditionalFormatting sqref="B29">
    <cfRule type="duplicateValues" dxfId="7" priority="7"/>
  </conditionalFormatting>
  <conditionalFormatting sqref="B29">
    <cfRule type="duplicateValues" dxfId="6" priority="9"/>
  </conditionalFormatting>
  <conditionalFormatting sqref="B27">
    <cfRule type="duplicateValues" dxfId="5" priority="5"/>
  </conditionalFormatting>
  <conditionalFormatting sqref="B27">
    <cfRule type="duplicateValues" dxfId="4" priority="4"/>
  </conditionalFormatting>
  <conditionalFormatting sqref="B27">
    <cfRule type="duplicateValues" dxfId="3" priority="6"/>
  </conditionalFormatting>
  <conditionalFormatting sqref="B28">
    <cfRule type="duplicateValues" dxfId="2" priority="2"/>
  </conditionalFormatting>
  <conditionalFormatting sqref="B28">
    <cfRule type="duplicateValues" dxfId="1" priority="1"/>
  </conditionalFormatting>
  <conditionalFormatting sqref="B28">
    <cfRule type="duplicateValues" dxfId="0" priority="3"/>
  </conditionalFormatting>
  <pageMargins left="0.7" right="0.7" top="0.75" bottom="0.75" header="0.3" footer="0.3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Meslek Sayi</vt:lpstr>
      <vt:lpstr>Cover page </vt:lpstr>
      <vt:lpstr>IPPODROM</vt:lpstr>
      <vt:lpstr>Лист2</vt:lpstr>
      <vt:lpstr>GUNLUK RAPOR</vt:lpstr>
      <vt:lpstr>'Cover page '!Область_печати</vt:lpstr>
      <vt:lpstr>'GUNLUK RAPOR'!Область_печати</vt:lpstr>
      <vt:lpstr>IPPODROM!Область_печати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2026-04-11T11:25:14Z</dcterms:modified>
</cp:coreProperties>
</file>